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bpra\Downloads\New folder (3)\"/>
    </mc:Choice>
  </mc:AlternateContent>
  <xr:revisionPtr revIDLastSave="0" documentId="13_ncr:1_{E3FC2D9B-8962-4F41-8429-80FE334E0D6E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shboard" sheetId="1" r:id="rId1"/>
    <sheet name="Reports" sheetId="6" r:id="rId2"/>
    <sheet name="Product Master" sheetId="2" r:id="rId3"/>
    <sheet name="Purchase Entry" sheetId="3" r:id="rId4"/>
    <sheet name="Sales Entry" sheetId="4" r:id="rId5"/>
    <sheet name="Supplier Management" sheetId="5" r:id="rId6"/>
    <sheet name="ReferenceLists" sheetId="8" state="hidden" r:id="rId7"/>
  </sheets>
  <calcPr calcId="191029"/>
</workbook>
</file>

<file path=xl/calcChain.xml><?xml version="1.0" encoding="utf-8"?>
<calcChain xmlns="http://schemas.openxmlformats.org/spreadsheetml/2006/main">
  <c r="I1000" i="6" l="1"/>
  <c r="M1000" i="6" s="1"/>
  <c r="M999" i="6"/>
  <c r="K999" i="6"/>
  <c r="I999" i="6"/>
  <c r="J999" i="6" s="1"/>
  <c r="J998" i="6"/>
  <c r="I998" i="6"/>
  <c r="M998" i="6" s="1"/>
  <c r="M997" i="6"/>
  <c r="I997" i="6"/>
  <c r="L997" i="6" s="1"/>
  <c r="L996" i="6"/>
  <c r="K996" i="6"/>
  <c r="J996" i="6"/>
  <c r="I996" i="6"/>
  <c r="M996" i="6" s="1"/>
  <c r="I995" i="6"/>
  <c r="M994" i="6"/>
  <c r="L994" i="6"/>
  <c r="I994" i="6"/>
  <c r="K994" i="6" s="1"/>
  <c r="K993" i="6"/>
  <c r="I993" i="6"/>
  <c r="M993" i="6" s="1"/>
  <c r="I992" i="6"/>
  <c r="M992" i="6" s="1"/>
  <c r="M991" i="6"/>
  <c r="K991" i="6"/>
  <c r="I991" i="6"/>
  <c r="J991" i="6" s="1"/>
  <c r="J990" i="6"/>
  <c r="I990" i="6"/>
  <c r="M990" i="6" s="1"/>
  <c r="M989" i="6"/>
  <c r="I989" i="6"/>
  <c r="L989" i="6" s="1"/>
  <c r="L988" i="6"/>
  <c r="J988" i="6"/>
  <c r="I988" i="6"/>
  <c r="M988" i="6" s="1"/>
  <c r="I987" i="6"/>
  <c r="M986" i="6"/>
  <c r="L986" i="6"/>
  <c r="K986" i="6"/>
  <c r="I986" i="6"/>
  <c r="J986" i="6" s="1"/>
  <c r="K985" i="6"/>
  <c r="I985" i="6"/>
  <c r="M985" i="6" s="1"/>
  <c r="I984" i="6"/>
  <c r="M984" i="6" s="1"/>
  <c r="M983" i="6"/>
  <c r="K983" i="6"/>
  <c r="I983" i="6"/>
  <c r="J983" i="6" s="1"/>
  <c r="J982" i="6"/>
  <c r="I982" i="6"/>
  <c r="M982" i="6" s="1"/>
  <c r="M981" i="6"/>
  <c r="I981" i="6"/>
  <c r="L981" i="6" s="1"/>
  <c r="L980" i="6"/>
  <c r="J980" i="6"/>
  <c r="I980" i="6"/>
  <c r="M980" i="6" s="1"/>
  <c r="I979" i="6"/>
  <c r="M978" i="6"/>
  <c r="L978" i="6"/>
  <c r="K978" i="6"/>
  <c r="I978" i="6"/>
  <c r="J978" i="6" s="1"/>
  <c r="K977" i="6"/>
  <c r="I977" i="6"/>
  <c r="M977" i="6" s="1"/>
  <c r="I976" i="6"/>
  <c r="M976" i="6" s="1"/>
  <c r="M975" i="6"/>
  <c r="K975" i="6"/>
  <c r="I975" i="6"/>
  <c r="J975" i="6" s="1"/>
  <c r="J974" i="6"/>
  <c r="I974" i="6"/>
  <c r="M974" i="6" s="1"/>
  <c r="M973" i="6"/>
  <c r="I973" i="6"/>
  <c r="L973" i="6" s="1"/>
  <c r="L972" i="6"/>
  <c r="J972" i="6"/>
  <c r="I972" i="6"/>
  <c r="M972" i="6" s="1"/>
  <c r="I971" i="6"/>
  <c r="M970" i="6"/>
  <c r="L970" i="6"/>
  <c r="K970" i="6"/>
  <c r="I970" i="6"/>
  <c r="J970" i="6" s="1"/>
  <c r="K969" i="6"/>
  <c r="I969" i="6"/>
  <c r="M969" i="6" s="1"/>
  <c r="M968" i="6"/>
  <c r="K968" i="6"/>
  <c r="J968" i="6"/>
  <c r="I968" i="6"/>
  <c r="L968" i="6" s="1"/>
  <c r="M967" i="6"/>
  <c r="L967" i="6"/>
  <c r="K967" i="6"/>
  <c r="J967" i="6"/>
  <c r="I967" i="6"/>
  <c r="J966" i="6"/>
  <c r="I966" i="6"/>
  <c r="M966" i="6" s="1"/>
  <c r="M965" i="6"/>
  <c r="I965" i="6"/>
  <c r="L965" i="6" s="1"/>
  <c r="L964" i="6"/>
  <c r="J964" i="6"/>
  <c r="I964" i="6"/>
  <c r="M964" i="6" s="1"/>
  <c r="I963" i="6"/>
  <c r="M962" i="6"/>
  <c r="L962" i="6"/>
  <c r="K962" i="6"/>
  <c r="I962" i="6"/>
  <c r="J962" i="6" s="1"/>
  <c r="K961" i="6"/>
  <c r="I961" i="6"/>
  <c r="M961" i="6" s="1"/>
  <c r="M960" i="6"/>
  <c r="K960" i="6"/>
  <c r="J960" i="6"/>
  <c r="I960" i="6"/>
  <c r="L960" i="6" s="1"/>
  <c r="M959" i="6"/>
  <c r="L959" i="6"/>
  <c r="K959" i="6"/>
  <c r="J959" i="6"/>
  <c r="I959" i="6"/>
  <c r="J958" i="6"/>
  <c r="I958" i="6"/>
  <c r="M958" i="6" s="1"/>
  <c r="M957" i="6"/>
  <c r="I957" i="6"/>
  <c r="L957" i="6" s="1"/>
  <c r="L956" i="6"/>
  <c r="J956" i="6"/>
  <c r="I956" i="6"/>
  <c r="M956" i="6" s="1"/>
  <c r="I955" i="6"/>
  <c r="M954" i="6"/>
  <c r="L954" i="6"/>
  <c r="K954" i="6"/>
  <c r="I954" i="6"/>
  <c r="J954" i="6" s="1"/>
  <c r="K953" i="6"/>
  <c r="I953" i="6"/>
  <c r="M953" i="6" s="1"/>
  <c r="M952" i="6"/>
  <c r="K952" i="6"/>
  <c r="J952" i="6"/>
  <c r="I952" i="6"/>
  <c r="L952" i="6" s="1"/>
  <c r="M951" i="6"/>
  <c r="L951" i="6"/>
  <c r="K951" i="6"/>
  <c r="J951" i="6"/>
  <c r="I951" i="6"/>
  <c r="J950" i="6"/>
  <c r="I950" i="6"/>
  <c r="M950" i="6" s="1"/>
  <c r="M949" i="6"/>
  <c r="I949" i="6"/>
  <c r="L949" i="6" s="1"/>
  <c r="L948" i="6"/>
  <c r="J948" i="6"/>
  <c r="I948" i="6"/>
  <c r="M948" i="6" s="1"/>
  <c r="I947" i="6"/>
  <c r="M946" i="6"/>
  <c r="L946" i="6"/>
  <c r="K946" i="6"/>
  <c r="I946" i="6"/>
  <c r="J946" i="6" s="1"/>
  <c r="K945" i="6"/>
  <c r="I945" i="6"/>
  <c r="M945" i="6" s="1"/>
  <c r="M944" i="6"/>
  <c r="K944" i="6"/>
  <c r="J944" i="6"/>
  <c r="I944" i="6"/>
  <c r="L944" i="6" s="1"/>
  <c r="M943" i="6"/>
  <c r="L943" i="6"/>
  <c r="K943" i="6"/>
  <c r="J943" i="6"/>
  <c r="I943" i="6"/>
  <c r="J942" i="6"/>
  <c r="I942" i="6"/>
  <c r="M942" i="6" s="1"/>
  <c r="M941" i="6"/>
  <c r="I941" i="6"/>
  <c r="L941" i="6" s="1"/>
  <c r="L940" i="6"/>
  <c r="J940" i="6"/>
  <c r="I940" i="6"/>
  <c r="M940" i="6" s="1"/>
  <c r="I939" i="6"/>
  <c r="M938" i="6"/>
  <c r="L938" i="6"/>
  <c r="K938" i="6"/>
  <c r="I938" i="6"/>
  <c r="J938" i="6" s="1"/>
  <c r="K937" i="6"/>
  <c r="I937" i="6"/>
  <c r="M937" i="6" s="1"/>
  <c r="M936" i="6"/>
  <c r="K936" i="6"/>
  <c r="J936" i="6"/>
  <c r="I936" i="6"/>
  <c r="L936" i="6" s="1"/>
  <c r="M935" i="6"/>
  <c r="L935" i="6"/>
  <c r="K935" i="6"/>
  <c r="J935" i="6"/>
  <c r="I935" i="6"/>
  <c r="J934" i="6"/>
  <c r="I934" i="6"/>
  <c r="M934" i="6" s="1"/>
  <c r="M933" i="6"/>
  <c r="I933" i="6"/>
  <c r="L933" i="6" s="1"/>
  <c r="L932" i="6"/>
  <c r="J932" i="6"/>
  <c r="I932" i="6"/>
  <c r="M932" i="6" s="1"/>
  <c r="I931" i="6"/>
  <c r="M930" i="6"/>
  <c r="L930" i="6"/>
  <c r="K930" i="6"/>
  <c r="I930" i="6"/>
  <c r="J930" i="6" s="1"/>
  <c r="K929" i="6"/>
  <c r="I929" i="6"/>
  <c r="M929" i="6" s="1"/>
  <c r="M928" i="6"/>
  <c r="K928" i="6"/>
  <c r="J928" i="6"/>
  <c r="I928" i="6"/>
  <c r="L928" i="6" s="1"/>
  <c r="M927" i="6"/>
  <c r="L927" i="6"/>
  <c r="K927" i="6"/>
  <c r="J927" i="6"/>
  <c r="I927" i="6"/>
  <c r="J926" i="6"/>
  <c r="I926" i="6"/>
  <c r="M926" i="6" s="1"/>
  <c r="M925" i="6"/>
  <c r="I925" i="6"/>
  <c r="L925" i="6" s="1"/>
  <c r="L924" i="6"/>
  <c r="J924" i="6"/>
  <c r="I924" i="6"/>
  <c r="M924" i="6" s="1"/>
  <c r="I923" i="6"/>
  <c r="M922" i="6"/>
  <c r="L922" i="6"/>
  <c r="K922" i="6"/>
  <c r="I922" i="6"/>
  <c r="J922" i="6" s="1"/>
  <c r="K921" i="6"/>
  <c r="I921" i="6"/>
  <c r="M921" i="6" s="1"/>
  <c r="M920" i="6"/>
  <c r="K920" i="6"/>
  <c r="J920" i="6"/>
  <c r="I920" i="6"/>
  <c r="L920" i="6" s="1"/>
  <c r="M919" i="6"/>
  <c r="L919" i="6"/>
  <c r="K919" i="6"/>
  <c r="J919" i="6"/>
  <c r="I919" i="6"/>
  <c r="J918" i="6"/>
  <c r="I918" i="6"/>
  <c r="M918" i="6" s="1"/>
  <c r="M917" i="6"/>
  <c r="I917" i="6"/>
  <c r="L917" i="6" s="1"/>
  <c r="L916" i="6"/>
  <c r="J916" i="6"/>
  <c r="I916" i="6"/>
  <c r="M916" i="6" s="1"/>
  <c r="I915" i="6"/>
  <c r="M914" i="6"/>
  <c r="L914" i="6"/>
  <c r="K914" i="6"/>
  <c r="I914" i="6"/>
  <c r="J914" i="6" s="1"/>
  <c r="K913" i="6"/>
  <c r="I913" i="6"/>
  <c r="M913" i="6" s="1"/>
  <c r="M912" i="6"/>
  <c r="K912" i="6"/>
  <c r="J912" i="6"/>
  <c r="I912" i="6"/>
  <c r="L912" i="6" s="1"/>
  <c r="M911" i="6"/>
  <c r="L911" i="6"/>
  <c r="K911" i="6"/>
  <c r="J911" i="6"/>
  <c r="I911" i="6"/>
  <c r="J910" i="6"/>
  <c r="I910" i="6"/>
  <c r="M910" i="6" s="1"/>
  <c r="M909" i="6"/>
  <c r="I909" i="6"/>
  <c r="L909" i="6" s="1"/>
  <c r="L908" i="6"/>
  <c r="J908" i="6"/>
  <c r="I908" i="6"/>
  <c r="M908" i="6" s="1"/>
  <c r="I907" i="6"/>
  <c r="M906" i="6"/>
  <c r="L906" i="6"/>
  <c r="K906" i="6"/>
  <c r="I906" i="6"/>
  <c r="J906" i="6" s="1"/>
  <c r="K905" i="6"/>
  <c r="I905" i="6"/>
  <c r="M905" i="6" s="1"/>
  <c r="M904" i="6"/>
  <c r="K904" i="6"/>
  <c r="J904" i="6"/>
  <c r="I904" i="6"/>
  <c r="L904" i="6" s="1"/>
  <c r="M903" i="6"/>
  <c r="L903" i="6"/>
  <c r="K903" i="6"/>
  <c r="J903" i="6"/>
  <c r="I903" i="6"/>
  <c r="J902" i="6"/>
  <c r="I902" i="6"/>
  <c r="M902" i="6" s="1"/>
  <c r="M901" i="6"/>
  <c r="I901" i="6"/>
  <c r="L901" i="6" s="1"/>
  <c r="L900" i="6"/>
  <c r="J900" i="6"/>
  <c r="I900" i="6"/>
  <c r="M900" i="6" s="1"/>
  <c r="I899" i="6"/>
  <c r="M898" i="6"/>
  <c r="L898" i="6"/>
  <c r="K898" i="6"/>
  <c r="I898" i="6"/>
  <c r="J898" i="6" s="1"/>
  <c r="K897" i="6"/>
  <c r="I897" i="6"/>
  <c r="M897" i="6" s="1"/>
  <c r="M896" i="6"/>
  <c r="K896" i="6"/>
  <c r="J896" i="6"/>
  <c r="I896" i="6"/>
  <c r="L896" i="6" s="1"/>
  <c r="M895" i="6"/>
  <c r="L895" i="6"/>
  <c r="K895" i="6"/>
  <c r="J895" i="6"/>
  <c r="I895" i="6"/>
  <c r="J894" i="6"/>
  <c r="I894" i="6"/>
  <c r="M894" i="6" s="1"/>
  <c r="M893" i="6"/>
  <c r="I893" i="6"/>
  <c r="L893" i="6" s="1"/>
  <c r="L892" i="6"/>
  <c r="J892" i="6"/>
  <c r="I892" i="6"/>
  <c r="M892" i="6" s="1"/>
  <c r="I891" i="6"/>
  <c r="M890" i="6"/>
  <c r="L890" i="6"/>
  <c r="K890" i="6"/>
  <c r="I890" i="6"/>
  <c r="J890" i="6" s="1"/>
  <c r="K889" i="6"/>
  <c r="I889" i="6"/>
  <c r="M889" i="6" s="1"/>
  <c r="M888" i="6"/>
  <c r="K888" i="6"/>
  <c r="J888" i="6"/>
  <c r="I888" i="6"/>
  <c r="L888" i="6" s="1"/>
  <c r="M887" i="6"/>
  <c r="L887" i="6"/>
  <c r="K887" i="6"/>
  <c r="J887" i="6"/>
  <c r="I887" i="6"/>
  <c r="J886" i="6"/>
  <c r="I886" i="6"/>
  <c r="M886" i="6" s="1"/>
  <c r="M885" i="6"/>
  <c r="I885" i="6"/>
  <c r="L885" i="6" s="1"/>
  <c r="L884" i="6"/>
  <c r="J884" i="6"/>
  <c r="I884" i="6"/>
  <c r="M884" i="6" s="1"/>
  <c r="I883" i="6"/>
  <c r="L882" i="6"/>
  <c r="K882" i="6"/>
  <c r="I882" i="6"/>
  <c r="J882" i="6" s="1"/>
  <c r="K881" i="6"/>
  <c r="I881" i="6"/>
  <c r="M881" i="6" s="1"/>
  <c r="M880" i="6"/>
  <c r="K880" i="6"/>
  <c r="J880" i="6"/>
  <c r="I880" i="6"/>
  <c r="L880" i="6" s="1"/>
  <c r="M879" i="6"/>
  <c r="L879" i="6"/>
  <c r="K879" i="6"/>
  <c r="J879" i="6"/>
  <c r="I879" i="6"/>
  <c r="J878" i="6"/>
  <c r="I878" i="6"/>
  <c r="M878" i="6" s="1"/>
  <c r="M877" i="6"/>
  <c r="I877" i="6"/>
  <c r="L877" i="6" s="1"/>
  <c r="L876" i="6"/>
  <c r="J876" i="6"/>
  <c r="I876" i="6"/>
  <c r="M876" i="6" s="1"/>
  <c r="I875" i="6"/>
  <c r="L874" i="6"/>
  <c r="K874" i="6"/>
  <c r="I874" i="6"/>
  <c r="J874" i="6" s="1"/>
  <c r="I873" i="6"/>
  <c r="M872" i="6"/>
  <c r="K872" i="6"/>
  <c r="J872" i="6"/>
  <c r="I872" i="6"/>
  <c r="L872" i="6" s="1"/>
  <c r="M871" i="6"/>
  <c r="L871" i="6"/>
  <c r="K871" i="6"/>
  <c r="J871" i="6"/>
  <c r="I871" i="6"/>
  <c r="J870" i="6"/>
  <c r="I870" i="6"/>
  <c r="M870" i="6" s="1"/>
  <c r="M869" i="6"/>
  <c r="I869" i="6"/>
  <c r="L869" i="6" s="1"/>
  <c r="L868" i="6"/>
  <c r="K868" i="6"/>
  <c r="J868" i="6"/>
  <c r="I868" i="6"/>
  <c r="M868" i="6" s="1"/>
  <c r="I867" i="6"/>
  <c r="M866" i="6"/>
  <c r="L866" i="6"/>
  <c r="K866" i="6"/>
  <c r="I866" i="6"/>
  <c r="J866" i="6" s="1"/>
  <c r="I865" i="6"/>
  <c r="L865" i="6" s="1"/>
  <c r="M864" i="6"/>
  <c r="K864" i="6"/>
  <c r="J864" i="6"/>
  <c r="I864" i="6"/>
  <c r="L864" i="6" s="1"/>
  <c r="M863" i="6"/>
  <c r="L863" i="6"/>
  <c r="K863" i="6"/>
  <c r="J863" i="6"/>
  <c r="I863" i="6"/>
  <c r="L862" i="6"/>
  <c r="I862" i="6"/>
  <c r="K862" i="6" s="1"/>
  <c r="J861" i="6"/>
  <c r="I861" i="6"/>
  <c r="K861" i="6" s="1"/>
  <c r="K860" i="6"/>
  <c r="I860" i="6"/>
  <c r="M860" i="6" s="1"/>
  <c r="I859" i="6"/>
  <c r="M858" i="6"/>
  <c r="K858" i="6"/>
  <c r="I858" i="6"/>
  <c r="J858" i="6" s="1"/>
  <c r="I857" i="6"/>
  <c r="L857" i="6" s="1"/>
  <c r="M856" i="6"/>
  <c r="K856" i="6"/>
  <c r="J856" i="6"/>
  <c r="I856" i="6"/>
  <c r="L856" i="6" s="1"/>
  <c r="M855" i="6"/>
  <c r="L855" i="6"/>
  <c r="K855" i="6"/>
  <c r="J855" i="6"/>
  <c r="I855" i="6"/>
  <c r="L854" i="6"/>
  <c r="I854" i="6"/>
  <c r="K854" i="6" s="1"/>
  <c r="J853" i="6"/>
  <c r="I853" i="6"/>
  <c r="K853" i="6" s="1"/>
  <c r="K852" i="6"/>
  <c r="I852" i="6"/>
  <c r="M852" i="6" s="1"/>
  <c r="I851" i="6"/>
  <c r="M850" i="6"/>
  <c r="K850" i="6"/>
  <c r="I850" i="6"/>
  <c r="J850" i="6" s="1"/>
  <c r="I849" i="6"/>
  <c r="L849" i="6" s="1"/>
  <c r="M848" i="6"/>
  <c r="K848" i="6"/>
  <c r="J848" i="6"/>
  <c r="I848" i="6"/>
  <c r="L848" i="6" s="1"/>
  <c r="M847" i="6"/>
  <c r="L847" i="6"/>
  <c r="K847" i="6"/>
  <c r="J847" i="6"/>
  <c r="I847" i="6"/>
  <c r="L846" i="6"/>
  <c r="I846" i="6"/>
  <c r="K846" i="6" s="1"/>
  <c r="J845" i="6"/>
  <c r="I845" i="6"/>
  <c r="K845" i="6" s="1"/>
  <c r="K844" i="6"/>
  <c r="I844" i="6"/>
  <c r="M844" i="6" s="1"/>
  <c r="I843" i="6"/>
  <c r="M842" i="6"/>
  <c r="K842" i="6"/>
  <c r="I842" i="6"/>
  <c r="J842" i="6" s="1"/>
  <c r="I841" i="6"/>
  <c r="L841" i="6" s="1"/>
  <c r="M840" i="6"/>
  <c r="K840" i="6"/>
  <c r="J840" i="6"/>
  <c r="I840" i="6"/>
  <c r="L840" i="6" s="1"/>
  <c r="M839" i="6"/>
  <c r="L839" i="6"/>
  <c r="K839" i="6"/>
  <c r="J839" i="6"/>
  <c r="I839" i="6"/>
  <c r="L838" i="6"/>
  <c r="I838" i="6"/>
  <c r="K838" i="6" s="1"/>
  <c r="J837" i="6"/>
  <c r="I837" i="6"/>
  <c r="K837" i="6" s="1"/>
  <c r="K836" i="6"/>
  <c r="I836" i="6"/>
  <c r="M836" i="6" s="1"/>
  <c r="I835" i="6"/>
  <c r="K834" i="6"/>
  <c r="I834" i="6"/>
  <c r="J834" i="6" s="1"/>
  <c r="I833" i="6"/>
  <c r="L833" i="6" s="1"/>
  <c r="M832" i="6"/>
  <c r="K832" i="6"/>
  <c r="J832" i="6"/>
  <c r="I832" i="6"/>
  <c r="L832" i="6" s="1"/>
  <c r="M831" i="6"/>
  <c r="J831" i="6"/>
  <c r="I831" i="6"/>
  <c r="L831" i="6" s="1"/>
  <c r="L830" i="6"/>
  <c r="K830" i="6"/>
  <c r="J830" i="6"/>
  <c r="I830" i="6"/>
  <c r="M830" i="6" s="1"/>
  <c r="I829" i="6"/>
  <c r="I828" i="6"/>
  <c r="M828" i="6" s="1"/>
  <c r="K827" i="6"/>
  <c r="I827" i="6"/>
  <c r="J827" i="6" s="1"/>
  <c r="K826" i="6"/>
  <c r="J826" i="6"/>
  <c r="I826" i="6"/>
  <c r="M826" i="6" s="1"/>
  <c r="M825" i="6"/>
  <c r="L825" i="6"/>
  <c r="K825" i="6"/>
  <c r="J825" i="6"/>
  <c r="I825" i="6"/>
  <c r="M824" i="6"/>
  <c r="J824" i="6"/>
  <c r="I824" i="6"/>
  <c r="L824" i="6" s="1"/>
  <c r="M823" i="6"/>
  <c r="J823" i="6"/>
  <c r="I823" i="6"/>
  <c r="L823" i="6" s="1"/>
  <c r="L822" i="6"/>
  <c r="K822" i="6"/>
  <c r="J822" i="6"/>
  <c r="I822" i="6"/>
  <c r="M822" i="6" s="1"/>
  <c r="I821" i="6"/>
  <c r="I820" i="6"/>
  <c r="M820" i="6" s="1"/>
  <c r="K819" i="6"/>
  <c r="I819" i="6"/>
  <c r="J819" i="6" s="1"/>
  <c r="K818" i="6"/>
  <c r="J818" i="6"/>
  <c r="I818" i="6"/>
  <c r="M818" i="6" s="1"/>
  <c r="M817" i="6"/>
  <c r="L817" i="6"/>
  <c r="K817" i="6"/>
  <c r="J817" i="6"/>
  <c r="I817" i="6"/>
  <c r="M816" i="6"/>
  <c r="J816" i="6"/>
  <c r="I816" i="6"/>
  <c r="L816" i="6" s="1"/>
  <c r="M815" i="6"/>
  <c r="J815" i="6"/>
  <c r="I815" i="6"/>
  <c r="L815" i="6" s="1"/>
  <c r="L814" i="6"/>
  <c r="K814" i="6"/>
  <c r="J814" i="6"/>
  <c r="I814" i="6"/>
  <c r="M814" i="6" s="1"/>
  <c r="I813" i="6"/>
  <c r="I812" i="6"/>
  <c r="M812" i="6" s="1"/>
  <c r="K811" i="6"/>
  <c r="I811" i="6"/>
  <c r="J811" i="6" s="1"/>
  <c r="K810" i="6"/>
  <c r="J810" i="6"/>
  <c r="I810" i="6"/>
  <c r="M810" i="6" s="1"/>
  <c r="M809" i="6"/>
  <c r="L809" i="6"/>
  <c r="K809" i="6"/>
  <c r="J809" i="6"/>
  <c r="I809" i="6"/>
  <c r="M808" i="6"/>
  <c r="J808" i="6"/>
  <c r="I808" i="6"/>
  <c r="L808" i="6" s="1"/>
  <c r="M807" i="6"/>
  <c r="J807" i="6"/>
  <c r="I807" i="6"/>
  <c r="L807" i="6" s="1"/>
  <c r="L806" i="6"/>
  <c r="K806" i="6"/>
  <c r="J806" i="6"/>
  <c r="I806" i="6"/>
  <c r="M806" i="6" s="1"/>
  <c r="I805" i="6"/>
  <c r="I804" i="6"/>
  <c r="M804" i="6" s="1"/>
  <c r="K803" i="6"/>
  <c r="I803" i="6"/>
  <c r="J803" i="6" s="1"/>
  <c r="K802" i="6"/>
  <c r="J802" i="6"/>
  <c r="I802" i="6"/>
  <c r="M802" i="6" s="1"/>
  <c r="M801" i="6"/>
  <c r="L801" i="6"/>
  <c r="K801" i="6"/>
  <c r="J801" i="6"/>
  <c r="I801" i="6"/>
  <c r="M800" i="6"/>
  <c r="J800" i="6"/>
  <c r="I800" i="6"/>
  <c r="L800" i="6" s="1"/>
  <c r="M799" i="6"/>
  <c r="J799" i="6"/>
  <c r="I799" i="6"/>
  <c r="L799" i="6" s="1"/>
  <c r="L798" i="6"/>
  <c r="K798" i="6"/>
  <c r="J798" i="6"/>
  <c r="I798" i="6"/>
  <c r="M798" i="6" s="1"/>
  <c r="I797" i="6"/>
  <c r="I796" i="6"/>
  <c r="M796" i="6" s="1"/>
  <c r="K795" i="6"/>
  <c r="I795" i="6"/>
  <c r="J795" i="6" s="1"/>
  <c r="K794" i="6"/>
  <c r="J794" i="6"/>
  <c r="I794" i="6"/>
  <c r="M794" i="6" s="1"/>
  <c r="M793" i="6"/>
  <c r="L793" i="6"/>
  <c r="K793" i="6"/>
  <c r="J793" i="6"/>
  <c r="I793" i="6"/>
  <c r="M792" i="6"/>
  <c r="J792" i="6"/>
  <c r="I792" i="6"/>
  <c r="L792" i="6" s="1"/>
  <c r="M791" i="6"/>
  <c r="J791" i="6"/>
  <c r="I791" i="6"/>
  <c r="L791" i="6" s="1"/>
  <c r="L790" i="6"/>
  <c r="K790" i="6"/>
  <c r="J790" i="6"/>
  <c r="I790" i="6"/>
  <c r="M790" i="6" s="1"/>
  <c r="L789" i="6"/>
  <c r="I789" i="6"/>
  <c r="I788" i="6"/>
  <c r="K787" i="6"/>
  <c r="I787" i="6"/>
  <c r="J787" i="6" s="1"/>
  <c r="K786" i="6"/>
  <c r="J786" i="6"/>
  <c r="I786" i="6"/>
  <c r="M786" i="6" s="1"/>
  <c r="M785" i="6"/>
  <c r="L785" i="6"/>
  <c r="K785" i="6"/>
  <c r="J785" i="6"/>
  <c r="I785" i="6"/>
  <c r="M784" i="6"/>
  <c r="J784" i="6"/>
  <c r="I784" i="6"/>
  <c r="L784" i="6" s="1"/>
  <c r="M783" i="6"/>
  <c r="J783" i="6"/>
  <c r="I783" i="6"/>
  <c r="L783" i="6" s="1"/>
  <c r="L782" i="6"/>
  <c r="K782" i="6"/>
  <c r="J782" i="6"/>
  <c r="I782" i="6"/>
  <c r="M782" i="6" s="1"/>
  <c r="L781" i="6"/>
  <c r="I781" i="6"/>
  <c r="I780" i="6"/>
  <c r="K779" i="6"/>
  <c r="I779" i="6"/>
  <c r="J779" i="6" s="1"/>
  <c r="K778" i="6"/>
  <c r="J778" i="6"/>
  <c r="I778" i="6"/>
  <c r="M778" i="6" s="1"/>
  <c r="M777" i="6"/>
  <c r="L777" i="6"/>
  <c r="K777" i="6"/>
  <c r="J777" i="6"/>
  <c r="I777" i="6"/>
  <c r="M776" i="6"/>
  <c r="J776" i="6"/>
  <c r="I776" i="6"/>
  <c r="L776" i="6" s="1"/>
  <c r="M775" i="6"/>
  <c r="J775" i="6"/>
  <c r="I775" i="6"/>
  <c r="L775" i="6" s="1"/>
  <c r="L774" i="6"/>
  <c r="K774" i="6"/>
  <c r="J774" i="6"/>
  <c r="I774" i="6"/>
  <c r="M774" i="6" s="1"/>
  <c r="I773" i="6"/>
  <c r="I772" i="6"/>
  <c r="I771" i="6"/>
  <c r="K770" i="6"/>
  <c r="J770" i="6"/>
  <c r="I770" i="6"/>
  <c r="M770" i="6" s="1"/>
  <c r="M769" i="6"/>
  <c r="L769" i="6"/>
  <c r="K769" i="6"/>
  <c r="J769" i="6"/>
  <c r="I769" i="6"/>
  <c r="M768" i="6"/>
  <c r="J768" i="6"/>
  <c r="I768" i="6"/>
  <c r="L768" i="6" s="1"/>
  <c r="M767" i="6"/>
  <c r="J767" i="6"/>
  <c r="I767" i="6"/>
  <c r="L767" i="6" s="1"/>
  <c r="L766" i="6"/>
  <c r="K766" i="6"/>
  <c r="J766" i="6"/>
  <c r="I766" i="6"/>
  <c r="M766" i="6" s="1"/>
  <c r="I765" i="6"/>
  <c r="I764" i="6"/>
  <c r="I763" i="6"/>
  <c r="K762" i="6"/>
  <c r="J762" i="6"/>
  <c r="I762" i="6"/>
  <c r="M762" i="6" s="1"/>
  <c r="M761" i="6"/>
  <c r="L761" i="6"/>
  <c r="K761" i="6"/>
  <c r="J761" i="6"/>
  <c r="I761" i="6"/>
  <c r="M760" i="6"/>
  <c r="J760" i="6"/>
  <c r="I760" i="6"/>
  <c r="L760" i="6" s="1"/>
  <c r="M759" i="6"/>
  <c r="J759" i="6"/>
  <c r="I759" i="6"/>
  <c r="L759" i="6" s="1"/>
  <c r="L758" i="6"/>
  <c r="K758" i="6"/>
  <c r="J758" i="6"/>
  <c r="I758" i="6"/>
  <c r="M758" i="6" s="1"/>
  <c r="I757" i="6"/>
  <c r="I756" i="6"/>
  <c r="I755" i="6"/>
  <c r="K754" i="6"/>
  <c r="J754" i="6"/>
  <c r="I754" i="6"/>
  <c r="M754" i="6" s="1"/>
  <c r="M753" i="6"/>
  <c r="L753" i="6"/>
  <c r="K753" i="6"/>
  <c r="J753" i="6"/>
  <c r="I753" i="6"/>
  <c r="M752" i="6"/>
  <c r="J752" i="6"/>
  <c r="I752" i="6"/>
  <c r="L752" i="6" s="1"/>
  <c r="M751" i="6"/>
  <c r="J751" i="6"/>
  <c r="I751" i="6"/>
  <c r="L751" i="6" s="1"/>
  <c r="L750" i="6"/>
  <c r="K750" i="6"/>
  <c r="J750" i="6"/>
  <c r="I750" i="6"/>
  <c r="M750" i="6" s="1"/>
  <c r="I749" i="6"/>
  <c r="I748" i="6"/>
  <c r="I747" i="6"/>
  <c r="K746" i="6"/>
  <c r="J746" i="6"/>
  <c r="I746" i="6"/>
  <c r="M746" i="6" s="1"/>
  <c r="M745" i="6"/>
  <c r="L745" i="6"/>
  <c r="K745" i="6"/>
  <c r="J745" i="6"/>
  <c r="I745" i="6"/>
  <c r="M744" i="6"/>
  <c r="J744" i="6"/>
  <c r="I744" i="6"/>
  <c r="L744" i="6" s="1"/>
  <c r="M743" i="6"/>
  <c r="J743" i="6"/>
  <c r="I743" i="6"/>
  <c r="L743" i="6" s="1"/>
  <c r="L742" i="6"/>
  <c r="K742" i="6"/>
  <c r="J742" i="6"/>
  <c r="I742" i="6"/>
  <c r="M742" i="6" s="1"/>
  <c r="I741" i="6"/>
  <c r="I740" i="6"/>
  <c r="I739" i="6"/>
  <c r="K738" i="6"/>
  <c r="J738" i="6"/>
  <c r="I738" i="6"/>
  <c r="M738" i="6" s="1"/>
  <c r="M737" i="6"/>
  <c r="L737" i="6"/>
  <c r="K737" i="6"/>
  <c r="J737" i="6"/>
  <c r="I737" i="6"/>
  <c r="M736" i="6"/>
  <c r="J736" i="6"/>
  <c r="I736" i="6"/>
  <c r="L736" i="6" s="1"/>
  <c r="M735" i="6"/>
  <c r="J735" i="6"/>
  <c r="I735" i="6"/>
  <c r="L735" i="6" s="1"/>
  <c r="L734" i="6"/>
  <c r="K734" i="6"/>
  <c r="J734" i="6"/>
  <c r="I734" i="6"/>
  <c r="M734" i="6" s="1"/>
  <c r="L733" i="6"/>
  <c r="K733" i="6"/>
  <c r="I733" i="6"/>
  <c r="I732" i="6"/>
  <c r="I731" i="6"/>
  <c r="K730" i="6"/>
  <c r="J730" i="6"/>
  <c r="I730" i="6"/>
  <c r="M730" i="6" s="1"/>
  <c r="M729" i="6"/>
  <c r="L729" i="6"/>
  <c r="K729" i="6"/>
  <c r="J729" i="6"/>
  <c r="I729" i="6"/>
  <c r="I728" i="6"/>
  <c r="K728" i="6" s="1"/>
  <c r="I727" i="6"/>
  <c r="L726" i="6"/>
  <c r="K726" i="6"/>
  <c r="J726" i="6"/>
  <c r="I726" i="6"/>
  <c r="M726" i="6" s="1"/>
  <c r="L725" i="6"/>
  <c r="I725" i="6"/>
  <c r="M724" i="6"/>
  <c r="L724" i="6"/>
  <c r="I724" i="6"/>
  <c r="M723" i="6"/>
  <c r="K723" i="6"/>
  <c r="J723" i="6"/>
  <c r="I723" i="6"/>
  <c r="L723" i="6" s="1"/>
  <c r="K722" i="6"/>
  <c r="J722" i="6"/>
  <c r="I722" i="6"/>
  <c r="M722" i="6" s="1"/>
  <c r="M721" i="6"/>
  <c r="L721" i="6"/>
  <c r="K721" i="6"/>
  <c r="J721" i="6"/>
  <c r="I721" i="6"/>
  <c r="L720" i="6"/>
  <c r="J720" i="6"/>
  <c r="I720" i="6"/>
  <c r="K720" i="6" s="1"/>
  <c r="I719" i="6"/>
  <c r="L718" i="6"/>
  <c r="K718" i="6"/>
  <c r="J718" i="6"/>
  <c r="I718" i="6"/>
  <c r="M718" i="6" s="1"/>
  <c r="I717" i="6"/>
  <c r="M716" i="6"/>
  <c r="I716" i="6"/>
  <c r="M715" i="6"/>
  <c r="K715" i="6"/>
  <c r="I715" i="6"/>
  <c r="L715" i="6" s="1"/>
  <c r="K714" i="6"/>
  <c r="J714" i="6"/>
  <c r="I714" i="6"/>
  <c r="M714" i="6" s="1"/>
  <c r="M713" i="6"/>
  <c r="L713" i="6"/>
  <c r="K713" i="6"/>
  <c r="J713" i="6"/>
  <c r="I713" i="6"/>
  <c r="M712" i="6"/>
  <c r="L712" i="6"/>
  <c r="I712" i="6"/>
  <c r="K712" i="6" s="1"/>
  <c r="M711" i="6"/>
  <c r="J711" i="6"/>
  <c r="I711" i="6"/>
  <c r="L710" i="6"/>
  <c r="K710" i="6"/>
  <c r="J710" i="6"/>
  <c r="I710" i="6"/>
  <c r="M710" i="6" s="1"/>
  <c r="I709" i="6"/>
  <c r="I708" i="6"/>
  <c r="M707" i="6"/>
  <c r="I707" i="6"/>
  <c r="L707" i="6" s="1"/>
  <c r="K706" i="6"/>
  <c r="J706" i="6"/>
  <c r="I706" i="6"/>
  <c r="M706" i="6" s="1"/>
  <c r="M705" i="6"/>
  <c r="L705" i="6"/>
  <c r="K705" i="6"/>
  <c r="J705" i="6"/>
  <c r="I705" i="6"/>
  <c r="M704" i="6"/>
  <c r="I704" i="6"/>
  <c r="K704" i="6" s="1"/>
  <c r="M703" i="6"/>
  <c r="I703" i="6"/>
  <c r="L702" i="6"/>
  <c r="K702" i="6"/>
  <c r="J702" i="6"/>
  <c r="I702" i="6"/>
  <c r="M702" i="6" s="1"/>
  <c r="L701" i="6"/>
  <c r="K701" i="6"/>
  <c r="I701" i="6"/>
  <c r="L700" i="6"/>
  <c r="K700" i="6"/>
  <c r="I700" i="6"/>
  <c r="J700" i="6" s="1"/>
  <c r="M699" i="6"/>
  <c r="K699" i="6"/>
  <c r="J699" i="6"/>
  <c r="I699" i="6"/>
  <c r="L699" i="6" s="1"/>
  <c r="M698" i="6"/>
  <c r="K698" i="6"/>
  <c r="J698" i="6"/>
  <c r="I698" i="6"/>
  <c r="L698" i="6" s="1"/>
  <c r="M697" i="6"/>
  <c r="L697" i="6"/>
  <c r="K697" i="6"/>
  <c r="J697" i="6"/>
  <c r="I697" i="6"/>
  <c r="M696" i="6"/>
  <c r="L696" i="6"/>
  <c r="I696" i="6"/>
  <c r="K696" i="6" s="1"/>
  <c r="M695" i="6"/>
  <c r="I695" i="6"/>
  <c r="K695" i="6" s="1"/>
  <c r="M694" i="6"/>
  <c r="I694" i="6"/>
  <c r="I693" i="6"/>
  <c r="I692" i="6"/>
  <c r="K691" i="6"/>
  <c r="J691" i="6"/>
  <c r="I691" i="6"/>
  <c r="M691" i="6" s="1"/>
  <c r="M690" i="6"/>
  <c r="L690" i="6"/>
  <c r="K690" i="6"/>
  <c r="I690" i="6"/>
  <c r="J690" i="6" s="1"/>
  <c r="M689" i="6"/>
  <c r="L689" i="6"/>
  <c r="I689" i="6"/>
  <c r="K689" i="6" s="1"/>
  <c r="J688" i="6"/>
  <c r="I688" i="6"/>
  <c r="M688" i="6" s="1"/>
  <c r="M687" i="6"/>
  <c r="L687" i="6"/>
  <c r="K687" i="6"/>
  <c r="J687" i="6"/>
  <c r="I687" i="6"/>
  <c r="L686" i="6"/>
  <c r="K686" i="6"/>
  <c r="I686" i="6"/>
  <c r="J686" i="6" s="1"/>
  <c r="I685" i="6"/>
  <c r="M684" i="6"/>
  <c r="I684" i="6"/>
  <c r="K683" i="6"/>
  <c r="J683" i="6"/>
  <c r="I683" i="6"/>
  <c r="M683" i="6" s="1"/>
  <c r="M682" i="6"/>
  <c r="L682" i="6"/>
  <c r="K682" i="6"/>
  <c r="I682" i="6"/>
  <c r="J682" i="6" s="1"/>
  <c r="M681" i="6"/>
  <c r="L681" i="6"/>
  <c r="I681" i="6"/>
  <c r="K681" i="6" s="1"/>
  <c r="M680" i="6"/>
  <c r="J680" i="6"/>
  <c r="I680" i="6"/>
  <c r="M679" i="6"/>
  <c r="L679" i="6"/>
  <c r="K679" i="6"/>
  <c r="J679" i="6"/>
  <c r="I679" i="6"/>
  <c r="L678" i="6"/>
  <c r="K678" i="6"/>
  <c r="I678" i="6"/>
  <c r="J678" i="6" s="1"/>
  <c r="I677" i="6"/>
  <c r="I676" i="6"/>
  <c r="K675" i="6"/>
  <c r="J675" i="6"/>
  <c r="I675" i="6"/>
  <c r="M675" i="6" s="1"/>
  <c r="M674" i="6"/>
  <c r="L674" i="6"/>
  <c r="K674" i="6"/>
  <c r="I674" i="6"/>
  <c r="J674" i="6" s="1"/>
  <c r="M673" i="6"/>
  <c r="L673" i="6"/>
  <c r="I673" i="6"/>
  <c r="K673" i="6" s="1"/>
  <c r="I672" i="6"/>
  <c r="M671" i="6"/>
  <c r="L671" i="6"/>
  <c r="K671" i="6"/>
  <c r="J671" i="6"/>
  <c r="I671" i="6"/>
  <c r="L670" i="6"/>
  <c r="K670" i="6"/>
  <c r="I670" i="6"/>
  <c r="J670" i="6" s="1"/>
  <c r="L669" i="6"/>
  <c r="I669" i="6"/>
  <c r="I668" i="6"/>
  <c r="K667" i="6"/>
  <c r="J667" i="6"/>
  <c r="I667" i="6"/>
  <c r="M667" i="6" s="1"/>
  <c r="M666" i="6"/>
  <c r="L666" i="6"/>
  <c r="K666" i="6"/>
  <c r="I666" i="6"/>
  <c r="J666" i="6" s="1"/>
  <c r="M665" i="6"/>
  <c r="L665" i="6"/>
  <c r="I665" i="6"/>
  <c r="K665" i="6" s="1"/>
  <c r="I664" i="6"/>
  <c r="M663" i="6"/>
  <c r="L663" i="6"/>
  <c r="K663" i="6"/>
  <c r="J663" i="6"/>
  <c r="I663" i="6"/>
  <c r="L662" i="6"/>
  <c r="K662" i="6"/>
  <c r="I662" i="6"/>
  <c r="J662" i="6" s="1"/>
  <c r="I661" i="6"/>
  <c r="I660" i="6"/>
  <c r="K659" i="6"/>
  <c r="J659" i="6"/>
  <c r="I659" i="6"/>
  <c r="M659" i="6" s="1"/>
  <c r="M658" i="6"/>
  <c r="L658" i="6"/>
  <c r="K658" i="6"/>
  <c r="I658" i="6"/>
  <c r="J658" i="6" s="1"/>
  <c r="M657" i="6"/>
  <c r="L657" i="6"/>
  <c r="I657" i="6"/>
  <c r="K657" i="6" s="1"/>
  <c r="M656" i="6"/>
  <c r="J656" i="6"/>
  <c r="I656" i="6"/>
  <c r="M655" i="6"/>
  <c r="L655" i="6"/>
  <c r="K655" i="6"/>
  <c r="J655" i="6"/>
  <c r="I655" i="6"/>
  <c r="L654" i="6"/>
  <c r="K654" i="6"/>
  <c r="I654" i="6"/>
  <c r="J654" i="6" s="1"/>
  <c r="I653" i="6"/>
  <c r="M652" i="6"/>
  <c r="I652" i="6"/>
  <c r="K651" i="6"/>
  <c r="J651" i="6"/>
  <c r="I651" i="6"/>
  <c r="M651" i="6" s="1"/>
  <c r="M650" i="6"/>
  <c r="L650" i="6"/>
  <c r="K650" i="6"/>
  <c r="I650" i="6"/>
  <c r="J650" i="6" s="1"/>
  <c r="M649" i="6"/>
  <c r="L649" i="6"/>
  <c r="I649" i="6"/>
  <c r="K649" i="6" s="1"/>
  <c r="M648" i="6"/>
  <c r="I648" i="6"/>
  <c r="M647" i="6"/>
  <c r="L647" i="6"/>
  <c r="K647" i="6"/>
  <c r="J647" i="6"/>
  <c r="I647" i="6"/>
  <c r="L646" i="6"/>
  <c r="K646" i="6"/>
  <c r="I646" i="6"/>
  <c r="J646" i="6" s="1"/>
  <c r="I645" i="6"/>
  <c r="M644" i="6"/>
  <c r="I644" i="6"/>
  <c r="K643" i="6"/>
  <c r="J643" i="6"/>
  <c r="I643" i="6"/>
  <c r="M643" i="6" s="1"/>
  <c r="M642" i="6"/>
  <c r="L642" i="6"/>
  <c r="K642" i="6"/>
  <c r="I642" i="6"/>
  <c r="J642" i="6" s="1"/>
  <c r="M641" i="6"/>
  <c r="L641" i="6"/>
  <c r="I641" i="6"/>
  <c r="K641" i="6" s="1"/>
  <c r="I640" i="6"/>
  <c r="M639" i="6"/>
  <c r="L639" i="6"/>
  <c r="K639" i="6"/>
  <c r="J639" i="6"/>
  <c r="I639" i="6"/>
  <c r="L638" i="6"/>
  <c r="K638" i="6"/>
  <c r="I638" i="6"/>
  <c r="J638" i="6" s="1"/>
  <c r="L637" i="6"/>
  <c r="I637" i="6"/>
  <c r="I636" i="6"/>
  <c r="K635" i="6"/>
  <c r="J635" i="6"/>
  <c r="I635" i="6"/>
  <c r="M635" i="6" s="1"/>
  <c r="M634" i="6"/>
  <c r="L634" i="6"/>
  <c r="K634" i="6"/>
  <c r="I634" i="6"/>
  <c r="J634" i="6" s="1"/>
  <c r="M633" i="6"/>
  <c r="L633" i="6"/>
  <c r="I633" i="6"/>
  <c r="K633" i="6" s="1"/>
  <c r="I632" i="6"/>
  <c r="M631" i="6"/>
  <c r="L631" i="6"/>
  <c r="K631" i="6"/>
  <c r="J631" i="6"/>
  <c r="I631" i="6"/>
  <c r="L630" i="6"/>
  <c r="K630" i="6"/>
  <c r="I630" i="6"/>
  <c r="J630" i="6" s="1"/>
  <c r="L629" i="6"/>
  <c r="I629" i="6"/>
  <c r="I628" i="6"/>
  <c r="K627" i="6"/>
  <c r="J627" i="6"/>
  <c r="I627" i="6"/>
  <c r="M627" i="6" s="1"/>
  <c r="M626" i="6"/>
  <c r="L626" i="6"/>
  <c r="K626" i="6"/>
  <c r="I626" i="6"/>
  <c r="J626" i="6" s="1"/>
  <c r="M625" i="6"/>
  <c r="L625" i="6"/>
  <c r="I625" i="6"/>
  <c r="K625" i="6" s="1"/>
  <c r="J624" i="6"/>
  <c r="I624" i="6"/>
  <c r="M624" i="6" s="1"/>
  <c r="M623" i="6"/>
  <c r="L623" i="6"/>
  <c r="K623" i="6"/>
  <c r="J623" i="6"/>
  <c r="I623" i="6"/>
  <c r="L622" i="6"/>
  <c r="K622" i="6"/>
  <c r="I622" i="6"/>
  <c r="J622" i="6" s="1"/>
  <c r="I621" i="6"/>
  <c r="M620" i="6"/>
  <c r="I620" i="6"/>
  <c r="K619" i="6"/>
  <c r="J619" i="6"/>
  <c r="I619" i="6"/>
  <c r="M619" i="6" s="1"/>
  <c r="M618" i="6"/>
  <c r="L618" i="6"/>
  <c r="K618" i="6"/>
  <c r="I618" i="6"/>
  <c r="J618" i="6" s="1"/>
  <c r="M617" i="6"/>
  <c r="L617" i="6"/>
  <c r="I617" i="6"/>
  <c r="K617" i="6" s="1"/>
  <c r="M616" i="6"/>
  <c r="J616" i="6"/>
  <c r="I616" i="6"/>
  <c r="M615" i="6"/>
  <c r="L615" i="6"/>
  <c r="K615" i="6"/>
  <c r="J615" i="6"/>
  <c r="I615" i="6"/>
  <c r="L614" i="6"/>
  <c r="K614" i="6"/>
  <c r="I614" i="6"/>
  <c r="J614" i="6" s="1"/>
  <c r="I613" i="6"/>
  <c r="I612" i="6"/>
  <c r="K611" i="6"/>
  <c r="J611" i="6"/>
  <c r="I611" i="6"/>
  <c r="M611" i="6" s="1"/>
  <c r="M610" i="6"/>
  <c r="L610" i="6"/>
  <c r="K610" i="6"/>
  <c r="I610" i="6"/>
  <c r="J610" i="6" s="1"/>
  <c r="M609" i="6"/>
  <c r="L609" i="6"/>
  <c r="I609" i="6"/>
  <c r="K609" i="6" s="1"/>
  <c r="I608" i="6"/>
  <c r="M607" i="6"/>
  <c r="L607" i="6"/>
  <c r="K607" i="6"/>
  <c r="J607" i="6"/>
  <c r="I607" i="6"/>
  <c r="L606" i="6"/>
  <c r="K606" i="6"/>
  <c r="I606" i="6"/>
  <c r="J606" i="6" s="1"/>
  <c r="L605" i="6"/>
  <c r="I605" i="6"/>
  <c r="I604" i="6"/>
  <c r="K603" i="6"/>
  <c r="J603" i="6"/>
  <c r="I603" i="6"/>
  <c r="M603" i="6" s="1"/>
  <c r="M602" i="6"/>
  <c r="L602" i="6"/>
  <c r="K602" i="6"/>
  <c r="I602" i="6"/>
  <c r="J602" i="6" s="1"/>
  <c r="M601" i="6"/>
  <c r="L601" i="6"/>
  <c r="I601" i="6"/>
  <c r="K601" i="6" s="1"/>
  <c r="I600" i="6"/>
  <c r="M599" i="6"/>
  <c r="L599" i="6"/>
  <c r="K599" i="6"/>
  <c r="J599" i="6"/>
  <c r="I599" i="6"/>
  <c r="L598" i="6"/>
  <c r="K598" i="6"/>
  <c r="I598" i="6"/>
  <c r="J598" i="6" s="1"/>
  <c r="I597" i="6"/>
  <c r="I596" i="6"/>
  <c r="K595" i="6"/>
  <c r="J595" i="6"/>
  <c r="I595" i="6"/>
  <c r="M595" i="6" s="1"/>
  <c r="M594" i="6"/>
  <c r="L594" i="6"/>
  <c r="K594" i="6"/>
  <c r="I594" i="6"/>
  <c r="J594" i="6" s="1"/>
  <c r="M593" i="6"/>
  <c r="L593" i="6"/>
  <c r="I593" i="6"/>
  <c r="K593" i="6" s="1"/>
  <c r="M592" i="6"/>
  <c r="J592" i="6"/>
  <c r="I592" i="6"/>
  <c r="M591" i="6"/>
  <c r="L591" i="6"/>
  <c r="K591" i="6"/>
  <c r="J591" i="6"/>
  <c r="I591" i="6"/>
  <c r="L590" i="6"/>
  <c r="K590" i="6"/>
  <c r="I590" i="6"/>
  <c r="J590" i="6" s="1"/>
  <c r="I589" i="6"/>
  <c r="M588" i="6"/>
  <c r="I588" i="6"/>
  <c r="K587" i="6"/>
  <c r="J587" i="6"/>
  <c r="I587" i="6"/>
  <c r="M587" i="6" s="1"/>
  <c r="M586" i="6"/>
  <c r="L586" i="6"/>
  <c r="K586" i="6"/>
  <c r="I586" i="6"/>
  <c r="J586" i="6" s="1"/>
  <c r="M585" i="6"/>
  <c r="L585" i="6"/>
  <c r="I585" i="6"/>
  <c r="K585" i="6" s="1"/>
  <c r="M584" i="6"/>
  <c r="I584" i="6"/>
  <c r="M583" i="6"/>
  <c r="L583" i="6"/>
  <c r="K583" i="6"/>
  <c r="J583" i="6"/>
  <c r="I583" i="6"/>
  <c r="L582" i="6"/>
  <c r="K582" i="6"/>
  <c r="I582" i="6"/>
  <c r="J582" i="6" s="1"/>
  <c r="L581" i="6"/>
  <c r="I581" i="6"/>
  <c r="M581" i="6" s="1"/>
  <c r="I580" i="6"/>
  <c r="K579" i="6"/>
  <c r="J579" i="6"/>
  <c r="I579" i="6"/>
  <c r="M579" i="6" s="1"/>
  <c r="M578" i="6"/>
  <c r="L578" i="6"/>
  <c r="K578" i="6"/>
  <c r="I578" i="6"/>
  <c r="J578" i="6" s="1"/>
  <c r="M577" i="6"/>
  <c r="I577" i="6"/>
  <c r="J576" i="6"/>
  <c r="I576" i="6"/>
  <c r="M576" i="6" s="1"/>
  <c r="M575" i="6"/>
  <c r="L575" i="6"/>
  <c r="K575" i="6"/>
  <c r="J575" i="6"/>
  <c r="I575" i="6"/>
  <c r="L574" i="6"/>
  <c r="K574" i="6"/>
  <c r="I574" i="6"/>
  <c r="J574" i="6" s="1"/>
  <c r="I573" i="6"/>
  <c r="I572" i="6"/>
  <c r="K571" i="6"/>
  <c r="J571" i="6"/>
  <c r="I571" i="6"/>
  <c r="M571" i="6" s="1"/>
  <c r="M570" i="6"/>
  <c r="L570" i="6"/>
  <c r="K570" i="6"/>
  <c r="I570" i="6"/>
  <c r="J570" i="6" s="1"/>
  <c r="L569" i="6"/>
  <c r="I569" i="6"/>
  <c r="M569" i="6" s="1"/>
  <c r="I568" i="6"/>
  <c r="M567" i="6"/>
  <c r="L567" i="6"/>
  <c r="K567" i="6"/>
  <c r="J567" i="6"/>
  <c r="I567" i="6"/>
  <c r="L566" i="6"/>
  <c r="K566" i="6"/>
  <c r="I566" i="6"/>
  <c r="J566" i="6" s="1"/>
  <c r="I565" i="6"/>
  <c r="M564" i="6"/>
  <c r="K564" i="6"/>
  <c r="I564" i="6"/>
  <c r="L564" i="6" s="1"/>
  <c r="K563" i="6"/>
  <c r="J563" i="6"/>
  <c r="I563" i="6"/>
  <c r="M563" i="6" s="1"/>
  <c r="M562" i="6"/>
  <c r="L562" i="6"/>
  <c r="K562" i="6"/>
  <c r="I562" i="6"/>
  <c r="J562" i="6" s="1"/>
  <c r="I561" i="6"/>
  <c r="M561" i="6" s="1"/>
  <c r="M560" i="6"/>
  <c r="J560" i="6"/>
  <c r="I560" i="6"/>
  <c r="M559" i="6"/>
  <c r="L559" i="6"/>
  <c r="K559" i="6"/>
  <c r="J559" i="6"/>
  <c r="I559" i="6"/>
  <c r="L558" i="6"/>
  <c r="K558" i="6"/>
  <c r="I558" i="6"/>
  <c r="M558" i="6" s="1"/>
  <c r="M557" i="6"/>
  <c r="I557" i="6"/>
  <c r="M556" i="6"/>
  <c r="L556" i="6"/>
  <c r="K556" i="6"/>
  <c r="I556" i="6"/>
  <c r="J556" i="6" s="1"/>
  <c r="I555" i="6"/>
  <c r="M554" i="6"/>
  <c r="L554" i="6"/>
  <c r="K554" i="6"/>
  <c r="I554" i="6"/>
  <c r="J554" i="6" s="1"/>
  <c r="I553" i="6"/>
  <c r="M553" i="6" s="1"/>
  <c r="M552" i="6"/>
  <c r="I552" i="6"/>
  <c r="L552" i="6" s="1"/>
  <c r="M551" i="6"/>
  <c r="L551" i="6"/>
  <c r="K551" i="6"/>
  <c r="J551" i="6"/>
  <c r="I551" i="6"/>
  <c r="M550" i="6"/>
  <c r="K550" i="6"/>
  <c r="J550" i="6"/>
  <c r="I550" i="6"/>
  <c r="L550" i="6" s="1"/>
  <c r="J549" i="6"/>
  <c r="I549" i="6"/>
  <c r="K549" i="6" s="1"/>
  <c r="L548" i="6"/>
  <c r="I548" i="6"/>
  <c r="M548" i="6" s="1"/>
  <c r="L547" i="6"/>
  <c r="K547" i="6"/>
  <c r="J547" i="6"/>
  <c r="I547" i="6"/>
  <c r="M547" i="6" s="1"/>
  <c r="I546" i="6"/>
  <c r="J546" i="6" s="1"/>
  <c r="L545" i="6"/>
  <c r="I545" i="6"/>
  <c r="K545" i="6" s="1"/>
  <c r="I544" i="6"/>
  <c r="L544" i="6" s="1"/>
  <c r="M543" i="6"/>
  <c r="L543" i="6"/>
  <c r="J543" i="6"/>
  <c r="I543" i="6"/>
  <c r="K543" i="6" s="1"/>
  <c r="J542" i="6"/>
  <c r="I542" i="6"/>
  <c r="M542" i="6" s="1"/>
  <c r="I541" i="6"/>
  <c r="M541" i="6" s="1"/>
  <c r="L540" i="6"/>
  <c r="I540" i="6"/>
  <c r="K540" i="6" s="1"/>
  <c r="I539" i="6"/>
  <c r="M538" i="6"/>
  <c r="K538" i="6"/>
  <c r="J538" i="6"/>
  <c r="I538" i="6"/>
  <c r="L538" i="6" s="1"/>
  <c r="M537" i="6"/>
  <c r="L537" i="6"/>
  <c r="K537" i="6"/>
  <c r="J537" i="6"/>
  <c r="I537" i="6"/>
  <c r="I536" i="6"/>
  <c r="M536" i="6" s="1"/>
  <c r="M535" i="6"/>
  <c r="L535" i="6"/>
  <c r="J535" i="6"/>
  <c r="I535" i="6"/>
  <c r="K535" i="6" s="1"/>
  <c r="J534" i="6"/>
  <c r="I534" i="6"/>
  <c r="M534" i="6" s="1"/>
  <c r="I533" i="6"/>
  <c r="M533" i="6" s="1"/>
  <c r="L532" i="6"/>
  <c r="I532" i="6"/>
  <c r="K532" i="6" s="1"/>
  <c r="I531" i="6"/>
  <c r="M530" i="6"/>
  <c r="K530" i="6"/>
  <c r="J530" i="6"/>
  <c r="I530" i="6"/>
  <c r="L530" i="6" s="1"/>
  <c r="M529" i="6"/>
  <c r="L529" i="6"/>
  <c r="K529" i="6"/>
  <c r="J529" i="6"/>
  <c r="I529" i="6"/>
  <c r="I528" i="6"/>
  <c r="M528" i="6" s="1"/>
  <c r="M527" i="6"/>
  <c r="L527" i="6"/>
  <c r="J527" i="6"/>
  <c r="I527" i="6"/>
  <c r="K527" i="6" s="1"/>
  <c r="J526" i="6"/>
  <c r="I526" i="6"/>
  <c r="M526" i="6" s="1"/>
  <c r="I525" i="6"/>
  <c r="M525" i="6" s="1"/>
  <c r="L524" i="6"/>
  <c r="I524" i="6"/>
  <c r="K524" i="6" s="1"/>
  <c r="I523" i="6"/>
  <c r="M522" i="6"/>
  <c r="K522" i="6"/>
  <c r="J522" i="6"/>
  <c r="I522" i="6"/>
  <c r="L522" i="6" s="1"/>
  <c r="M521" i="6"/>
  <c r="L521" i="6"/>
  <c r="K521" i="6"/>
  <c r="J521" i="6"/>
  <c r="I521" i="6"/>
  <c r="I520" i="6"/>
  <c r="M520" i="6" s="1"/>
  <c r="M519" i="6"/>
  <c r="L519" i="6"/>
  <c r="J519" i="6"/>
  <c r="I519" i="6"/>
  <c r="K519" i="6" s="1"/>
  <c r="J518" i="6"/>
  <c r="I518" i="6"/>
  <c r="M518" i="6" s="1"/>
  <c r="I517" i="6"/>
  <c r="M517" i="6" s="1"/>
  <c r="L516" i="6"/>
  <c r="I516" i="6"/>
  <c r="K516" i="6" s="1"/>
  <c r="I515" i="6"/>
  <c r="M514" i="6"/>
  <c r="K514" i="6"/>
  <c r="J514" i="6"/>
  <c r="I514" i="6"/>
  <c r="L514" i="6" s="1"/>
  <c r="M513" i="6"/>
  <c r="L513" i="6"/>
  <c r="K513" i="6"/>
  <c r="J513" i="6"/>
  <c r="I513" i="6"/>
  <c r="I512" i="6"/>
  <c r="M512" i="6" s="1"/>
  <c r="M511" i="6"/>
  <c r="L511" i="6"/>
  <c r="J511" i="6"/>
  <c r="I511" i="6"/>
  <c r="K511" i="6" s="1"/>
  <c r="J510" i="6"/>
  <c r="I510" i="6"/>
  <c r="M510" i="6" s="1"/>
  <c r="I509" i="6"/>
  <c r="M509" i="6" s="1"/>
  <c r="L508" i="6"/>
  <c r="I508" i="6"/>
  <c r="K508" i="6" s="1"/>
  <c r="I507" i="6"/>
  <c r="M506" i="6"/>
  <c r="K506" i="6"/>
  <c r="J506" i="6"/>
  <c r="I506" i="6"/>
  <c r="L506" i="6" s="1"/>
  <c r="M505" i="6"/>
  <c r="L505" i="6"/>
  <c r="K505" i="6"/>
  <c r="J505" i="6"/>
  <c r="I505" i="6"/>
  <c r="M504" i="6"/>
  <c r="I504" i="6"/>
  <c r="L504" i="6" s="1"/>
  <c r="M503" i="6"/>
  <c r="L503" i="6"/>
  <c r="J503" i="6"/>
  <c r="I503" i="6"/>
  <c r="K503" i="6" s="1"/>
  <c r="J502" i="6"/>
  <c r="I502" i="6"/>
  <c r="M502" i="6" s="1"/>
  <c r="I501" i="6"/>
  <c r="M501" i="6" s="1"/>
  <c r="L500" i="6"/>
  <c r="I500" i="6"/>
  <c r="K500" i="6" s="1"/>
  <c r="I499" i="6"/>
  <c r="M498" i="6"/>
  <c r="K498" i="6"/>
  <c r="J498" i="6"/>
  <c r="I498" i="6"/>
  <c r="L498" i="6" s="1"/>
  <c r="M497" i="6"/>
  <c r="L497" i="6"/>
  <c r="K497" i="6"/>
  <c r="J497" i="6"/>
  <c r="I497" i="6"/>
  <c r="M496" i="6"/>
  <c r="I496" i="6"/>
  <c r="L496" i="6" s="1"/>
  <c r="M495" i="6"/>
  <c r="L495" i="6"/>
  <c r="J495" i="6"/>
  <c r="I495" i="6"/>
  <c r="K495" i="6" s="1"/>
  <c r="J494" i="6"/>
  <c r="I494" i="6"/>
  <c r="M494" i="6" s="1"/>
  <c r="I493" i="6"/>
  <c r="M493" i="6" s="1"/>
  <c r="L492" i="6"/>
  <c r="I492" i="6"/>
  <c r="K492" i="6" s="1"/>
  <c r="I491" i="6"/>
  <c r="M490" i="6"/>
  <c r="K490" i="6"/>
  <c r="J490" i="6"/>
  <c r="I490" i="6"/>
  <c r="L490" i="6" s="1"/>
  <c r="M489" i="6"/>
  <c r="L489" i="6"/>
  <c r="K489" i="6"/>
  <c r="J489" i="6"/>
  <c r="I489" i="6"/>
  <c r="M488" i="6"/>
  <c r="I488" i="6"/>
  <c r="L488" i="6" s="1"/>
  <c r="M487" i="6"/>
  <c r="L487" i="6"/>
  <c r="J487" i="6"/>
  <c r="I487" i="6"/>
  <c r="K487" i="6" s="1"/>
  <c r="J486" i="6"/>
  <c r="I486" i="6"/>
  <c r="M486" i="6" s="1"/>
  <c r="I485" i="6"/>
  <c r="M485" i="6" s="1"/>
  <c r="L484" i="6"/>
  <c r="I484" i="6"/>
  <c r="K484" i="6" s="1"/>
  <c r="I483" i="6"/>
  <c r="M482" i="6"/>
  <c r="K482" i="6"/>
  <c r="J482" i="6"/>
  <c r="I482" i="6"/>
  <c r="L482" i="6" s="1"/>
  <c r="M481" i="6"/>
  <c r="L481" i="6"/>
  <c r="K481" i="6"/>
  <c r="J481" i="6"/>
  <c r="I481" i="6"/>
  <c r="M480" i="6"/>
  <c r="I480" i="6"/>
  <c r="L480" i="6" s="1"/>
  <c r="M479" i="6"/>
  <c r="L479" i="6"/>
  <c r="J479" i="6"/>
  <c r="I479" i="6"/>
  <c r="K479" i="6" s="1"/>
  <c r="J478" i="6"/>
  <c r="I478" i="6"/>
  <c r="M478" i="6" s="1"/>
  <c r="I477" i="6"/>
  <c r="M477" i="6" s="1"/>
  <c r="L476" i="6"/>
  <c r="I476" i="6"/>
  <c r="K476" i="6" s="1"/>
  <c r="I475" i="6"/>
  <c r="M474" i="6"/>
  <c r="K474" i="6"/>
  <c r="J474" i="6"/>
  <c r="I474" i="6"/>
  <c r="L474" i="6" s="1"/>
  <c r="M473" i="6"/>
  <c r="L473" i="6"/>
  <c r="K473" i="6"/>
  <c r="J473" i="6"/>
  <c r="I473" i="6"/>
  <c r="M472" i="6"/>
  <c r="I472" i="6"/>
  <c r="L472" i="6" s="1"/>
  <c r="M471" i="6"/>
  <c r="L471" i="6"/>
  <c r="J471" i="6"/>
  <c r="I471" i="6"/>
  <c r="K471" i="6" s="1"/>
  <c r="J470" i="6"/>
  <c r="I470" i="6"/>
  <c r="M470" i="6" s="1"/>
  <c r="I469" i="6"/>
  <c r="M469" i="6" s="1"/>
  <c r="L468" i="6"/>
  <c r="I468" i="6"/>
  <c r="K468" i="6" s="1"/>
  <c r="I467" i="6"/>
  <c r="M466" i="6"/>
  <c r="K466" i="6"/>
  <c r="J466" i="6"/>
  <c r="I466" i="6"/>
  <c r="L466" i="6" s="1"/>
  <c r="M465" i="6"/>
  <c r="L465" i="6"/>
  <c r="K465" i="6"/>
  <c r="J465" i="6"/>
  <c r="I465" i="6"/>
  <c r="M464" i="6"/>
  <c r="I464" i="6"/>
  <c r="L464" i="6" s="1"/>
  <c r="M463" i="6"/>
  <c r="L463" i="6"/>
  <c r="J463" i="6"/>
  <c r="I463" i="6"/>
  <c r="K463" i="6" s="1"/>
  <c r="J462" i="6"/>
  <c r="I462" i="6"/>
  <c r="M462" i="6" s="1"/>
  <c r="I461" i="6"/>
  <c r="M461" i="6" s="1"/>
  <c r="L460" i="6"/>
  <c r="I460" i="6"/>
  <c r="K460" i="6" s="1"/>
  <c r="I459" i="6"/>
  <c r="M458" i="6"/>
  <c r="K458" i="6"/>
  <c r="J458" i="6"/>
  <c r="I458" i="6"/>
  <c r="L458" i="6" s="1"/>
  <c r="M457" i="6"/>
  <c r="L457" i="6"/>
  <c r="K457" i="6"/>
  <c r="J457" i="6"/>
  <c r="I457" i="6"/>
  <c r="M456" i="6"/>
  <c r="I456" i="6"/>
  <c r="L456" i="6" s="1"/>
  <c r="M455" i="6"/>
  <c r="L455" i="6"/>
  <c r="J455" i="6"/>
  <c r="I455" i="6"/>
  <c r="K455" i="6" s="1"/>
  <c r="J454" i="6"/>
  <c r="I454" i="6"/>
  <c r="M454" i="6" s="1"/>
  <c r="I453" i="6"/>
  <c r="M453" i="6" s="1"/>
  <c r="L452" i="6"/>
  <c r="I452" i="6"/>
  <c r="K452" i="6" s="1"/>
  <c r="I451" i="6"/>
  <c r="M450" i="6"/>
  <c r="K450" i="6"/>
  <c r="J450" i="6"/>
  <c r="I450" i="6"/>
  <c r="L450" i="6" s="1"/>
  <c r="M449" i="6"/>
  <c r="L449" i="6"/>
  <c r="K449" i="6"/>
  <c r="J449" i="6"/>
  <c r="I449" i="6"/>
  <c r="M448" i="6"/>
  <c r="I448" i="6"/>
  <c r="L448" i="6" s="1"/>
  <c r="M447" i="6"/>
  <c r="L447" i="6"/>
  <c r="J447" i="6"/>
  <c r="I447" i="6"/>
  <c r="K447" i="6" s="1"/>
  <c r="J446" i="6"/>
  <c r="I446" i="6"/>
  <c r="M446" i="6" s="1"/>
  <c r="I445" i="6"/>
  <c r="M445" i="6" s="1"/>
  <c r="L444" i="6"/>
  <c r="I444" i="6"/>
  <c r="K444" i="6" s="1"/>
  <c r="I443" i="6"/>
  <c r="M442" i="6"/>
  <c r="K442" i="6"/>
  <c r="J442" i="6"/>
  <c r="I442" i="6"/>
  <c r="L442" i="6" s="1"/>
  <c r="M441" i="6"/>
  <c r="L441" i="6"/>
  <c r="K441" i="6"/>
  <c r="J441" i="6"/>
  <c r="I441" i="6"/>
  <c r="M440" i="6"/>
  <c r="I440" i="6"/>
  <c r="L440" i="6" s="1"/>
  <c r="M439" i="6"/>
  <c r="L439" i="6"/>
  <c r="J439" i="6"/>
  <c r="I439" i="6"/>
  <c r="K439" i="6" s="1"/>
  <c r="J438" i="6"/>
  <c r="I438" i="6"/>
  <c r="M438" i="6" s="1"/>
  <c r="I437" i="6"/>
  <c r="M437" i="6" s="1"/>
  <c r="L436" i="6"/>
  <c r="I436" i="6"/>
  <c r="K436" i="6" s="1"/>
  <c r="I435" i="6"/>
  <c r="M434" i="6"/>
  <c r="K434" i="6"/>
  <c r="I434" i="6"/>
  <c r="L434" i="6" s="1"/>
  <c r="M433" i="6"/>
  <c r="L433" i="6"/>
  <c r="K433" i="6"/>
  <c r="J433" i="6"/>
  <c r="I433" i="6"/>
  <c r="I432" i="6"/>
  <c r="M432" i="6" s="1"/>
  <c r="M431" i="6"/>
  <c r="L431" i="6"/>
  <c r="J431" i="6"/>
  <c r="I431" i="6"/>
  <c r="K431" i="6" s="1"/>
  <c r="K430" i="6"/>
  <c r="J430" i="6"/>
  <c r="I430" i="6"/>
  <c r="M430" i="6" s="1"/>
  <c r="I429" i="6"/>
  <c r="M429" i="6" s="1"/>
  <c r="M428" i="6"/>
  <c r="L428" i="6"/>
  <c r="I428" i="6"/>
  <c r="K428" i="6" s="1"/>
  <c r="J427" i="6"/>
  <c r="I427" i="6"/>
  <c r="M426" i="6"/>
  <c r="K426" i="6"/>
  <c r="I426" i="6"/>
  <c r="L426" i="6" s="1"/>
  <c r="M425" i="6"/>
  <c r="L425" i="6"/>
  <c r="K425" i="6"/>
  <c r="J425" i="6"/>
  <c r="I425" i="6"/>
  <c r="I424" i="6"/>
  <c r="M423" i="6"/>
  <c r="L423" i="6"/>
  <c r="J423" i="6"/>
  <c r="I423" i="6"/>
  <c r="K423" i="6" s="1"/>
  <c r="L422" i="6"/>
  <c r="K422" i="6"/>
  <c r="J422" i="6"/>
  <c r="I422" i="6"/>
  <c r="M422" i="6" s="1"/>
  <c r="I421" i="6"/>
  <c r="M421" i="6" s="1"/>
  <c r="M420" i="6"/>
  <c r="L420" i="6"/>
  <c r="I420" i="6"/>
  <c r="K420" i="6" s="1"/>
  <c r="I419" i="6"/>
  <c r="M418" i="6"/>
  <c r="K418" i="6"/>
  <c r="I418" i="6"/>
  <c r="L418" i="6" s="1"/>
  <c r="M417" i="6"/>
  <c r="L417" i="6"/>
  <c r="K417" i="6"/>
  <c r="J417" i="6"/>
  <c r="I417" i="6"/>
  <c r="I416" i="6"/>
  <c r="M415" i="6"/>
  <c r="L415" i="6"/>
  <c r="J415" i="6"/>
  <c r="I415" i="6"/>
  <c r="K415" i="6" s="1"/>
  <c r="L414" i="6"/>
  <c r="K414" i="6"/>
  <c r="J414" i="6"/>
  <c r="I414" i="6"/>
  <c r="M414" i="6" s="1"/>
  <c r="I413" i="6"/>
  <c r="M413" i="6" s="1"/>
  <c r="M412" i="6"/>
  <c r="L412" i="6"/>
  <c r="I412" i="6"/>
  <c r="K412" i="6" s="1"/>
  <c r="J411" i="6"/>
  <c r="I411" i="6"/>
  <c r="M410" i="6"/>
  <c r="K410" i="6"/>
  <c r="I410" i="6"/>
  <c r="L410" i="6" s="1"/>
  <c r="M409" i="6"/>
  <c r="L409" i="6"/>
  <c r="K409" i="6"/>
  <c r="J409" i="6"/>
  <c r="I409" i="6"/>
  <c r="I408" i="6"/>
  <c r="M407" i="6"/>
  <c r="L407" i="6"/>
  <c r="J407" i="6"/>
  <c r="I407" i="6"/>
  <c r="K407" i="6" s="1"/>
  <c r="L406" i="6"/>
  <c r="K406" i="6"/>
  <c r="J406" i="6"/>
  <c r="I406" i="6"/>
  <c r="M406" i="6" s="1"/>
  <c r="I405" i="6"/>
  <c r="M405" i="6" s="1"/>
  <c r="M404" i="6"/>
  <c r="L404" i="6"/>
  <c r="I404" i="6"/>
  <c r="K404" i="6" s="1"/>
  <c r="I403" i="6"/>
  <c r="M402" i="6"/>
  <c r="K402" i="6"/>
  <c r="I402" i="6"/>
  <c r="L402" i="6" s="1"/>
  <c r="M401" i="6"/>
  <c r="L401" i="6"/>
  <c r="K401" i="6"/>
  <c r="J401" i="6"/>
  <c r="I401" i="6"/>
  <c r="I400" i="6"/>
  <c r="M399" i="6"/>
  <c r="L399" i="6"/>
  <c r="J399" i="6"/>
  <c r="I399" i="6"/>
  <c r="K399" i="6" s="1"/>
  <c r="L398" i="6"/>
  <c r="K398" i="6"/>
  <c r="J398" i="6"/>
  <c r="I398" i="6"/>
  <c r="M398" i="6" s="1"/>
  <c r="I397" i="6"/>
  <c r="M397" i="6" s="1"/>
  <c r="M396" i="6"/>
  <c r="L396" i="6"/>
  <c r="I396" i="6"/>
  <c r="K396" i="6" s="1"/>
  <c r="J395" i="6"/>
  <c r="I395" i="6"/>
  <c r="M394" i="6"/>
  <c r="K394" i="6"/>
  <c r="I394" i="6"/>
  <c r="L394" i="6" s="1"/>
  <c r="M393" i="6"/>
  <c r="L393" i="6"/>
  <c r="K393" i="6"/>
  <c r="J393" i="6"/>
  <c r="I393" i="6"/>
  <c r="I392" i="6"/>
  <c r="M391" i="6"/>
  <c r="L391" i="6"/>
  <c r="J391" i="6"/>
  <c r="I391" i="6"/>
  <c r="K391" i="6" s="1"/>
  <c r="L390" i="6"/>
  <c r="K390" i="6"/>
  <c r="J390" i="6"/>
  <c r="I390" i="6"/>
  <c r="M390" i="6" s="1"/>
  <c r="I389" i="6"/>
  <c r="M389" i="6" s="1"/>
  <c r="M388" i="6"/>
  <c r="L388" i="6"/>
  <c r="I388" i="6"/>
  <c r="K388" i="6" s="1"/>
  <c r="J387" i="6"/>
  <c r="I387" i="6"/>
  <c r="M386" i="6"/>
  <c r="K386" i="6"/>
  <c r="I386" i="6"/>
  <c r="L386" i="6" s="1"/>
  <c r="M385" i="6"/>
  <c r="L385" i="6"/>
  <c r="K385" i="6"/>
  <c r="J385" i="6"/>
  <c r="I385" i="6"/>
  <c r="I384" i="6"/>
  <c r="M383" i="6"/>
  <c r="L383" i="6"/>
  <c r="J383" i="6"/>
  <c r="I383" i="6"/>
  <c r="K383" i="6" s="1"/>
  <c r="L382" i="6"/>
  <c r="K382" i="6"/>
  <c r="J382" i="6"/>
  <c r="I382" i="6"/>
  <c r="M382" i="6" s="1"/>
  <c r="I381" i="6"/>
  <c r="M381" i="6" s="1"/>
  <c r="M380" i="6"/>
  <c r="L380" i="6"/>
  <c r="I380" i="6"/>
  <c r="K380" i="6" s="1"/>
  <c r="I379" i="6"/>
  <c r="M378" i="6"/>
  <c r="K378" i="6"/>
  <c r="I378" i="6"/>
  <c r="L378" i="6" s="1"/>
  <c r="M377" i="6"/>
  <c r="L377" i="6"/>
  <c r="K377" i="6"/>
  <c r="J377" i="6"/>
  <c r="I377" i="6"/>
  <c r="I376" i="6"/>
  <c r="M375" i="6"/>
  <c r="L375" i="6"/>
  <c r="J375" i="6"/>
  <c r="I375" i="6"/>
  <c r="K375" i="6" s="1"/>
  <c r="L374" i="6"/>
  <c r="K374" i="6"/>
  <c r="J374" i="6"/>
  <c r="I374" i="6"/>
  <c r="M374" i="6" s="1"/>
  <c r="I373" i="6"/>
  <c r="M373" i="6" s="1"/>
  <c r="M372" i="6"/>
  <c r="L372" i="6"/>
  <c r="I372" i="6"/>
  <c r="K372" i="6" s="1"/>
  <c r="I371" i="6"/>
  <c r="M370" i="6"/>
  <c r="K370" i="6"/>
  <c r="I370" i="6"/>
  <c r="L370" i="6" s="1"/>
  <c r="M369" i="6"/>
  <c r="L369" i="6"/>
  <c r="K369" i="6"/>
  <c r="J369" i="6"/>
  <c r="I369" i="6"/>
  <c r="I368" i="6"/>
  <c r="M367" i="6"/>
  <c r="L367" i="6"/>
  <c r="J367" i="6"/>
  <c r="I367" i="6"/>
  <c r="K367" i="6" s="1"/>
  <c r="L366" i="6"/>
  <c r="K366" i="6"/>
  <c r="J366" i="6"/>
  <c r="I366" i="6"/>
  <c r="M366" i="6" s="1"/>
  <c r="I365" i="6"/>
  <c r="M365" i="6" s="1"/>
  <c r="M364" i="6"/>
  <c r="L364" i="6"/>
  <c r="I364" i="6"/>
  <c r="K364" i="6" s="1"/>
  <c r="J363" i="6"/>
  <c r="I363" i="6"/>
  <c r="M362" i="6"/>
  <c r="K362" i="6"/>
  <c r="I362" i="6"/>
  <c r="L362" i="6" s="1"/>
  <c r="M361" i="6"/>
  <c r="L361" i="6"/>
  <c r="K361" i="6"/>
  <c r="J361" i="6"/>
  <c r="I361" i="6"/>
  <c r="I360" i="6"/>
  <c r="M359" i="6"/>
  <c r="L359" i="6"/>
  <c r="K359" i="6"/>
  <c r="J359" i="6"/>
  <c r="I359" i="6"/>
  <c r="L358" i="6"/>
  <c r="K358" i="6"/>
  <c r="J358" i="6"/>
  <c r="I358" i="6"/>
  <c r="M358" i="6" s="1"/>
  <c r="I357" i="6"/>
  <c r="M357" i="6" s="1"/>
  <c r="M356" i="6"/>
  <c r="L356" i="6"/>
  <c r="I356" i="6"/>
  <c r="K356" i="6" s="1"/>
  <c r="I355" i="6"/>
  <c r="M354" i="6"/>
  <c r="K354" i="6"/>
  <c r="I354" i="6"/>
  <c r="L354" i="6" s="1"/>
  <c r="M353" i="6"/>
  <c r="L353" i="6"/>
  <c r="K353" i="6"/>
  <c r="J353" i="6"/>
  <c r="I353" i="6"/>
  <c r="I352" i="6"/>
  <c r="M351" i="6"/>
  <c r="L351" i="6"/>
  <c r="K351" i="6"/>
  <c r="J351" i="6"/>
  <c r="I351" i="6"/>
  <c r="L350" i="6"/>
  <c r="K350" i="6"/>
  <c r="J350" i="6"/>
  <c r="I350" i="6"/>
  <c r="M350" i="6" s="1"/>
  <c r="I349" i="6"/>
  <c r="M349" i="6" s="1"/>
  <c r="M348" i="6"/>
  <c r="L348" i="6"/>
  <c r="I348" i="6"/>
  <c r="K348" i="6" s="1"/>
  <c r="I347" i="6"/>
  <c r="M346" i="6"/>
  <c r="K346" i="6"/>
  <c r="I346" i="6"/>
  <c r="L346" i="6" s="1"/>
  <c r="M345" i="6"/>
  <c r="L345" i="6"/>
  <c r="K345" i="6"/>
  <c r="J345" i="6"/>
  <c r="I345" i="6"/>
  <c r="I344" i="6"/>
  <c r="M343" i="6"/>
  <c r="L343" i="6"/>
  <c r="K343" i="6"/>
  <c r="J343" i="6"/>
  <c r="I343" i="6"/>
  <c r="L342" i="6"/>
  <c r="K342" i="6"/>
  <c r="J342" i="6"/>
  <c r="I342" i="6"/>
  <c r="M342" i="6" s="1"/>
  <c r="I341" i="6"/>
  <c r="M341" i="6" s="1"/>
  <c r="M340" i="6"/>
  <c r="L340" i="6"/>
  <c r="I340" i="6"/>
  <c r="K340" i="6" s="1"/>
  <c r="I339" i="6"/>
  <c r="M338" i="6"/>
  <c r="K338" i="6"/>
  <c r="I338" i="6"/>
  <c r="L338" i="6" s="1"/>
  <c r="M337" i="6"/>
  <c r="L337" i="6"/>
  <c r="K337" i="6"/>
  <c r="J337" i="6"/>
  <c r="I337" i="6"/>
  <c r="I336" i="6"/>
  <c r="M335" i="6"/>
  <c r="L335" i="6"/>
  <c r="K335" i="6"/>
  <c r="J335" i="6"/>
  <c r="I335" i="6"/>
  <c r="L334" i="6"/>
  <c r="K334" i="6"/>
  <c r="J334" i="6"/>
  <c r="I334" i="6"/>
  <c r="M334" i="6" s="1"/>
  <c r="I333" i="6"/>
  <c r="M333" i="6" s="1"/>
  <c r="M332" i="6"/>
  <c r="L332" i="6"/>
  <c r="I332" i="6"/>
  <c r="K332" i="6" s="1"/>
  <c r="I331" i="6"/>
  <c r="M330" i="6"/>
  <c r="K330" i="6"/>
  <c r="I330" i="6"/>
  <c r="L330" i="6" s="1"/>
  <c r="M329" i="6"/>
  <c r="L329" i="6"/>
  <c r="K329" i="6"/>
  <c r="J329" i="6"/>
  <c r="I329" i="6"/>
  <c r="J328" i="6"/>
  <c r="I328" i="6"/>
  <c r="M327" i="6"/>
  <c r="L327" i="6"/>
  <c r="K327" i="6"/>
  <c r="J327" i="6"/>
  <c r="I327" i="6"/>
  <c r="L326" i="6"/>
  <c r="K326" i="6"/>
  <c r="J326" i="6"/>
  <c r="I326" i="6"/>
  <c r="M326" i="6" s="1"/>
  <c r="I325" i="6"/>
  <c r="M324" i="6"/>
  <c r="L324" i="6"/>
  <c r="K324" i="6"/>
  <c r="I324" i="6"/>
  <c r="J324" i="6" s="1"/>
  <c r="K323" i="6"/>
  <c r="J323" i="6"/>
  <c r="I323" i="6"/>
  <c r="M322" i="6"/>
  <c r="K322" i="6"/>
  <c r="I322" i="6"/>
  <c r="L322" i="6" s="1"/>
  <c r="M321" i="6"/>
  <c r="L321" i="6"/>
  <c r="K321" i="6"/>
  <c r="J321" i="6"/>
  <c r="I321" i="6"/>
  <c r="J320" i="6"/>
  <c r="I320" i="6"/>
  <c r="M319" i="6"/>
  <c r="L319" i="6"/>
  <c r="K319" i="6"/>
  <c r="J319" i="6"/>
  <c r="I319" i="6"/>
  <c r="L318" i="6"/>
  <c r="K318" i="6"/>
  <c r="J318" i="6"/>
  <c r="I318" i="6"/>
  <c r="M318" i="6" s="1"/>
  <c r="I317" i="6"/>
  <c r="M316" i="6"/>
  <c r="L316" i="6"/>
  <c r="K316" i="6"/>
  <c r="I316" i="6"/>
  <c r="J316" i="6" s="1"/>
  <c r="K315" i="6"/>
  <c r="I315" i="6"/>
  <c r="M314" i="6"/>
  <c r="K314" i="6"/>
  <c r="I314" i="6"/>
  <c r="L314" i="6" s="1"/>
  <c r="M313" i="6"/>
  <c r="L313" i="6"/>
  <c r="K313" i="6"/>
  <c r="J313" i="6"/>
  <c r="I313" i="6"/>
  <c r="I312" i="6"/>
  <c r="M311" i="6"/>
  <c r="L311" i="6"/>
  <c r="K311" i="6"/>
  <c r="J311" i="6"/>
  <c r="I311" i="6"/>
  <c r="L310" i="6"/>
  <c r="K310" i="6"/>
  <c r="J310" i="6"/>
  <c r="I310" i="6"/>
  <c r="M310" i="6" s="1"/>
  <c r="I309" i="6"/>
  <c r="M308" i="6"/>
  <c r="L308" i="6"/>
  <c r="K308" i="6"/>
  <c r="I308" i="6"/>
  <c r="J308" i="6" s="1"/>
  <c r="I307" i="6"/>
  <c r="M306" i="6"/>
  <c r="K306" i="6"/>
  <c r="I306" i="6"/>
  <c r="L306" i="6" s="1"/>
  <c r="M305" i="6"/>
  <c r="L305" i="6"/>
  <c r="K305" i="6"/>
  <c r="J305" i="6"/>
  <c r="I305" i="6"/>
  <c r="J304" i="6"/>
  <c r="I304" i="6"/>
  <c r="M303" i="6"/>
  <c r="L303" i="6"/>
  <c r="K303" i="6"/>
  <c r="J303" i="6"/>
  <c r="I303" i="6"/>
  <c r="L302" i="6"/>
  <c r="K302" i="6"/>
  <c r="I302" i="6"/>
  <c r="M302" i="6" s="1"/>
  <c r="I301" i="6"/>
  <c r="M300" i="6"/>
  <c r="L300" i="6"/>
  <c r="K300" i="6"/>
  <c r="I300" i="6"/>
  <c r="J300" i="6" s="1"/>
  <c r="I299" i="6"/>
  <c r="K299" i="6" s="1"/>
  <c r="M298" i="6"/>
  <c r="K298" i="6"/>
  <c r="I298" i="6"/>
  <c r="L298" i="6" s="1"/>
  <c r="M297" i="6"/>
  <c r="L297" i="6"/>
  <c r="K297" i="6"/>
  <c r="J297" i="6"/>
  <c r="I297" i="6"/>
  <c r="I296" i="6"/>
  <c r="M295" i="6"/>
  <c r="L295" i="6"/>
  <c r="K295" i="6"/>
  <c r="J295" i="6"/>
  <c r="I295" i="6"/>
  <c r="I294" i="6"/>
  <c r="M294" i="6" s="1"/>
  <c r="L293" i="6"/>
  <c r="I293" i="6"/>
  <c r="L292" i="6"/>
  <c r="I292" i="6"/>
  <c r="J292" i="6" s="1"/>
  <c r="I291" i="6"/>
  <c r="M290" i="6"/>
  <c r="K290" i="6"/>
  <c r="I290" i="6"/>
  <c r="L290" i="6" s="1"/>
  <c r="M289" i="6"/>
  <c r="L289" i="6"/>
  <c r="K289" i="6"/>
  <c r="J289" i="6"/>
  <c r="I289" i="6"/>
  <c r="I288" i="6"/>
  <c r="M288" i="6" s="1"/>
  <c r="M287" i="6"/>
  <c r="L287" i="6"/>
  <c r="K287" i="6"/>
  <c r="J287" i="6"/>
  <c r="I287" i="6"/>
  <c r="L286" i="6"/>
  <c r="K286" i="6"/>
  <c r="J286" i="6"/>
  <c r="I286" i="6"/>
  <c r="M286" i="6" s="1"/>
  <c r="I285" i="6"/>
  <c r="M284" i="6"/>
  <c r="L284" i="6"/>
  <c r="K284" i="6"/>
  <c r="I284" i="6"/>
  <c r="J284" i="6" s="1"/>
  <c r="K283" i="6"/>
  <c r="I283" i="6"/>
  <c r="M282" i="6"/>
  <c r="K282" i="6"/>
  <c r="I282" i="6"/>
  <c r="L282" i="6" s="1"/>
  <c r="M281" i="6"/>
  <c r="L281" i="6"/>
  <c r="K281" i="6"/>
  <c r="J281" i="6"/>
  <c r="I281" i="6"/>
  <c r="I280" i="6"/>
  <c r="M279" i="6"/>
  <c r="L279" i="6"/>
  <c r="K279" i="6"/>
  <c r="J279" i="6"/>
  <c r="I279" i="6"/>
  <c r="K278" i="6"/>
  <c r="J278" i="6"/>
  <c r="I278" i="6"/>
  <c r="M278" i="6" s="1"/>
  <c r="I277" i="6"/>
  <c r="I276" i="6"/>
  <c r="J276" i="6" s="1"/>
  <c r="K275" i="6"/>
  <c r="J275" i="6"/>
  <c r="I275" i="6"/>
  <c r="M274" i="6"/>
  <c r="K274" i="6"/>
  <c r="I274" i="6"/>
  <c r="L274" i="6" s="1"/>
  <c r="M273" i="6"/>
  <c r="L273" i="6"/>
  <c r="K273" i="6"/>
  <c r="J273" i="6"/>
  <c r="I273" i="6"/>
  <c r="M272" i="6"/>
  <c r="I272" i="6"/>
  <c r="M271" i="6"/>
  <c r="L271" i="6"/>
  <c r="J271" i="6"/>
  <c r="I271" i="6"/>
  <c r="K271" i="6" s="1"/>
  <c r="K270" i="6"/>
  <c r="I270" i="6"/>
  <c r="M270" i="6" s="1"/>
  <c r="I269" i="6"/>
  <c r="M268" i="6"/>
  <c r="I268" i="6"/>
  <c r="J268" i="6" s="1"/>
  <c r="I267" i="6"/>
  <c r="M266" i="6"/>
  <c r="K266" i="6"/>
  <c r="I266" i="6"/>
  <c r="L266" i="6" s="1"/>
  <c r="M265" i="6"/>
  <c r="L265" i="6"/>
  <c r="K265" i="6"/>
  <c r="J265" i="6"/>
  <c r="I265" i="6"/>
  <c r="M264" i="6"/>
  <c r="J264" i="6"/>
  <c r="I264" i="6"/>
  <c r="M263" i="6"/>
  <c r="L263" i="6"/>
  <c r="J263" i="6"/>
  <c r="I263" i="6"/>
  <c r="K263" i="6" s="1"/>
  <c r="K262" i="6"/>
  <c r="J262" i="6"/>
  <c r="I262" i="6"/>
  <c r="M262" i="6" s="1"/>
  <c r="I261" i="6"/>
  <c r="I260" i="6"/>
  <c r="J260" i="6" s="1"/>
  <c r="K259" i="6"/>
  <c r="J259" i="6"/>
  <c r="I259" i="6"/>
  <c r="M258" i="6"/>
  <c r="K258" i="6"/>
  <c r="I258" i="6"/>
  <c r="L258" i="6" s="1"/>
  <c r="M257" i="6"/>
  <c r="L257" i="6"/>
  <c r="K257" i="6"/>
  <c r="J257" i="6"/>
  <c r="I257" i="6"/>
  <c r="M256" i="6"/>
  <c r="I256" i="6"/>
  <c r="M255" i="6"/>
  <c r="L255" i="6"/>
  <c r="J255" i="6"/>
  <c r="I255" i="6"/>
  <c r="K255" i="6" s="1"/>
  <c r="K254" i="6"/>
  <c r="I254" i="6"/>
  <c r="M254" i="6" s="1"/>
  <c r="I253" i="6"/>
  <c r="M252" i="6"/>
  <c r="I252" i="6"/>
  <c r="J252" i="6" s="1"/>
  <c r="J251" i="6"/>
  <c r="I251" i="6"/>
  <c r="M250" i="6"/>
  <c r="K250" i="6"/>
  <c r="I250" i="6"/>
  <c r="L250" i="6" s="1"/>
  <c r="M249" i="6"/>
  <c r="L249" i="6"/>
  <c r="K249" i="6"/>
  <c r="J249" i="6"/>
  <c r="I249" i="6"/>
  <c r="M248" i="6"/>
  <c r="J248" i="6"/>
  <c r="I248" i="6"/>
  <c r="M247" i="6"/>
  <c r="L247" i="6"/>
  <c r="J247" i="6"/>
  <c r="I247" i="6"/>
  <c r="K247" i="6" s="1"/>
  <c r="K246" i="6"/>
  <c r="J246" i="6"/>
  <c r="I246" i="6"/>
  <c r="M246" i="6" s="1"/>
  <c r="I245" i="6"/>
  <c r="I244" i="6"/>
  <c r="J244" i="6" s="1"/>
  <c r="K243" i="6"/>
  <c r="J243" i="6"/>
  <c r="I243" i="6"/>
  <c r="M242" i="6"/>
  <c r="I242" i="6"/>
  <c r="M241" i="6"/>
  <c r="L241" i="6"/>
  <c r="K241" i="6"/>
  <c r="J241" i="6"/>
  <c r="I241" i="6"/>
  <c r="M240" i="6"/>
  <c r="J240" i="6"/>
  <c r="I240" i="6"/>
  <c r="L240" i="6" s="1"/>
  <c r="M239" i="6"/>
  <c r="L239" i="6"/>
  <c r="K239" i="6"/>
  <c r="J239" i="6"/>
  <c r="I239" i="6"/>
  <c r="J238" i="6"/>
  <c r="I238" i="6"/>
  <c r="M238" i="6" s="1"/>
  <c r="M237" i="6"/>
  <c r="K237" i="6"/>
  <c r="I237" i="6"/>
  <c r="L237" i="6" s="1"/>
  <c r="M236" i="6"/>
  <c r="L236" i="6"/>
  <c r="K236" i="6"/>
  <c r="J236" i="6"/>
  <c r="I236" i="6"/>
  <c r="I235" i="6"/>
  <c r="M235" i="6" s="1"/>
  <c r="M234" i="6"/>
  <c r="L234" i="6"/>
  <c r="K234" i="6"/>
  <c r="J234" i="6"/>
  <c r="I234" i="6"/>
  <c r="K233" i="6"/>
  <c r="J233" i="6"/>
  <c r="I233" i="6"/>
  <c r="M233" i="6" s="1"/>
  <c r="L232" i="6"/>
  <c r="J232" i="6"/>
  <c r="I232" i="6"/>
  <c r="M232" i="6" s="1"/>
  <c r="M231" i="6"/>
  <c r="I231" i="6"/>
  <c r="J231" i="6" s="1"/>
  <c r="J230" i="6"/>
  <c r="I230" i="6"/>
  <c r="M230" i="6" s="1"/>
  <c r="K229" i="6"/>
  <c r="I229" i="6"/>
  <c r="L229" i="6" s="1"/>
  <c r="M228" i="6"/>
  <c r="L228" i="6"/>
  <c r="K228" i="6"/>
  <c r="J228" i="6"/>
  <c r="I228" i="6"/>
  <c r="I227" i="6"/>
  <c r="M227" i="6" s="1"/>
  <c r="M226" i="6"/>
  <c r="L226" i="6"/>
  <c r="K226" i="6"/>
  <c r="J226" i="6"/>
  <c r="I226" i="6"/>
  <c r="K225" i="6"/>
  <c r="J225" i="6"/>
  <c r="I225" i="6"/>
  <c r="M225" i="6" s="1"/>
  <c r="L224" i="6"/>
  <c r="J224" i="6"/>
  <c r="I224" i="6"/>
  <c r="M224" i="6" s="1"/>
  <c r="M223" i="6"/>
  <c r="I223" i="6"/>
  <c r="J223" i="6" s="1"/>
  <c r="J222" i="6"/>
  <c r="I222" i="6"/>
  <c r="M222" i="6" s="1"/>
  <c r="K221" i="6"/>
  <c r="I221" i="6"/>
  <c r="L221" i="6" s="1"/>
  <c r="M220" i="6"/>
  <c r="L220" i="6"/>
  <c r="K220" i="6"/>
  <c r="J220" i="6"/>
  <c r="I220" i="6"/>
  <c r="I219" i="6"/>
  <c r="M219" i="6" s="1"/>
  <c r="I218" i="6"/>
  <c r="K218" i="6" s="1"/>
  <c r="K217" i="6"/>
  <c r="J217" i="6"/>
  <c r="I217" i="6"/>
  <c r="M217" i="6" s="1"/>
  <c r="L216" i="6"/>
  <c r="K216" i="6"/>
  <c r="J216" i="6"/>
  <c r="I216" i="6"/>
  <c r="M216" i="6" s="1"/>
  <c r="M215" i="6"/>
  <c r="I215" i="6"/>
  <c r="J215" i="6" s="1"/>
  <c r="M214" i="6"/>
  <c r="J214" i="6"/>
  <c r="I214" i="6"/>
  <c r="L214" i="6" s="1"/>
  <c r="K213" i="6"/>
  <c r="J213" i="6"/>
  <c r="I213" i="6"/>
  <c r="L213" i="6" s="1"/>
  <c r="M212" i="6"/>
  <c r="L212" i="6"/>
  <c r="K212" i="6"/>
  <c r="J212" i="6"/>
  <c r="I212" i="6"/>
  <c r="L211" i="6"/>
  <c r="I211" i="6"/>
  <c r="M211" i="6" s="1"/>
  <c r="I210" i="6"/>
  <c r="K209" i="6"/>
  <c r="J209" i="6"/>
  <c r="I209" i="6"/>
  <c r="M209" i="6" s="1"/>
  <c r="L208" i="6"/>
  <c r="K208" i="6"/>
  <c r="J208" i="6"/>
  <c r="I208" i="6"/>
  <c r="M208" i="6" s="1"/>
  <c r="M207" i="6"/>
  <c r="I207" i="6"/>
  <c r="J207" i="6" s="1"/>
  <c r="M206" i="6"/>
  <c r="J206" i="6"/>
  <c r="I206" i="6"/>
  <c r="L206" i="6" s="1"/>
  <c r="K205" i="6"/>
  <c r="J205" i="6"/>
  <c r="I205" i="6"/>
  <c r="L205" i="6" s="1"/>
  <c r="M204" i="6"/>
  <c r="L204" i="6"/>
  <c r="K204" i="6"/>
  <c r="J204" i="6"/>
  <c r="I204" i="6"/>
  <c r="L203" i="6"/>
  <c r="I203" i="6"/>
  <c r="M203" i="6" s="1"/>
  <c r="I202" i="6"/>
  <c r="K201" i="6"/>
  <c r="J201" i="6"/>
  <c r="I201" i="6"/>
  <c r="M201" i="6" s="1"/>
  <c r="L200" i="6"/>
  <c r="K200" i="6"/>
  <c r="J200" i="6"/>
  <c r="I200" i="6"/>
  <c r="M200" i="6" s="1"/>
  <c r="M199" i="6"/>
  <c r="I199" i="6"/>
  <c r="J199" i="6" s="1"/>
  <c r="M198" i="6"/>
  <c r="J198" i="6"/>
  <c r="I198" i="6"/>
  <c r="L198" i="6" s="1"/>
  <c r="K197" i="6"/>
  <c r="J197" i="6"/>
  <c r="I197" i="6"/>
  <c r="L197" i="6" s="1"/>
  <c r="M196" i="6"/>
  <c r="L196" i="6"/>
  <c r="K196" i="6"/>
  <c r="J196" i="6"/>
  <c r="I196" i="6"/>
  <c r="L195" i="6"/>
  <c r="I195" i="6"/>
  <c r="M195" i="6" s="1"/>
  <c r="I194" i="6"/>
  <c r="K193" i="6"/>
  <c r="J193" i="6"/>
  <c r="I193" i="6"/>
  <c r="M193" i="6" s="1"/>
  <c r="L192" i="6"/>
  <c r="K192" i="6"/>
  <c r="J192" i="6"/>
  <c r="I192" i="6"/>
  <c r="M192" i="6" s="1"/>
  <c r="M191" i="6"/>
  <c r="I191" i="6"/>
  <c r="J191" i="6" s="1"/>
  <c r="M190" i="6"/>
  <c r="J190" i="6"/>
  <c r="I190" i="6"/>
  <c r="L190" i="6" s="1"/>
  <c r="K189" i="6"/>
  <c r="J189" i="6"/>
  <c r="I189" i="6"/>
  <c r="L189" i="6" s="1"/>
  <c r="M188" i="6"/>
  <c r="L188" i="6"/>
  <c r="K188" i="6"/>
  <c r="J188" i="6"/>
  <c r="I188" i="6"/>
  <c r="L187" i="6"/>
  <c r="I187" i="6"/>
  <c r="M187" i="6" s="1"/>
  <c r="I186" i="6"/>
  <c r="K185" i="6"/>
  <c r="J185" i="6"/>
  <c r="I185" i="6"/>
  <c r="M185" i="6" s="1"/>
  <c r="L184" i="6"/>
  <c r="K184" i="6"/>
  <c r="J184" i="6"/>
  <c r="I184" i="6"/>
  <c r="M184" i="6" s="1"/>
  <c r="M183" i="6"/>
  <c r="I183" i="6"/>
  <c r="J183" i="6" s="1"/>
  <c r="M182" i="6"/>
  <c r="J182" i="6"/>
  <c r="I182" i="6"/>
  <c r="L182" i="6" s="1"/>
  <c r="K181" i="6"/>
  <c r="J181" i="6"/>
  <c r="I181" i="6"/>
  <c r="L181" i="6" s="1"/>
  <c r="M180" i="6"/>
  <c r="L180" i="6"/>
  <c r="K180" i="6"/>
  <c r="J180" i="6"/>
  <c r="I180" i="6"/>
  <c r="L179" i="6"/>
  <c r="I179" i="6"/>
  <c r="M179" i="6" s="1"/>
  <c r="I178" i="6"/>
  <c r="K177" i="6"/>
  <c r="J177" i="6"/>
  <c r="I177" i="6"/>
  <c r="M177" i="6" s="1"/>
  <c r="L176" i="6"/>
  <c r="K176" i="6"/>
  <c r="J176" i="6"/>
  <c r="I176" i="6"/>
  <c r="M176" i="6" s="1"/>
  <c r="M175" i="6"/>
  <c r="I175" i="6"/>
  <c r="J175" i="6" s="1"/>
  <c r="M174" i="6"/>
  <c r="J174" i="6"/>
  <c r="I174" i="6"/>
  <c r="L174" i="6" s="1"/>
  <c r="K173" i="6"/>
  <c r="J173" i="6"/>
  <c r="I173" i="6"/>
  <c r="L173" i="6" s="1"/>
  <c r="M172" i="6"/>
  <c r="L172" i="6"/>
  <c r="K172" i="6"/>
  <c r="J172" i="6"/>
  <c r="I172" i="6"/>
  <c r="L171" i="6"/>
  <c r="I171" i="6"/>
  <c r="M171" i="6" s="1"/>
  <c r="I170" i="6"/>
  <c r="K169" i="6"/>
  <c r="J169" i="6"/>
  <c r="I169" i="6"/>
  <c r="M169" i="6" s="1"/>
  <c r="L168" i="6"/>
  <c r="K168" i="6"/>
  <c r="J168" i="6"/>
  <c r="I168" i="6"/>
  <c r="M168" i="6" s="1"/>
  <c r="M167" i="6"/>
  <c r="I167" i="6"/>
  <c r="J167" i="6" s="1"/>
  <c r="M166" i="6"/>
  <c r="J166" i="6"/>
  <c r="I166" i="6"/>
  <c r="L166" i="6" s="1"/>
  <c r="K165" i="6"/>
  <c r="J165" i="6"/>
  <c r="I165" i="6"/>
  <c r="L165" i="6" s="1"/>
  <c r="M164" i="6"/>
  <c r="L164" i="6"/>
  <c r="K164" i="6"/>
  <c r="J164" i="6"/>
  <c r="I164" i="6"/>
  <c r="L163" i="6"/>
  <c r="I163" i="6"/>
  <c r="M163" i="6" s="1"/>
  <c r="I162" i="6"/>
  <c r="K161" i="6"/>
  <c r="J161" i="6"/>
  <c r="I161" i="6"/>
  <c r="M161" i="6" s="1"/>
  <c r="L160" i="6"/>
  <c r="K160" i="6"/>
  <c r="J160" i="6"/>
  <c r="I160" i="6"/>
  <c r="M160" i="6" s="1"/>
  <c r="M159" i="6"/>
  <c r="I159" i="6"/>
  <c r="J159" i="6" s="1"/>
  <c r="M158" i="6"/>
  <c r="J158" i="6"/>
  <c r="I158" i="6"/>
  <c r="L158" i="6" s="1"/>
  <c r="K157" i="6"/>
  <c r="J157" i="6"/>
  <c r="I157" i="6"/>
  <c r="L157" i="6" s="1"/>
  <c r="M156" i="6"/>
  <c r="L156" i="6"/>
  <c r="K156" i="6"/>
  <c r="J156" i="6"/>
  <c r="I156" i="6"/>
  <c r="L155" i="6"/>
  <c r="I155" i="6"/>
  <c r="M155" i="6" s="1"/>
  <c r="I154" i="6"/>
  <c r="K153" i="6"/>
  <c r="J153" i="6"/>
  <c r="I153" i="6"/>
  <c r="M153" i="6" s="1"/>
  <c r="L152" i="6"/>
  <c r="K152" i="6"/>
  <c r="J152" i="6"/>
  <c r="I152" i="6"/>
  <c r="M152" i="6" s="1"/>
  <c r="M151" i="6"/>
  <c r="I151" i="6"/>
  <c r="J151" i="6" s="1"/>
  <c r="M150" i="6"/>
  <c r="J150" i="6"/>
  <c r="I150" i="6"/>
  <c r="L150" i="6" s="1"/>
  <c r="K149" i="6"/>
  <c r="J149" i="6"/>
  <c r="I149" i="6"/>
  <c r="L149" i="6" s="1"/>
  <c r="M148" i="6"/>
  <c r="L148" i="6"/>
  <c r="K148" i="6"/>
  <c r="J148" i="6"/>
  <c r="I148" i="6"/>
  <c r="L147" i="6"/>
  <c r="I147" i="6"/>
  <c r="M147" i="6" s="1"/>
  <c r="I146" i="6"/>
  <c r="M145" i="6"/>
  <c r="K145" i="6"/>
  <c r="J145" i="6"/>
  <c r="I145" i="6"/>
  <c r="L145" i="6" s="1"/>
  <c r="L144" i="6"/>
  <c r="K144" i="6"/>
  <c r="J144" i="6"/>
  <c r="I144" i="6"/>
  <c r="M144" i="6" s="1"/>
  <c r="M143" i="6"/>
  <c r="I143" i="6"/>
  <c r="J143" i="6" s="1"/>
  <c r="M142" i="6"/>
  <c r="J142" i="6"/>
  <c r="I142" i="6"/>
  <c r="L142" i="6" s="1"/>
  <c r="K141" i="6"/>
  <c r="J141" i="6"/>
  <c r="I141" i="6"/>
  <c r="L141" i="6" s="1"/>
  <c r="M140" i="6"/>
  <c r="L140" i="6"/>
  <c r="K140" i="6"/>
  <c r="J140" i="6"/>
  <c r="I140" i="6"/>
  <c r="L139" i="6"/>
  <c r="I139" i="6"/>
  <c r="M139" i="6" s="1"/>
  <c r="I138" i="6"/>
  <c r="M137" i="6"/>
  <c r="K137" i="6"/>
  <c r="J137" i="6"/>
  <c r="I137" i="6"/>
  <c r="L137" i="6" s="1"/>
  <c r="L136" i="6"/>
  <c r="K136" i="6"/>
  <c r="J136" i="6"/>
  <c r="I136" i="6"/>
  <c r="M136" i="6" s="1"/>
  <c r="M135" i="6"/>
  <c r="I135" i="6"/>
  <c r="J135" i="6" s="1"/>
  <c r="M134" i="6"/>
  <c r="J134" i="6"/>
  <c r="I134" i="6"/>
  <c r="L134" i="6" s="1"/>
  <c r="K133" i="6"/>
  <c r="J133" i="6"/>
  <c r="I133" i="6"/>
  <c r="L133" i="6" s="1"/>
  <c r="M132" i="6"/>
  <c r="L132" i="6"/>
  <c r="K132" i="6"/>
  <c r="J132" i="6"/>
  <c r="I132" i="6"/>
  <c r="I131" i="6"/>
  <c r="I130" i="6"/>
  <c r="M129" i="6"/>
  <c r="K129" i="6"/>
  <c r="J129" i="6"/>
  <c r="I129" i="6"/>
  <c r="L129" i="6" s="1"/>
  <c r="L128" i="6"/>
  <c r="K128" i="6"/>
  <c r="J128" i="6"/>
  <c r="I128" i="6"/>
  <c r="M128" i="6" s="1"/>
  <c r="M127" i="6"/>
  <c r="I127" i="6"/>
  <c r="J127" i="6" s="1"/>
  <c r="M126" i="6"/>
  <c r="J126" i="6"/>
  <c r="I126" i="6"/>
  <c r="L126" i="6" s="1"/>
  <c r="K125" i="6"/>
  <c r="J125" i="6"/>
  <c r="I125" i="6"/>
  <c r="L125" i="6" s="1"/>
  <c r="M124" i="6"/>
  <c r="L124" i="6"/>
  <c r="K124" i="6"/>
  <c r="J124" i="6"/>
  <c r="I124" i="6"/>
  <c r="L123" i="6"/>
  <c r="K123" i="6"/>
  <c r="I123" i="6"/>
  <c r="J123" i="6" s="1"/>
  <c r="I122" i="6"/>
  <c r="M121" i="6"/>
  <c r="K121" i="6"/>
  <c r="J121" i="6"/>
  <c r="I121" i="6"/>
  <c r="L121" i="6" s="1"/>
  <c r="L120" i="6"/>
  <c r="K120" i="6"/>
  <c r="J120" i="6"/>
  <c r="I120" i="6"/>
  <c r="M120" i="6" s="1"/>
  <c r="I119" i="6"/>
  <c r="M118" i="6"/>
  <c r="L118" i="6"/>
  <c r="I118" i="6"/>
  <c r="K118" i="6" s="1"/>
  <c r="K117" i="6"/>
  <c r="I117" i="6"/>
  <c r="M116" i="6"/>
  <c r="L116" i="6"/>
  <c r="K116" i="6"/>
  <c r="J116" i="6"/>
  <c r="I116" i="6"/>
  <c r="I115" i="6"/>
  <c r="J115" i="6" s="1"/>
  <c r="M114" i="6"/>
  <c r="I114" i="6"/>
  <c r="M113" i="6"/>
  <c r="K113" i="6"/>
  <c r="J113" i="6"/>
  <c r="I113" i="6"/>
  <c r="L113" i="6" s="1"/>
  <c r="L112" i="6"/>
  <c r="K112" i="6"/>
  <c r="J112" i="6"/>
  <c r="I112" i="6"/>
  <c r="M112" i="6" s="1"/>
  <c r="L111" i="6"/>
  <c r="I111" i="6"/>
  <c r="J111" i="6" s="1"/>
  <c r="M110" i="6"/>
  <c r="L110" i="6"/>
  <c r="I110" i="6"/>
  <c r="K110" i="6" s="1"/>
  <c r="K109" i="6"/>
  <c r="I109" i="6"/>
  <c r="L109" i="6" s="1"/>
  <c r="M108" i="6"/>
  <c r="L108" i="6"/>
  <c r="K108" i="6"/>
  <c r="J108" i="6"/>
  <c r="I108" i="6"/>
  <c r="I107" i="6"/>
  <c r="J107" i="6" s="1"/>
  <c r="M106" i="6"/>
  <c r="J106" i="6"/>
  <c r="I106" i="6"/>
  <c r="K106" i="6" s="1"/>
  <c r="I105" i="6"/>
  <c r="L105" i="6" s="1"/>
  <c r="L104" i="6"/>
  <c r="K104" i="6"/>
  <c r="J104" i="6"/>
  <c r="I104" i="6"/>
  <c r="M104" i="6" s="1"/>
  <c r="I103" i="6"/>
  <c r="J103" i="6" s="1"/>
  <c r="I102" i="6"/>
  <c r="M102" i="6" s="1"/>
  <c r="J101" i="6"/>
  <c r="I101" i="6"/>
  <c r="L101" i="6" s="1"/>
  <c r="M100" i="6"/>
  <c r="L100" i="6"/>
  <c r="K100" i="6"/>
  <c r="J100" i="6"/>
  <c r="I100" i="6"/>
  <c r="L99" i="6"/>
  <c r="K99" i="6"/>
  <c r="I99" i="6"/>
  <c r="M99" i="6" s="1"/>
  <c r="L98" i="6"/>
  <c r="I98" i="6"/>
  <c r="K98" i="6" s="1"/>
  <c r="M97" i="6"/>
  <c r="L97" i="6"/>
  <c r="J97" i="6"/>
  <c r="I97" i="6"/>
  <c r="K97" i="6" s="1"/>
  <c r="I96" i="6"/>
  <c r="M96" i="6" s="1"/>
  <c r="M95" i="6"/>
  <c r="I95" i="6"/>
  <c r="J95" i="6" s="1"/>
  <c r="M94" i="6"/>
  <c r="J94" i="6"/>
  <c r="I94" i="6"/>
  <c r="L94" i="6" s="1"/>
  <c r="M93" i="6"/>
  <c r="L93" i="6"/>
  <c r="K93" i="6"/>
  <c r="J93" i="6"/>
  <c r="I93" i="6"/>
  <c r="L92" i="6"/>
  <c r="I92" i="6"/>
  <c r="M92" i="6" s="1"/>
  <c r="I91" i="6"/>
  <c r="K91" i="6" s="1"/>
  <c r="I90" i="6"/>
  <c r="M90" i="6" s="1"/>
  <c r="L89" i="6"/>
  <c r="K89" i="6"/>
  <c r="J89" i="6"/>
  <c r="I89" i="6"/>
  <c r="M89" i="6" s="1"/>
  <c r="M88" i="6"/>
  <c r="K88" i="6"/>
  <c r="I88" i="6"/>
  <c r="J88" i="6" s="1"/>
  <c r="M87" i="6"/>
  <c r="L87" i="6"/>
  <c r="J87" i="6"/>
  <c r="I87" i="6"/>
  <c r="K87" i="6" s="1"/>
  <c r="M86" i="6"/>
  <c r="J86" i="6"/>
  <c r="I86" i="6"/>
  <c r="L86" i="6" s="1"/>
  <c r="M85" i="6"/>
  <c r="L85" i="6"/>
  <c r="K85" i="6"/>
  <c r="J85" i="6"/>
  <c r="I85" i="6"/>
  <c r="L84" i="6"/>
  <c r="I84" i="6"/>
  <c r="M84" i="6" s="1"/>
  <c r="I83" i="6"/>
  <c r="K83" i="6" s="1"/>
  <c r="I82" i="6"/>
  <c r="M82" i="6" s="1"/>
  <c r="L81" i="6"/>
  <c r="K81" i="6"/>
  <c r="J81" i="6"/>
  <c r="I81" i="6"/>
  <c r="M81" i="6" s="1"/>
  <c r="M80" i="6"/>
  <c r="K80" i="6"/>
  <c r="I80" i="6"/>
  <c r="J80" i="6" s="1"/>
  <c r="M79" i="6"/>
  <c r="L79" i="6"/>
  <c r="J79" i="6"/>
  <c r="I79" i="6"/>
  <c r="K79" i="6" s="1"/>
  <c r="M78" i="6"/>
  <c r="J78" i="6"/>
  <c r="I78" i="6"/>
  <c r="L78" i="6" s="1"/>
  <c r="M77" i="6"/>
  <c r="L77" i="6"/>
  <c r="K77" i="6"/>
  <c r="J77" i="6"/>
  <c r="I77" i="6"/>
  <c r="L76" i="6"/>
  <c r="I76" i="6"/>
  <c r="M76" i="6" s="1"/>
  <c r="I75" i="6"/>
  <c r="K75" i="6" s="1"/>
  <c r="I74" i="6"/>
  <c r="M74" i="6" s="1"/>
  <c r="L73" i="6"/>
  <c r="K73" i="6"/>
  <c r="J73" i="6"/>
  <c r="I73" i="6"/>
  <c r="M73" i="6" s="1"/>
  <c r="M72" i="6"/>
  <c r="K72" i="6"/>
  <c r="I72" i="6"/>
  <c r="J72" i="6" s="1"/>
  <c r="M71" i="6"/>
  <c r="J71" i="6"/>
  <c r="I71" i="6"/>
  <c r="L71" i="6" s="1"/>
  <c r="M70" i="6"/>
  <c r="J70" i="6"/>
  <c r="I70" i="6"/>
  <c r="L70" i="6" s="1"/>
  <c r="M69" i="6"/>
  <c r="L69" i="6"/>
  <c r="K69" i="6"/>
  <c r="J69" i="6"/>
  <c r="I69" i="6"/>
  <c r="L68" i="6"/>
  <c r="I68" i="6"/>
  <c r="M68" i="6" s="1"/>
  <c r="I67" i="6"/>
  <c r="K67" i="6" s="1"/>
  <c r="I66" i="6"/>
  <c r="M66" i="6" s="1"/>
  <c r="L65" i="6"/>
  <c r="K65" i="6"/>
  <c r="J65" i="6"/>
  <c r="I65" i="6"/>
  <c r="M65" i="6" s="1"/>
  <c r="M64" i="6"/>
  <c r="K64" i="6"/>
  <c r="I64" i="6"/>
  <c r="J64" i="6" s="1"/>
  <c r="M63" i="6"/>
  <c r="L63" i="6"/>
  <c r="J63" i="6"/>
  <c r="I63" i="6"/>
  <c r="K63" i="6" s="1"/>
  <c r="M62" i="6"/>
  <c r="J62" i="6"/>
  <c r="I62" i="6"/>
  <c r="L62" i="6" s="1"/>
  <c r="M61" i="6"/>
  <c r="L61" i="6"/>
  <c r="K61" i="6"/>
  <c r="J61" i="6"/>
  <c r="I61" i="6"/>
  <c r="L60" i="6"/>
  <c r="I60" i="6"/>
  <c r="M60" i="6" s="1"/>
  <c r="I59" i="6"/>
  <c r="K59" i="6" s="1"/>
  <c r="I58" i="6"/>
  <c r="M58" i="6" s="1"/>
  <c r="L57" i="6"/>
  <c r="K57" i="6"/>
  <c r="J57" i="6"/>
  <c r="I57" i="6"/>
  <c r="M57" i="6" s="1"/>
  <c r="M56" i="6"/>
  <c r="K56" i="6"/>
  <c r="I56" i="6"/>
  <c r="J56" i="6" s="1"/>
  <c r="M55" i="6"/>
  <c r="L55" i="6"/>
  <c r="J55" i="6"/>
  <c r="I55" i="6"/>
  <c r="K55" i="6" s="1"/>
  <c r="M54" i="6"/>
  <c r="J54" i="6"/>
  <c r="I54" i="6"/>
  <c r="L54" i="6" s="1"/>
  <c r="M53" i="6"/>
  <c r="L53" i="6"/>
  <c r="K53" i="6"/>
  <c r="J53" i="6"/>
  <c r="I53" i="6"/>
  <c r="L52" i="6"/>
  <c r="I52" i="6"/>
  <c r="M52" i="6" s="1"/>
  <c r="I51" i="6"/>
  <c r="K51" i="6" s="1"/>
  <c r="I50" i="6"/>
  <c r="M50" i="6" s="1"/>
  <c r="L49" i="6"/>
  <c r="K49" i="6"/>
  <c r="J49" i="6"/>
  <c r="I49" i="6"/>
  <c r="M49" i="6" s="1"/>
  <c r="M48" i="6"/>
  <c r="K48" i="6"/>
  <c r="I48" i="6"/>
  <c r="J48" i="6" s="1"/>
  <c r="M47" i="6"/>
  <c r="L47" i="6"/>
  <c r="J47" i="6"/>
  <c r="I47" i="6"/>
  <c r="K47" i="6" s="1"/>
  <c r="M46" i="6"/>
  <c r="J46" i="6"/>
  <c r="I46" i="6"/>
  <c r="L46" i="6" s="1"/>
  <c r="M45" i="6"/>
  <c r="L45" i="6"/>
  <c r="K45" i="6"/>
  <c r="J45" i="6"/>
  <c r="I45" i="6"/>
  <c r="L44" i="6"/>
  <c r="I44" i="6"/>
  <c r="M44" i="6" s="1"/>
  <c r="L43" i="6"/>
  <c r="I43" i="6"/>
  <c r="K43" i="6" s="1"/>
  <c r="I42" i="6"/>
  <c r="M42" i="6" s="1"/>
  <c r="L41" i="6"/>
  <c r="K41" i="6"/>
  <c r="J41" i="6"/>
  <c r="I41" i="6"/>
  <c r="M41" i="6" s="1"/>
  <c r="M40" i="6"/>
  <c r="K40" i="6"/>
  <c r="I40" i="6"/>
  <c r="J40" i="6" s="1"/>
  <c r="M39" i="6"/>
  <c r="L39" i="6"/>
  <c r="J39" i="6"/>
  <c r="I39" i="6"/>
  <c r="K39" i="6" s="1"/>
  <c r="M38" i="6"/>
  <c r="J38" i="6"/>
  <c r="I38" i="6"/>
  <c r="L38" i="6" s="1"/>
  <c r="M37" i="6"/>
  <c r="L37" i="6"/>
  <c r="K37" i="6"/>
  <c r="J37" i="6"/>
  <c r="I37" i="6"/>
  <c r="L36" i="6"/>
  <c r="I36" i="6"/>
  <c r="M36" i="6" s="1"/>
  <c r="I35" i="6"/>
  <c r="K35" i="6" s="1"/>
  <c r="I34" i="6"/>
  <c r="M34" i="6" s="1"/>
  <c r="L33" i="6"/>
  <c r="K33" i="6"/>
  <c r="J33" i="6"/>
  <c r="I33" i="6"/>
  <c r="M33" i="6" s="1"/>
  <c r="M32" i="6"/>
  <c r="K32" i="6"/>
  <c r="I32" i="6"/>
  <c r="J32" i="6" s="1"/>
  <c r="M31" i="6"/>
  <c r="L31" i="6"/>
  <c r="J31" i="6"/>
  <c r="I31" i="6"/>
  <c r="K31" i="6" s="1"/>
  <c r="M30" i="6"/>
  <c r="J30" i="6"/>
  <c r="I30" i="6"/>
  <c r="L30" i="6" s="1"/>
  <c r="M29" i="6"/>
  <c r="L29" i="6"/>
  <c r="K29" i="6"/>
  <c r="J29" i="6"/>
  <c r="I29" i="6"/>
  <c r="L28" i="6"/>
  <c r="I28" i="6"/>
  <c r="M28" i="6" s="1"/>
  <c r="L27" i="6"/>
  <c r="I27" i="6"/>
  <c r="K27" i="6" s="1"/>
  <c r="I26" i="6"/>
  <c r="M26" i="6" s="1"/>
  <c r="L25" i="6"/>
  <c r="K25" i="6"/>
  <c r="J25" i="6"/>
  <c r="I25" i="6"/>
  <c r="M25" i="6" s="1"/>
  <c r="M24" i="6"/>
  <c r="K24" i="6"/>
  <c r="I24" i="6"/>
  <c r="J24" i="6" s="1"/>
  <c r="M23" i="6"/>
  <c r="L23" i="6"/>
  <c r="J23" i="6"/>
  <c r="I23" i="6"/>
  <c r="K23" i="6" s="1"/>
  <c r="M22" i="6"/>
  <c r="J22" i="6"/>
  <c r="I22" i="6"/>
  <c r="L22" i="6" s="1"/>
  <c r="M21" i="6"/>
  <c r="L21" i="6"/>
  <c r="K21" i="6"/>
  <c r="J21" i="6"/>
  <c r="I21" i="6"/>
  <c r="L20" i="6"/>
  <c r="K20" i="6"/>
  <c r="I20" i="6"/>
  <c r="M20" i="6" s="1"/>
  <c r="I19" i="6"/>
  <c r="K19" i="6" s="1"/>
  <c r="I18" i="6"/>
  <c r="M18" i="6" s="1"/>
  <c r="L17" i="6"/>
  <c r="K17" i="6"/>
  <c r="J17" i="6"/>
  <c r="I17" i="6"/>
  <c r="M17" i="6" s="1"/>
  <c r="M16" i="6"/>
  <c r="L16" i="6"/>
  <c r="K16" i="6"/>
  <c r="I16" i="6"/>
  <c r="J16" i="6" s="1"/>
  <c r="M15" i="6"/>
  <c r="L15" i="6"/>
  <c r="I15" i="6"/>
  <c r="K15" i="6" s="1"/>
  <c r="I14" i="6"/>
  <c r="L14" i="6" s="1"/>
  <c r="L13" i="6"/>
  <c r="K13" i="6"/>
  <c r="J13" i="6"/>
  <c r="I13" i="6"/>
  <c r="M13" i="6" s="1"/>
  <c r="E1000" i="6"/>
  <c r="B1000" i="6"/>
  <c r="A1000" i="6"/>
  <c r="F1000" i="6" s="1"/>
  <c r="E999" i="6"/>
  <c r="C999" i="6"/>
  <c r="A999" i="6"/>
  <c r="D999" i="6" s="1"/>
  <c r="E998" i="6"/>
  <c r="A998" i="6"/>
  <c r="F998" i="6" s="1"/>
  <c r="A997" i="6"/>
  <c r="C996" i="6"/>
  <c r="A996" i="6"/>
  <c r="E996" i="6" s="1"/>
  <c r="A995" i="6"/>
  <c r="F994" i="6"/>
  <c r="C994" i="6"/>
  <c r="A994" i="6"/>
  <c r="E994" i="6" s="1"/>
  <c r="A993" i="6"/>
  <c r="B992" i="6"/>
  <c r="A992" i="6"/>
  <c r="E992" i="6" s="1"/>
  <c r="E991" i="6"/>
  <c r="A991" i="6"/>
  <c r="A990" i="6"/>
  <c r="D989" i="6"/>
  <c r="A989" i="6"/>
  <c r="A988" i="6"/>
  <c r="E987" i="6"/>
  <c r="C987" i="6"/>
  <c r="A987" i="6"/>
  <c r="A986" i="6"/>
  <c r="A985" i="6"/>
  <c r="B984" i="6"/>
  <c r="A984" i="6"/>
  <c r="D984" i="6" s="1"/>
  <c r="A983" i="6"/>
  <c r="C982" i="6"/>
  <c r="A982" i="6"/>
  <c r="D982" i="6" s="1"/>
  <c r="D981" i="6"/>
  <c r="C981" i="6"/>
  <c r="A981" i="6"/>
  <c r="E980" i="6"/>
  <c r="C980" i="6"/>
  <c r="B980" i="6"/>
  <c r="A980" i="6"/>
  <c r="D980" i="6" s="1"/>
  <c r="E979" i="6"/>
  <c r="D979" i="6"/>
  <c r="C979" i="6"/>
  <c r="A979" i="6"/>
  <c r="F978" i="6"/>
  <c r="A978" i="6"/>
  <c r="D978" i="6" s="1"/>
  <c r="A977" i="6"/>
  <c r="A976" i="6"/>
  <c r="D976" i="6" s="1"/>
  <c r="C975" i="6"/>
  <c r="A975" i="6"/>
  <c r="E975" i="6" s="1"/>
  <c r="F974" i="6"/>
  <c r="C974" i="6"/>
  <c r="B974" i="6"/>
  <c r="A974" i="6"/>
  <c r="D974" i="6" s="1"/>
  <c r="D973" i="6"/>
  <c r="A973" i="6"/>
  <c r="E973" i="6" s="1"/>
  <c r="E972" i="6"/>
  <c r="C972" i="6"/>
  <c r="B972" i="6"/>
  <c r="A972" i="6"/>
  <c r="D972" i="6" s="1"/>
  <c r="E971" i="6"/>
  <c r="D971" i="6"/>
  <c r="C971" i="6"/>
  <c r="A971" i="6"/>
  <c r="A970" i="6"/>
  <c r="A969" i="6"/>
  <c r="B968" i="6"/>
  <c r="A968" i="6"/>
  <c r="D968" i="6" s="1"/>
  <c r="A967" i="6"/>
  <c r="C966" i="6"/>
  <c r="A966" i="6"/>
  <c r="D966" i="6" s="1"/>
  <c r="D965" i="6"/>
  <c r="C965" i="6"/>
  <c r="A965" i="6"/>
  <c r="E964" i="6"/>
  <c r="C964" i="6"/>
  <c r="B964" i="6"/>
  <c r="A964" i="6"/>
  <c r="D964" i="6" s="1"/>
  <c r="E963" i="6"/>
  <c r="D963" i="6"/>
  <c r="C963" i="6"/>
  <c r="A963" i="6"/>
  <c r="F962" i="6"/>
  <c r="A962" i="6"/>
  <c r="D962" i="6" s="1"/>
  <c r="A961" i="6"/>
  <c r="A960" i="6"/>
  <c r="D960" i="6" s="1"/>
  <c r="C959" i="6"/>
  <c r="A959" i="6"/>
  <c r="E959" i="6" s="1"/>
  <c r="F958" i="6"/>
  <c r="C958" i="6"/>
  <c r="B958" i="6"/>
  <c r="A958" i="6"/>
  <c r="D958" i="6" s="1"/>
  <c r="D957" i="6"/>
  <c r="A957" i="6"/>
  <c r="E957" i="6" s="1"/>
  <c r="E956" i="6"/>
  <c r="C956" i="6"/>
  <c r="B956" i="6"/>
  <c r="A956" i="6"/>
  <c r="D956" i="6" s="1"/>
  <c r="E955" i="6"/>
  <c r="D955" i="6"/>
  <c r="C955" i="6"/>
  <c r="A955" i="6"/>
  <c r="A954" i="6"/>
  <c r="A953" i="6"/>
  <c r="B952" i="6"/>
  <c r="A952" i="6"/>
  <c r="D952" i="6" s="1"/>
  <c r="A951" i="6"/>
  <c r="C950" i="6"/>
  <c r="A950" i="6"/>
  <c r="D950" i="6" s="1"/>
  <c r="D949" i="6"/>
  <c r="C949" i="6"/>
  <c r="A949" i="6"/>
  <c r="E948" i="6"/>
  <c r="C948" i="6"/>
  <c r="B948" i="6"/>
  <c r="A948" i="6"/>
  <c r="D948" i="6" s="1"/>
  <c r="E947" i="6"/>
  <c r="D947" i="6"/>
  <c r="C947" i="6"/>
  <c r="A947" i="6"/>
  <c r="F946" i="6"/>
  <c r="A946" i="6"/>
  <c r="D946" i="6" s="1"/>
  <c r="A945" i="6"/>
  <c r="A944" i="6"/>
  <c r="D944" i="6" s="1"/>
  <c r="C943" i="6"/>
  <c r="A943" i="6"/>
  <c r="E943" i="6" s="1"/>
  <c r="F942" i="6"/>
  <c r="C942" i="6"/>
  <c r="B942" i="6"/>
  <c r="A942" i="6"/>
  <c r="D942" i="6" s="1"/>
  <c r="D941" i="6"/>
  <c r="A941" i="6"/>
  <c r="E941" i="6" s="1"/>
  <c r="A940" i="6"/>
  <c r="A939" i="6"/>
  <c r="F939" i="6" s="1"/>
  <c r="C938" i="6"/>
  <c r="A938" i="6"/>
  <c r="D938" i="6" s="1"/>
  <c r="E937" i="6"/>
  <c r="D937" i="6"/>
  <c r="C937" i="6"/>
  <c r="A937" i="6"/>
  <c r="B937" i="6" s="1"/>
  <c r="F936" i="6"/>
  <c r="A936" i="6"/>
  <c r="E936" i="6" s="1"/>
  <c r="C935" i="6"/>
  <c r="A935" i="6"/>
  <c r="F935" i="6" s="1"/>
  <c r="E934" i="6"/>
  <c r="C934" i="6"/>
  <c r="A934" i="6"/>
  <c r="D934" i="6" s="1"/>
  <c r="F933" i="6"/>
  <c r="D933" i="6"/>
  <c r="A933" i="6"/>
  <c r="B933" i="6" s="1"/>
  <c r="C932" i="6"/>
  <c r="A932" i="6"/>
  <c r="B932" i="6" s="1"/>
  <c r="D931" i="6"/>
  <c r="C931" i="6"/>
  <c r="A931" i="6"/>
  <c r="F931" i="6" s="1"/>
  <c r="F930" i="6"/>
  <c r="C930" i="6"/>
  <c r="A930" i="6"/>
  <c r="D930" i="6" s="1"/>
  <c r="F929" i="6"/>
  <c r="C929" i="6"/>
  <c r="A929" i="6"/>
  <c r="B929" i="6" s="1"/>
  <c r="F928" i="6"/>
  <c r="D928" i="6"/>
  <c r="C928" i="6"/>
  <c r="A928" i="6"/>
  <c r="E928" i="6" s="1"/>
  <c r="E927" i="6"/>
  <c r="A927" i="6"/>
  <c r="F927" i="6" s="1"/>
  <c r="F926" i="6"/>
  <c r="B926" i="6"/>
  <c r="A926" i="6"/>
  <c r="D926" i="6" s="1"/>
  <c r="F925" i="6"/>
  <c r="D925" i="6"/>
  <c r="C925" i="6"/>
  <c r="A925" i="6"/>
  <c r="B925" i="6" s="1"/>
  <c r="E924" i="6"/>
  <c r="A924" i="6"/>
  <c r="D924" i="6" s="1"/>
  <c r="B923" i="6"/>
  <c r="A923" i="6"/>
  <c r="F923" i="6" s="1"/>
  <c r="F922" i="6"/>
  <c r="C922" i="6"/>
  <c r="B922" i="6"/>
  <c r="A922" i="6"/>
  <c r="D922" i="6" s="1"/>
  <c r="F921" i="6"/>
  <c r="E921" i="6"/>
  <c r="D921" i="6"/>
  <c r="C921" i="6"/>
  <c r="A921" i="6"/>
  <c r="B921" i="6" s="1"/>
  <c r="B920" i="6"/>
  <c r="A920" i="6"/>
  <c r="E919" i="6"/>
  <c r="C919" i="6"/>
  <c r="B919" i="6"/>
  <c r="A919" i="6"/>
  <c r="F919" i="6" s="1"/>
  <c r="F918" i="6"/>
  <c r="E918" i="6"/>
  <c r="C918" i="6"/>
  <c r="B918" i="6"/>
  <c r="A918" i="6"/>
  <c r="D918" i="6" s="1"/>
  <c r="A917" i="6"/>
  <c r="F916" i="6"/>
  <c r="E916" i="6"/>
  <c r="C916" i="6"/>
  <c r="A916" i="6"/>
  <c r="D916" i="6" s="1"/>
  <c r="E915" i="6"/>
  <c r="D915" i="6"/>
  <c r="C915" i="6"/>
  <c r="B915" i="6"/>
  <c r="A915" i="6"/>
  <c r="F915" i="6" s="1"/>
  <c r="F914" i="6"/>
  <c r="A914" i="6"/>
  <c r="F913" i="6"/>
  <c r="C913" i="6"/>
  <c r="A913" i="6"/>
  <c r="B913" i="6" s="1"/>
  <c r="F912" i="6"/>
  <c r="D912" i="6"/>
  <c r="C912" i="6"/>
  <c r="B912" i="6"/>
  <c r="A912" i="6"/>
  <c r="E912" i="6" s="1"/>
  <c r="A911" i="6"/>
  <c r="A910" i="6"/>
  <c r="A909" i="6"/>
  <c r="E908" i="6"/>
  <c r="A908" i="6"/>
  <c r="A907" i="6"/>
  <c r="C906" i="6"/>
  <c r="B906" i="6"/>
  <c r="A906" i="6"/>
  <c r="E905" i="6"/>
  <c r="D905" i="6"/>
  <c r="C905" i="6"/>
  <c r="A905" i="6"/>
  <c r="B905" i="6" s="1"/>
  <c r="D904" i="6"/>
  <c r="A904" i="6"/>
  <c r="C904" i="6" s="1"/>
  <c r="B903" i="6"/>
  <c r="A903" i="6"/>
  <c r="E902" i="6"/>
  <c r="C902" i="6"/>
  <c r="A902" i="6"/>
  <c r="D902" i="6" s="1"/>
  <c r="E901" i="6"/>
  <c r="A901" i="6"/>
  <c r="F900" i="6"/>
  <c r="D900" i="6"/>
  <c r="C900" i="6"/>
  <c r="B900" i="6"/>
  <c r="A900" i="6"/>
  <c r="E900" i="6" s="1"/>
  <c r="A899" i="6"/>
  <c r="A898" i="6"/>
  <c r="A897" i="6"/>
  <c r="A896" i="6"/>
  <c r="A895" i="6"/>
  <c r="A894" i="6"/>
  <c r="F893" i="6"/>
  <c r="D893" i="6"/>
  <c r="C893" i="6"/>
  <c r="A893" i="6"/>
  <c r="B893" i="6" s="1"/>
  <c r="E892" i="6"/>
  <c r="C892" i="6"/>
  <c r="A892" i="6"/>
  <c r="B892" i="6" s="1"/>
  <c r="E891" i="6"/>
  <c r="C891" i="6"/>
  <c r="A891" i="6"/>
  <c r="F891" i="6" s="1"/>
  <c r="C890" i="6"/>
  <c r="A890" i="6"/>
  <c r="F890" i="6" s="1"/>
  <c r="F889" i="6"/>
  <c r="E889" i="6"/>
  <c r="D889" i="6"/>
  <c r="C889" i="6"/>
  <c r="A889" i="6"/>
  <c r="B889" i="6" s="1"/>
  <c r="F888" i="6"/>
  <c r="D888" i="6"/>
  <c r="B888" i="6"/>
  <c r="A888" i="6"/>
  <c r="E888" i="6" s="1"/>
  <c r="E887" i="6"/>
  <c r="B887" i="6"/>
  <c r="A887" i="6"/>
  <c r="C887" i="6" s="1"/>
  <c r="D886" i="6"/>
  <c r="A886" i="6"/>
  <c r="B886" i="6" s="1"/>
  <c r="E885" i="6"/>
  <c r="A885" i="6"/>
  <c r="D885" i="6" s="1"/>
  <c r="D884" i="6"/>
  <c r="B884" i="6"/>
  <c r="A884" i="6"/>
  <c r="F884" i="6" s="1"/>
  <c r="C883" i="6"/>
  <c r="A883" i="6"/>
  <c r="D883" i="6" s="1"/>
  <c r="F882" i="6"/>
  <c r="E882" i="6"/>
  <c r="D882" i="6"/>
  <c r="C882" i="6"/>
  <c r="A882" i="6"/>
  <c r="B882" i="6" s="1"/>
  <c r="F881" i="6"/>
  <c r="D881" i="6"/>
  <c r="B881" i="6"/>
  <c r="A881" i="6"/>
  <c r="E881" i="6" s="1"/>
  <c r="C880" i="6"/>
  <c r="A880" i="6"/>
  <c r="F880" i="6" s="1"/>
  <c r="F879" i="6"/>
  <c r="E879" i="6"/>
  <c r="C879" i="6"/>
  <c r="B879" i="6"/>
  <c r="A879" i="6"/>
  <c r="D879" i="6" s="1"/>
  <c r="A878" i="6"/>
  <c r="A877" i="6"/>
  <c r="F877" i="6" s="1"/>
  <c r="D876" i="6"/>
  <c r="C876" i="6"/>
  <c r="B876" i="6"/>
  <c r="A876" i="6"/>
  <c r="F876" i="6" s="1"/>
  <c r="A875" i="6"/>
  <c r="F874" i="6"/>
  <c r="E874" i="6"/>
  <c r="C874" i="6"/>
  <c r="A874" i="6"/>
  <c r="B874" i="6" s="1"/>
  <c r="F873" i="6"/>
  <c r="D873" i="6"/>
  <c r="C873" i="6"/>
  <c r="B873" i="6"/>
  <c r="A873" i="6"/>
  <c r="E873" i="6" s="1"/>
  <c r="A872" i="6"/>
  <c r="F871" i="6"/>
  <c r="B871" i="6"/>
  <c r="A871" i="6"/>
  <c r="D871" i="6" s="1"/>
  <c r="F870" i="6"/>
  <c r="D870" i="6"/>
  <c r="A870" i="6"/>
  <c r="B870" i="6" s="1"/>
  <c r="A869" i="6"/>
  <c r="B868" i="6"/>
  <c r="A868" i="6"/>
  <c r="F868" i="6" s="1"/>
  <c r="F867" i="6"/>
  <c r="C867" i="6"/>
  <c r="A867" i="6"/>
  <c r="D867" i="6" s="1"/>
  <c r="F866" i="6"/>
  <c r="E866" i="6"/>
  <c r="D866" i="6"/>
  <c r="C866" i="6"/>
  <c r="A866" i="6"/>
  <c r="B866" i="6" s="1"/>
  <c r="F865" i="6"/>
  <c r="B865" i="6"/>
  <c r="A865" i="6"/>
  <c r="E865" i="6" s="1"/>
  <c r="C864" i="6"/>
  <c r="A864" i="6"/>
  <c r="F864" i="6" s="1"/>
  <c r="E863" i="6"/>
  <c r="C863" i="6"/>
  <c r="B863" i="6"/>
  <c r="A863" i="6"/>
  <c r="D863" i="6" s="1"/>
  <c r="F862" i="6"/>
  <c r="A862" i="6"/>
  <c r="B862" i="6" s="1"/>
  <c r="C861" i="6"/>
  <c r="A861" i="6"/>
  <c r="B861" i="6" s="1"/>
  <c r="D860" i="6"/>
  <c r="C860" i="6"/>
  <c r="B860" i="6"/>
  <c r="A860" i="6"/>
  <c r="F860" i="6" s="1"/>
  <c r="F859" i="6"/>
  <c r="A859" i="6"/>
  <c r="D859" i="6" s="1"/>
  <c r="F858" i="6"/>
  <c r="E858" i="6"/>
  <c r="C858" i="6"/>
  <c r="A858" i="6"/>
  <c r="B858" i="6" s="1"/>
  <c r="F857" i="6"/>
  <c r="D857" i="6"/>
  <c r="C857" i="6"/>
  <c r="B857" i="6"/>
  <c r="A857" i="6"/>
  <c r="E857" i="6" s="1"/>
  <c r="E856" i="6"/>
  <c r="A856" i="6"/>
  <c r="E855" i="6"/>
  <c r="B855" i="6"/>
  <c r="A855" i="6"/>
  <c r="D855" i="6" s="1"/>
  <c r="D854" i="6"/>
  <c r="A854" i="6"/>
  <c r="B854" i="6" s="1"/>
  <c r="A853" i="6"/>
  <c r="B852" i="6"/>
  <c r="A852" i="6"/>
  <c r="F852" i="6" s="1"/>
  <c r="C851" i="6"/>
  <c r="A851" i="6"/>
  <c r="D851" i="6" s="1"/>
  <c r="F850" i="6"/>
  <c r="E850" i="6"/>
  <c r="D850" i="6"/>
  <c r="C850" i="6"/>
  <c r="A850" i="6"/>
  <c r="B850" i="6" s="1"/>
  <c r="F849" i="6"/>
  <c r="D849" i="6"/>
  <c r="B849" i="6"/>
  <c r="A849" i="6"/>
  <c r="F848" i="6"/>
  <c r="D848" i="6"/>
  <c r="C848" i="6"/>
  <c r="B848" i="6"/>
  <c r="A848" i="6"/>
  <c r="E848" i="6" s="1"/>
  <c r="F847" i="6"/>
  <c r="E847" i="6"/>
  <c r="B847" i="6"/>
  <c r="A847" i="6"/>
  <c r="D847" i="6" s="1"/>
  <c r="F846" i="6"/>
  <c r="E846" i="6"/>
  <c r="D846" i="6"/>
  <c r="C846" i="6"/>
  <c r="B846" i="6"/>
  <c r="A846" i="6"/>
  <c r="B845" i="6"/>
  <c r="A845" i="6"/>
  <c r="C845" i="6" s="1"/>
  <c r="F844" i="6"/>
  <c r="D844" i="6"/>
  <c r="C844" i="6"/>
  <c r="B844" i="6"/>
  <c r="A844" i="6"/>
  <c r="E844" i="6" s="1"/>
  <c r="A843" i="6"/>
  <c r="F842" i="6"/>
  <c r="E842" i="6"/>
  <c r="D842" i="6"/>
  <c r="C842" i="6"/>
  <c r="B842" i="6"/>
  <c r="A842" i="6"/>
  <c r="E841" i="6"/>
  <c r="D841" i="6"/>
  <c r="B841" i="6"/>
  <c r="A841" i="6"/>
  <c r="C841" i="6" s="1"/>
  <c r="D840" i="6"/>
  <c r="C840" i="6"/>
  <c r="B840" i="6"/>
  <c r="A840" i="6"/>
  <c r="F840" i="6" s="1"/>
  <c r="F839" i="6"/>
  <c r="B839" i="6"/>
  <c r="A839" i="6"/>
  <c r="E839" i="6" s="1"/>
  <c r="F838" i="6"/>
  <c r="E838" i="6"/>
  <c r="D838" i="6"/>
  <c r="C838" i="6"/>
  <c r="B838" i="6"/>
  <c r="A838" i="6"/>
  <c r="F837" i="6"/>
  <c r="E837" i="6"/>
  <c r="B837" i="6"/>
  <c r="A837" i="6"/>
  <c r="D837" i="6" s="1"/>
  <c r="D836" i="6"/>
  <c r="B836" i="6"/>
  <c r="A836" i="6"/>
  <c r="C836" i="6" s="1"/>
  <c r="A835" i="6"/>
  <c r="F834" i="6"/>
  <c r="E834" i="6"/>
  <c r="D834" i="6"/>
  <c r="C834" i="6"/>
  <c r="B834" i="6"/>
  <c r="A834" i="6"/>
  <c r="D833" i="6"/>
  <c r="B833" i="6"/>
  <c r="A833" i="6"/>
  <c r="F833" i="6" s="1"/>
  <c r="A832" i="6"/>
  <c r="F831" i="6"/>
  <c r="B831" i="6"/>
  <c r="A831" i="6"/>
  <c r="E831" i="6" s="1"/>
  <c r="F830" i="6"/>
  <c r="E830" i="6"/>
  <c r="D830" i="6"/>
  <c r="C830" i="6"/>
  <c r="A830" i="6"/>
  <c r="B830" i="6" s="1"/>
  <c r="E829" i="6"/>
  <c r="D829" i="6"/>
  <c r="A829" i="6"/>
  <c r="C829" i="6" s="1"/>
  <c r="D828" i="6"/>
  <c r="B828" i="6"/>
  <c r="A828" i="6"/>
  <c r="F828" i="6" s="1"/>
  <c r="A827" i="6"/>
  <c r="F826" i="6"/>
  <c r="E826" i="6"/>
  <c r="D826" i="6"/>
  <c r="C826" i="6"/>
  <c r="A826" i="6"/>
  <c r="B826" i="6" s="1"/>
  <c r="D825" i="6"/>
  <c r="B825" i="6"/>
  <c r="A825" i="6"/>
  <c r="F825" i="6" s="1"/>
  <c r="A824" i="6"/>
  <c r="F823" i="6"/>
  <c r="E823" i="6"/>
  <c r="C823" i="6"/>
  <c r="A823" i="6"/>
  <c r="D823" i="6" s="1"/>
  <c r="A822" i="6"/>
  <c r="A821" i="6"/>
  <c r="E820" i="6"/>
  <c r="D820" i="6"/>
  <c r="C820" i="6"/>
  <c r="A820" i="6"/>
  <c r="F820" i="6" s="1"/>
  <c r="A819" i="6"/>
  <c r="F818" i="6"/>
  <c r="A818" i="6"/>
  <c r="B818" i="6" s="1"/>
  <c r="F817" i="6"/>
  <c r="E817" i="6"/>
  <c r="D817" i="6"/>
  <c r="C817" i="6"/>
  <c r="A817" i="6"/>
  <c r="B817" i="6" s="1"/>
  <c r="C816" i="6"/>
  <c r="A816" i="6"/>
  <c r="F815" i="6"/>
  <c r="A815" i="6"/>
  <c r="D815" i="6" s="1"/>
  <c r="F814" i="6"/>
  <c r="E814" i="6"/>
  <c r="D814" i="6"/>
  <c r="C814" i="6"/>
  <c r="A814" i="6"/>
  <c r="B814" i="6" s="1"/>
  <c r="A813" i="6"/>
  <c r="E812" i="6"/>
  <c r="A812" i="6"/>
  <c r="F812" i="6" s="1"/>
  <c r="F811" i="6"/>
  <c r="E811" i="6"/>
  <c r="C811" i="6"/>
  <c r="B811" i="6"/>
  <c r="A811" i="6"/>
  <c r="D811" i="6" s="1"/>
  <c r="D810" i="6"/>
  <c r="C810" i="6"/>
  <c r="A810" i="6"/>
  <c r="B810" i="6" s="1"/>
  <c r="F809" i="6"/>
  <c r="E809" i="6"/>
  <c r="A809" i="6"/>
  <c r="D809" i="6" s="1"/>
  <c r="E808" i="6"/>
  <c r="D808" i="6"/>
  <c r="C808" i="6"/>
  <c r="B808" i="6"/>
  <c r="A808" i="6"/>
  <c r="F808" i="6" s="1"/>
  <c r="C807" i="6"/>
  <c r="B807" i="6"/>
  <c r="A807" i="6"/>
  <c r="D807" i="6" s="1"/>
  <c r="F806" i="6"/>
  <c r="E806" i="6"/>
  <c r="A806" i="6"/>
  <c r="B806" i="6" s="1"/>
  <c r="F805" i="6"/>
  <c r="E805" i="6"/>
  <c r="D805" i="6"/>
  <c r="C805" i="6"/>
  <c r="B805" i="6"/>
  <c r="A805" i="6"/>
  <c r="C804" i="6"/>
  <c r="B804" i="6"/>
  <c r="A804" i="6"/>
  <c r="F804" i="6" s="1"/>
  <c r="F803" i="6"/>
  <c r="E803" i="6"/>
  <c r="A803" i="6"/>
  <c r="D803" i="6" s="1"/>
  <c r="E802" i="6"/>
  <c r="A802" i="6"/>
  <c r="C801" i="6"/>
  <c r="B801" i="6"/>
  <c r="A801" i="6"/>
  <c r="F801" i="6" s="1"/>
  <c r="E800" i="6"/>
  <c r="D800" i="6"/>
  <c r="A800" i="6"/>
  <c r="F800" i="6" s="1"/>
  <c r="F799" i="6"/>
  <c r="E799" i="6"/>
  <c r="A799" i="6"/>
  <c r="A798" i="6"/>
  <c r="E797" i="6"/>
  <c r="D797" i="6"/>
  <c r="A797" i="6"/>
  <c r="C797" i="6" s="1"/>
  <c r="E796" i="6"/>
  <c r="B796" i="6"/>
  <c r="A796" i="6"/>
  <c r="A795" i="6"/>
  <c r="F794" i="6"/>
  <c r="E794" i="6"/>
  <c r="D794" i="6"/>
  <c r="C794" i="6"/>
  <c r="A794" i="6"/>
  <c r="B794" i="6" s="1"/>
  <c r="A793" i="6"/>
  <c r="A792" i="6"/>
  <c r="F791" i="6"/>
  <c r="E791" i="6"/>
  <c r="C791" i="6"/>
  <c r="A791" i="6"/>
  <c r="D791" i="6" s="1"/>
  <c r="D790" i="6"/>
  <c r="A790" i="6"/>
  <c r="F789" i="6"/>
  <c r="A789" i="6"/>
  <c r="E788" i="6"/>
  <c r="D788" i="6"/>
  <c r="C788" i="6"/>
  <c r="A788" i="6"/>
  <c r="F788" i="6" s="1"/>
  <c r="E787" i="6"/>
  <c r="C787" i="6"/>
  <c r="A787" i="6"/>
  <c r="F786" i="6"/>
  <c r="A786" i="6"/>
  <c r="F785" i="6"/>
  <c r="E785" i="6"/>
  <c r="D785" i="6"/>
  <c r="C785" i="6"/>
  <c r="A785" i="6"/>
  <c r="B785" i="6" s="1"/>
  <c r="A784" i="6"/>
  <c r="A783" i="6"/>
  <c r="F782" i="6"/>
  <c r="E782" i="6"/>
  <c r="D782" i="6"/>
  <c r="C782" i="6"/>
  <c r="A782" i="6"/>
  <c r="B782" i="6" s="1"/>
  <c r="A781" i="6"/>
  <c r="E780" i="6"/>
  <c r="A780" i="6"/>
  <c r="F779" i="6"/>
  <c r="E779" i="6"/>
  <c r="C779" i="6"/>
  <c r="B779" i="6"/>
  <c r="A779" i="6"/>
  <c r="D779" i="6" s="1"/>
  <c r="D778" i="6"/>
  <c r="C778" i="6"/>
  <c r="A778" i="6"/>
  <c r="B778" i="6" s="1"/>
  <c r="F777" i="6"/>
  <c r="A777" i="6"/>
  <c r="E776" i="6"/>
  <c r="D776" i="6"/>
  <c r="C776" i="6"/>
  <c r="B776" i="6"/>
  <c r="A776" i="6"/>
  <c r="F776" i="6" s="1"/>
  <c r="C775" i="6"/>
  <c r="A775" i="6"/>
  <c r="F774" i="6"/>
  <c r="E774" i="6"/>
  <c r="A774" i="6"/>
  <c r="B774" i="6" s="1"/>
  <c r="F773" i="6"/>
  <c r="E773" i="6"/>
  <c r="D773" i="6"/>
  <c r="C773" i="6"/>
  <c r="B773" i="6"/>
  <c r="A773" i="6"/>
  <c r="B772" i="6"/>
  <c r="A772" i="6"/>
  <c r="F771" i="6"/>
  <c r="A771" i="6"/>
  <c r="C770" i="6"/>
  <c r="A770" i="6"/>
  <c r="B770" i="6" s="1"/>
  <c r="D769" i="6"/>
  <c r="B769" i="6"/>
  <c r="A769" i="6"/>
  <c r="A768" i="6"/>
  <c r="F767" i="6"/>
  <c r="E767" i="6"/>
  <c r="B767" i="6"/>
  <c r="A767" i="6"/>
  <c r="D767" i="6" s="1"/>
  <c r="A766" i="6"/>
  <c r="F765" i="6"/>
  <c r="E765" i="6"/>
  <c r="A765" i="6"/>
  <c r="B764" i="6"/>
  <c r="A764" i="6"/>
  <c r="F764" i="6" s="1"/>
  <c r="C763" i="6"/>
  <c r="A763" i="6"/>
  <c r="F762" i="6"/>
  <c r="E762" i="6"/>
  <c r="D762" i="6"/>
  <c r="C762" i="6"/>
  <c r="A762" i="6"/>
  <c r="B762" i="6" s="1"/>
  <c r="F761" i="6"/>
  <c r="D761" i="6"/>
  <c r="C761" i="6"/>
  <c r="A761" i="6"/>
  <c r="E761" i="6" s="1"/>
  <c r="C760" i="6"/>
  <c r="A760" i="6"/>
  <c r="F759" i="6"/>
  <c r="E759" i="6"/>
  <c r="C759" i="6"/>
  <c r="A759" i="6"/>
  <c r="D759" i="6" s="1"/>
  <c r="F758" i="6"/>
  <c r="E758" i="6"/>
  <c r="D758" i="6"/>
  <c r="C758" i="6"/>
  <c r="A758" i="6"/>
  <c r="B758" i="6" s="1"/>
  <c r="A757" i="6"/>
  <c r="D756" i="6"/>
  <c r="A756" i="6"/>
  <c r="E756" i="6" s="1"/>
  <c r="B755" i="6"/>
  <c r="A755" i="6"/>
  <c r="D755" i="6" s="1"/>
  <c r="F754" i="6"/>
  <c r="C754" i="6"/>
  <c r="A754" i="6"/>
  <c r="D753" i="6"/>
  <c r="A753" i="6"/>
  <c r="B753" i="6" s="1"/>
  <c r="A752" i="6"/>
  <c r="E751" i="6"/>
  <c r="D751" i="6"/>
  <c r="B751" i="6"/>
  <c r="A751" i="6"/>
  <c r="F751" i="6" s="1"/>
  <c r="C750" i="6"/>
  <c r="A750" i="6"/>
  <c r="D750" i="6" s="1"/>
  <c r="E749" i="6"/>
  <c r="D749" i="6"/>
  <c r="A749" i="6"/>
  <c r="B749" i="6" s="1"/>
  <c r="F748" i="6"/>
  <c r="E748" i="6"/>
  <c r="D748" i="6"/>
  <c r="B748" i="6"/>
  <c r="A748" i="6"/>
  <c r="C748" i="6" s="1"/>
  <c r="C747" i="6"/>
  <c r="A747" i="6"/>
  <c r="F747" i="6" s="1"/>
  <c r="E746" i="6"/>
  <c r="C746" i="6"/>
  <c r="A746" i="6"/>
  <c r="D746" i="6" s="1"/>
  <c r="F745" i="6"/>
  <c r="D745" i="6"/>
  <c r="A745" i="6"/>
  <c r="B745" i="6" s="1"/>
  <c r="C744" i="6"/>
  <c r="A744" i="6"/>
  <c r="F744" i="6" s="1"/>
  <c r="D743" i="6"/>
  <c r="C743" i="6"/>
  <c r="A743" i="6"/>
  <c r="F743" i="6" s="1"/>
  <c r="F742" i="6"/>
  <c r="C742" i="6"/>
  <c r="A742" i="6"/>
  <c r="D742" i="6" s="1"/>
  <c r="C741" i="6"/>
  <c r="A741" i="6"/>
  <c r="B741" i="6" s="1"/>
  <c r="F740" i="6"/>
  <c r="D740" i="6"/>
  <c r="A740" i="6"/>
  <c r="E740" i="6" s="1"/>
  <c r="E739" i="6"/>
  <c r="C739" i="6"/>
  <c r="A739" i="6"/>
  <c r="F739" i="6" s="1"/>
  <c r="B738" i="6"/>
  <c r="A738" i="6"/>
  <c r="D738" i="6" s="1"/>
  <c r="F737" i="6"/>
  <c r="D737" i="6"/>
  <c r="C737" i="6"/>
  <c r="A737" i="6"/>
  <c r="B737" i="6" s="1"/>
  <c r="E736" i="6"/>
  <c r="C736" i="6"/>
  <c r="A736" i="6"/>
  <c r="B736" i="6" s="1"/>
  <c r="B735" i="6"/>
  <c r="A735" i="6"/>
  <c r="F735" i="6" s="1"/>
  <c r="F734" i="6"/>
  <c r="C734" i="6"/>
  <c r="B734" i="6"/>
  <c r="A734" i="6"/>
  <c r="D734" i="6" s="1"/>
  <c r="F733" i="6"/>
  <c r="E733" i="6"/>
  <c r="D733" i="6"/>
  <c r="C733" i="6"/>
  <c r="A733" i="6"/>
  <c r="B733" i="6" s="1"/>
  <c r="B732" i="6"/>
  <c r="A732" i="6"/>
  <c r="F732" i="6" s="1"/>
  <c r="E731" i="6"/>
  <c r="C731" i="6"/>
  <c r="B731" i="6"/>
  <c r="A731" i="6"/>
  <c r="F731" i="6" s="1"/>
  <c r="F730" i="6"/>
  <c r="E730" i="6"/>
  <c r="C730" i="6"/>
  <c r="B730" i="6"/>
  <c r="A730" i="6"/>
  <c r="D730" i="6" s="1"/>
  <c r="A729" i="6"/>
  <c r="F728" i="6"/>
  <c r="E728" i="6"/>
  <c r="C728" i="6"/>
  <c r="B728" i="6"/>
  <c r="A728" i="6"/>
  <c r="D728" i="6" s="1"/>
  <c r="E727" i="6"/>
  <c r="D727" i="6"/>
  <c r="C727" i="6"/>
  <c r="B727" i="6"/>
  <c r="A727" i="6"/>
  <c r="F727" i="6" s="1"/>
  <c r="A726" i="6"/>
  <c r="F725" i="6"/>
  <c r="E725" i="6"/>
  <c r="C725" i="6"/>
  <c r="A725" i="6"/>
  <c r="B725" i="6" s="1"/>
  <c r="E724" i="6"/>
  <c r="D724" i="6"/>
  <c r="C724" i="6"/>
  <c r="B724" i="6"/>
  <c r="A724" i="6"/>
  <c r="F724" i="6" s="1"/>
  <c r="A723" i="6"/>
  <c r="F722" i="6"/>
  <c r="E722" i="6"/>
  <c r="B722" i="6"/>
  <c r="A722" i="6"/>
  <c r="D722" i="6" s="1"/>
  <c r="D721" i="6"/>
  <c r="A721" i="6"/>
  <c r="B721" i="6" s="1"/>
  <c r="A720" i="6"/>
  <c r="E719" i="6"/>
  <c r="D719" i="6"/>
  <c r="B719" i="6"/>
  <c r="A719" i="6"/>
  <c r="F719" i="6" s="1"/>
  <c r="C718" i="6"/>
  <c r="A718" i="6"/>
  <c r="D718" i="6" s="1"/>
  <c r="E717" i="6"/>
  <c r="D717" i="6"/>
  <c r="A717" i="6"/>
  <c r="B717" i="6" s="1"/>
  <c r="F716" i="6"/>
  <c r="E716" i="6"/>
  <c r="D716" i="6"/>
  <c r="B716" i="6"/>
  <c r="A716" i="6"/>
  <c r="C716" i="6" s="1"/>
  <c r="C715" i="6"/>
  <c r="A715" i="6"/>
  <c r="F715" i="6" s="1"/>
  <c r="E714" i="6"/>
  <c r="C714" i="6"/>
  <c r="A714" i="6"/>
  <c r="D714" i="6" s="1"/>
  <c r="F713" i="6"/>
  <c r="D713" i="6"/>
  <c r="A713" i="6"/>
  <c r="B713" i="6" s="1"/>
  <c r="A712" i="6"/>
  <c r="D711" i="6"/>
  <c r="C711" i="6"/>
  <c r="A711" i="6"/>
  <c r="F711" i="6" s="1"/>
  <c r="F710" i="6"/>
  <c r="C710" i="6"/>
  <c r="A710" i="6"/>
  <c r="D710" i="6" s="1"/>
  <c r="C709" i="6"/>
  <c r="A709" i="6"/>
  <c r="B709" i="6" s="1"/>
  <c r="F708" i="6"/>
  <c r="D708" i="6"/>
  <c r="A708" i="6"/>
  <c r="E708" i="6" s="1"/>
  <c r="E707" i="6"/>
  <c r="C707" i="6"/>
  <c r="A707" i="6"/>
  <c r="F707" i="6" s="1"/>
  <c r="B706" i="6"/>
  <c r="A706" i="6"/>
  <c r="D706" i="6" s="1"/>
  <c r="F705" i="6"/>
  <c r="E705" i="6"/>
  <c r="D705" i="6"/>
  <c r="C705" i="6"/>
  <c r="A705" i="6"/>
  <c r="B705" i="6" s="1"/>
  <c r="E704" i="6"/>
  <c r="C704" i="6"/>
  <c r="A704" i="6"/>
  <c r="B704" i="6" s="1"/>
  <c r="B703" i="6"/>
  <c r="A703" i="6"/>
  <c r="F703" i="6" s="1"/>
  <c r="F702" i="6"/>
  <c r="C702" i="6"/>
  <c r="B702" i="6"/>
  <c r="A702" i="6"/>
  <c r="D702" i="6" s="1"/>
  <c r="F701" i="6"/>
  <c r="E701" i="6"/>
  <c r="D701" i="6"/>
  <c r="C701" i="6"/>
  <c r="A701" i="6"/>
  <c r="B701" i="6" s="1"/>
  <c r="B700" i="6"/>
  <c r="A700" i="6"/>
  <c r="F700" i="6" s="1"/>
  <c r="E699" i="6"/>
  <c r="C699" i="6"/>
  <c r="B699" i="6"/>
  <c r="A699" i="6"/>
  <c r="F699" i="6" s="1"/>
  <c r="F698" i="6"/>
  <c r="E698" i="6"/>
  <c r="C698" i="6"/>
  <c r="B698" i="6"/>
  <c r="A698" i="6"/>
  <c r="D698" i="6" s="1"/>
  <c r="A697" i="6"/>
  <c r="F696" i="6"/>
  <c r="E696" i="6"/>
  <c r="C696" i="6"/>
  <c r="B696" i="6"/>
  <c r="A696" i="6"/>
  <c r="D696" i="6" s="1"/>
  <c r="E695" i="6"/>
  <c r="D695" i="6"/>
  <c r="C695" i="6"/>
  <c r="B695" i="6"/>
  <c r="A695" i="6"/>
  <c r="F695" i="6" s="1"/>
  <c r="A694" i="6"/>
  <c r="F693" i="6"/>
  <c r="E693" i="6"/>
  <c r="C693" i="6"/>
  <c r="A693" i="6"/>
  <c r="B693" i="6" s="1"/>
  <c r="E692" i="6"/>
  <c r="D692" i="6"/>
  <c r="C692" i="6"/>
  <c r="B692" i="6"/>
  <c r="A692" i="6"/>
  <c r="F692" i="6" s="1"/>
  <c r="A691" i="6"/>
  <c r="F690" i="6"/>
  <c r="E690" i="6"/>
  <c r="B690" i="6"/>
  <c r="A690" i="6"/>
  <c r="D690" i="6" s="1"/>
  <c r="A689" i="6"/>
  <c r="A688" i="6"/>
  <c r="E687" i="6"/>
  <c r="D687" i="6"/>
  <c r="B687" i="6"/>
  <c r="A687" i="6"/>
  <c r="F687" i="6" s="1"/>
  <c r="C686" i="6"/>
  <c r="A686" i="6"/>
  <c r="E685" i="6"/>
  <c r="D685" i="6"/>
  <c r="A685" i="6"/>
  <c r="B685" i="6" s="1"/>
  <c r="F684" i="6"/>
  <c r="E684" i="6"/>
  <c r="D684" i="6"/>
  <c r="B684" i="6"/>
  <c r="A684" i="6"/>
  <c r="C684" i="6" s="1"/>
  <c r="A683" i="6"/>
  <c r="E682" i="6"/>
  <c r="C682" i="6"/>
  <c r="A682" i="6"/>
  <c r="D682" i="6" s="1"/>
  <c r="F681" i="6"/>
  <c r="D681" i="6"/>
  <c r="A681" i="6"/>
  <c r="B681" i="6" s="1"/>
  <c r="A680" i="6"/>
  <c r="D679" i="6"/>
  <c r="C679" i="6"/>
  <c r="A679" i="6"/>
  <c r="F679" i="6" s="1"/>
  <c r="C678" i="6"/>
  <c r="A678" i="6"/>
  <c r="C677" i="6"/>
  <c r="A677" i="6"/>
  <c r="B677" i="6" s="1"/>
  <c r="F676" i="6"/>
  <c r="D676" i="6"/>
  <c r="A676" i="6"/>
  <c r="E676" i="6" s="1"/>
  <c r="A675" i="6"/>
  <c r="B674" i="6"/>
  <c r="A674" i="6"/>
  <c r="F673" i="6"/>
  <c r="E673" i="6"/>
  <c r="D673" i="6"/>
  <c r="C673" i="6"/>
  <c r="A673" i="6"/>
  <c r="B673" i="6" s="1"/>
  <c r="A672" i="6"/>
  <c r="A671" i="6"/>
  <c r="F670" i="6"/>
  <c r="C670" i="6"/>
  <c r="B670" i="6"/>
  <c r="A670" i="6"/>
  <c r="D670" i="6" s="1"/>
  <c r="F669" i="6"/>
  <c r="E669" i="6"/>
  <c r="D669" i="6"/>
  <c r="C669" i="6"/>
  <c r="A669" i="6"/>
  <c r="B669" i="6" s="1"/>
  <c r="A668" i="6"/>
  <c r="E667" i="6"/>
  <c r="C667" i="6"/>
  <c r="B667" i="6"/>
  <c r="A667" i="6"/>
  <c r="F667" i="6" s="1"/>
  <c r="F666" i="6"/>
  <c r="E666" i="6"/>
  <c r="C666" i="6"/>
  <c r="B666" i="6"/>
  <c r="A666" i="6"/>
  <c r="D666" i="6" s="1"/>
  <c r="F665" i="6"/>
  <c r="A665" i="6"/>
  <c r="F664" i="6"/>
  <c r="E664" i="6"/>
  <c r="C664" i="6"/>
  <c r="B664" i="6"/>
  <c r="A664" i="6"/>
  <c r="D664" i="6" s="1"/>
  <c r="E663" i="6"/>
  <c r="D663" i="6"/>
  <c r="C663" i="6"/>
  <c r="B663" i="6"/>
  <c r="A663" i="6"/>
  <c r="F663" i="6" s="1"/>
  <c r="A662" i="6"/>
  <c r="F661" i="6"/>
  <c r="E661" i="6"/>
  <c r="C661" i="6"/>
  <c r="A661" i="6"/>
  <c r="B661" i="6" s="1"/>
  <c r="E660" i="6"/>
  <c r="D660" i="6"/>
  <c r="C660" i="6"/>
  <c r="B660" i="6"/>
  <c r="A660" i="6"/>
  <c r="F660" i="6" s="1"/>
  <c r="A659" i="6"/>
  <c r="F658" i="6"/>
  <c r="E658" i="6"/>
  <c r="B658" i="6"/>
  <c r="A658" i="6"/>
  <c r="D658" i="6" s="1"/>
  <c r="C657" i="6"/>
  <c r="A657" i="6"/>
  <c r="E656" i="6"/>
  <c r="A656" i="6"/>
  <c r="A655" i="6"/>
  <c r="C654" i="6"/>
  <c r="B654" i="6"/>
  <c r="A654" i="6"/>
  <c r="E653" i="6"/>
  <c r="D653" i="6"/>
  <c r="A653" i="6"/>
  <c r="B653" i="6" s="1"/>
  <c r="F652" i="6"/>
  <c r="E652" i="6"/>
  <c r="D652" i="6"/>
  <c r="B652" i="6"/>
  <c r="A652" i="6"/>
  <c r="C652" i="6" s="1"/>
  <c r="A651" i="6"/>
  <c r="A650" i="6"/>
  <c r="F649" i="6"/>
  <c r="E649" i="6"/>
  <c r="D649" i="6"/>
  <c r="A649" i="6"/>
  <c r="F648" i="6"/>
  <c r="D648" i="6"/>
  <c r="C648" i="6"/>
  <c r="B648" i="6"/>
  <c r="A648" i="6"/>
  <c r="E648" i="6" s="1"/>
  <c r="A647" i="6"/>
  <c r="A646" i="6"/>
  <c r="F645" i="6"/>
  <c r="A645" i="6"/>
  <c r="A644" i="6"/>
  <c r="A643" i="6"/>
  <c r="A642" i="6"/>
  <c r="F641" i="6"/>
  <c r="E641" i="6"/>
  <c r="D641" i="6"/>
  <c r="C641" i="6"/>
  <c r="A641" i="6"/>
  <c r="B641" i="6" s="1"/>
  <c r="F640" i="6"/>
  <c r="E640" i="6"/>
  <c r="D640" i="6"/>
  <c r="C640" i="6"/>
  <c r="A640" i="6"/>
  <c r="B640" i="6" s="1"/>
  <c r="A639" i="6"/>
  <c r="F638" i="6"/>
  <c r="C638" i="6"/>
  <c r="B638" i="6"/>
  <c r="A638" i="6"/>
  <c r="D638" i="6" s="1"/>
  <c r="F637" i="6"/>
  <c r="E637" i="6"/>
  <c r="D637" i="6"/>
  <c r="C637" i="6"/>
  <c r="A637" i="6"/>
  <c r="B637" i="6" s="1"/>
  <c r="F636" i="6"/>
  <c r="A636" i="6"/>
  <c r="D636" i="6" s="1"/>
  <c r="E635" i="6"/>
  <c r="C635" i="6"/>
  <c r="B635" i="6"/>
  <c r="A635" i="6"/>
  <c r="F635" i="6" s="1"/>
  <c r="F634" i="6"/>
  <c r="E634" i="6"/>
  <c r="C634" i="6"/>
  <c r="B634" i="6"/>
  <c r="A634" i="6"/>
  <c r="D634" i="6" s="1"/>
  <c r="F633" i="6"/>
  <c r="C633" i="6"/>
  <c r="A633" i="6"/>
  <c r="E633" i="6" s="1"/>
  <c r="F632" i="6"/>
  <c r="E632" i="6"/>
  <c r="C632" i="6"/>
  <c r="B632" i="6"/>
  <c r="A632" i="6"/>
  <c r="D632" i="6" s="1"/>
  <c r="E631" i="6"/>
  <c r="D631" i="6"/>
  <c r="C631" i="6"/>
  <c r="B631" i="6"/>
  <c r="A631" i="6"/>
  <c r="F631" i="6" s="1"/>
  <c r="F630" i="6"/>
  <c r="B630" i="6"/>
  <c r="A630" i="6"/>
  <c r="F629" i="6"/>
  <c r="A629" i="6"/>
  <c r="B629" i="6" s="1"/>
  <c r="D628" i="6"/>
  <c r="B628" i="6"/>
  <c r="A628" i="6"/>
  <c r="F628" i="6" s="1"/>
  <c r="B627" i="6"/>
  <c r="A627" i="6"/>
  <c r="F626" i="6"/>
  <c r="E626" i="6"/>
  <c r="C626" i="6"/>
  <c r="B626" i="6"/>
  <c r="A626" i="6"/>
  <c r="D626" i="6" s="1"/>
  <c r="A625" i="6"/>
  <c r="F624" i="6"/>
  <c r="E624" i="6"/>
  <c r="D624" i="6"/>
  <c r="B624" i="6"/>
  <c r="A624" i="6"/>
  <c r="C624" i="6" s="1"/>
  <c r="A623" i="6"/>
  <c r="C623" i="6" s="1"/>
  <c r="A622" i="6"/>
  <c r="A621" i="6"/>
  <c r="A620" i="6"/>
  <c r="D619" i="6"/>
  <c r="C619" i="6"/>
  <c r="B619" i="6"/>
  <c r="A619" i="6"/>
  <c r="E618" i="6"/>
  <c r="B618" i="6"/>
  <c r="A618" i="6"/>
  <c r="D618" i="6" s="1"/>
  <c r="F617" i="6"/>
  <c r="A617" i="6"/>
  <c r="E616" i="6"/>
  <c r="C616" i="6"/>
  <c r="A616" i="6"/>
  <c r="B616" i="6" s="1"/>
  <c r="D615" i="6"/>
  <c r="B615" i="6"/>
  <c r="A615" i="6"/>
  <c r="F615" i="6" s="1"/>
  <c r="F614" i="6"/>
  <c r="A614" i="6"/>
  <c r="E613" i="6"/>
  <c r="C613" i="6"/>
  <c r="A613" i="6"/>
  <c r="B613" i="6" s="1"/>
  <c r="D612" i="6"/>
  <c r="B612" i="6"/>
  <c r="A612" i="6"/>
  <c r="F612" i="6" s="1"/>
  <c r="A611" i="6"/>
  <c r="E610" i="6"/>
  <c r="C610" i="6"/>
  <c r="B610" i="6"/>
  <c r="A610" i="6"/>
  <c r="D610" i="6" s="1"/>
  <c r="A609" i="6"/>
  <c r="F608" i="6"/>
  <c r="E608" i="6"/>
  <c r="A608" i="6"/>
  <c r="D608" i="6" s="1"/>
  <c r="A607" i="6"/>
  <c r="A606" i="6"/>
  <c r="F605" i="6"/>
  <c r="E605" i="6"/>
  <c r="D605" i="6"/>
  <c r="C605" i="6"/>
  <c r="A605" i="6"/>
  <c r="B605" i="6" s="1"/>
  <c r="C604" i="6"/>
  <c r="A604" i="6"/>
  <c r="E604" i="6" s="1"/>
  <c r="A603" i="6"/>
  <c r="F602" i="6"/>
  <c r="E602" i="6"/>
  <c r="C602" i="6"/>
  <c r="B602" i="6"/>
  <c r="A602" i="6"/>
  <c r="D602" i="6" s="1"/>
  <c r="F601" i="6"/>
  <c r="A601" i="6"/>
  <c r="A600" i="6"/>
  <c r="E599" i="6"/>
  <c r="D599" i="6"/>
  <c r="C599" i="6"/>
  <c r="B599" i="6"/>
  <c r="A599" i="6"/>
  <c r="F599" i="6" s="1"/>
  <c r="F598" i="6"/>
  <c r="C598" i="6"/>
  <c r="B598" i="6"/>
  <c r="A598" i="6"/>
  <c r="F597" i="6"/>
  <c r="C597" i="6"/>
  <c r="A597" i="6"/>
  <c r="B597" i="6" s="1"/>
  <c r="F596" i="6"/>
  <c r="E596" i="6"/>
  <c r="D596" i="6"/>
  <c r="C596" i="6"/>
  <c r="A596" i="6"/>
  <c r="B596" i="6" s="1"/>
  <c r="E595" i="6"/>
  <c r="A595" i="6"/>
  <c r="F594" i="6"/>
  <c r="B594" i="6"/>
  <c r="A594" i="6"/>
  <c r="D594" i="6" s="1"/>
  <c r="F593" i="6"/>
  <c r="E593" i="6"/>
  <c r="D593" i="6"/>
  <c r="C593" i="6"/>
  <c r="A593" i="6"/>
  <c r="B593" i="6" s="1"/>
  <c r="C592" i="6"/>
  <c r="A592" i="6"/>
  <c r="F592" i="6" s="1"/>
  <c r="A591" i="6"/>
  <c r="F590" i="6"/>
  <c r="E590" i="6"/>
  <c r="B590" i="6"/>
  <c r="A590" i="6"/>
  <c r="D590" i="6" s="1"/>
  <c r="A589" i="6"/>
  <c r="F588" i="6"/>
  <c r="A588" i="6"/>
  <c r="C588" i="6" s="1"/>
  <c r="E587" i="6"/>
  <c r="D587" i="6"/>
  <c r="C587" i="6"/>
  <c r="B587" i="6"/>
  <c r="A587" i="6"/>
  <c r="F587" i="6" s="1"/>
  <c r="E586" i="6"/>
  <c r="B586" i="6"/>
  <c r="A586" i="6"/>
  <c r="F585" i="6"/>
  <c r="E585" i="6"/>
  <c r="D585" i="6"/>
  <c r="A585" i="6"/>
  <c r="F584" i="6"/>
  <c r="D584" i="6"/>
  <c r="A584" i="6"/>
  <c r="E584" i="6" s="1"/>
  <c r="A583" i="6"/>
  <c r="B582" i="6"/>
  <c r="A582" i="6"/>
  <c r="D582" i="6" s="1"/>
  <c r="F581" i="6"/>
  <c r="D581" i="6"/>
  <c r="A581" i="6"/>
  <c r="B581" i="6" s="1"/>
  <c r="A580" i="6"/>
  <c r="B579" i="6"/>
  <c r="A579" i="6"/>
  <c r="F579" i="6" s="1"/>
  <c r="F578" i="6"/>
  <c r="C578" i="6"/>
  <c r="A578" i="6"/>
  <c r="D578" i="6" s="1"/>
  <c r="F577" i="6"/>
  <c r="E577" i="6"/>
  <c r="D577" i="6"/>
  <c r="C577" i="6"/>
  <c r="A577" i="6"/>
  <c r="B577" i="6" s="1"/>
  <c r="F576" i="6"/>
  <c r="B576" i="6"/>
  <c r="A576" i="6"/>
  <c r="E576" i="6" s="1"/>
  <c r="C575" i="6"/>
  <c r="A575" i="6"/>
  <c r="F575" i="6" s="1"/>
  <c r="F574" i="6"/>
  <c r="E574" i="6"/>
  <c r="C574" i="6"/>
  <c r="B574" i="6"/>
  <c r="A574" i="6"/>
  <c r="D574" i="6" s="1"/>
  <c r="A573" i="6"/>
  <c r="F572" i="6"/>
  <c r="C572" i="6"/>
  <c r="A572" i="6"/>
  <c r="E572" i="6" s="1"/>
  <c r="D571" i="6"/>
  <c r="C571" i="6"/>
  <c r="B571" i="6"/>
  <c r="A571" i="6"/>
  <c r="F571" i="6" s="1"/>
  <c r="A570" i="6"/>
  <c r="F570" i="6" s="1"/>
  <c r="F569" i="6"/>
  <c r="E569" i="6"/>
  <c r="C569" i="6"/>
  <c r="A569" i="6"/>
  <c r="B569" i="6" s="1"/>
  <c r="F568" i="6"/>
  <c r="D568" i="6"/>
  <c r="C568" i="6"/>
  <c r="B568" i="6"/>
  <c r="A568" i="6"/>
  <c r="E568" i="6" s="1"/>
  <c r="E567" i="6"/>
  <c r="A567" i="6"/>
  <c r="F566" i="6"/>
  <c r="E566" i="6"/>
  <c r="B566" i="6"/>
  <c r="A566" i="6"/>
  <c r="D566" i="6" s="1"/>
  <c r="F565" i="6"/>
  <c r="D565" i="6"/>
  <c r="C565" i="6"/>
  <c r="A565" i="6"/>
  <c r="B565" i="6" s="1"/>
  <c r="E564" i="6"/>
  <c r="A564" i="6"/>
  <c r="E563" i="6"/>
  <c r="D563" i="6"/>
  <c r="B563" i="6"/>
  <c r="A563" i="6"/>
  <c r="F563" i="6" s="1"/>
  <c r="C562" i="6"/>
  <c r="B562" i="6"/>
  <c r="A562" i="6"/>
  <c r="D562" i="6" s="1"/>
  <c r="F561" i="6"/>
  <c r="E561" i="6"/>
  <c r="D561" i="6"/>
  <c r="C561" i="6"/>
  <c r="A561" i="6"/>
  <c r="B561" i="6" s="1"/>
  <c r="F560" i="6"/>
  <c r="E560" i="6"/>
  <c r="D560" i="6"/>
  <c r="B560" i="6"/>
  <c r="A560" i="6"/>
  <c r="C560" i="6" s="1"/>
  <c r="C559" i="6"/>
  <c r="B559" i="6"/>
  <c r="A559" i="6"/>
  <c r="F559" i="6" s="1"/>
  <c r="E558" i="6"/>
  <c r="C558" i="6"/>
  <c r="B558" i="6"/>
  <c r="A558" i="6"/>
  <c r="D558" i="6" s="1"/>
  <c r="A557" i="6"/>
  <c r="C556" i="6"/>
  <c r="B556" i="6"/>
  <c r="A556" i="6"/>
  <c r="F556" i="6" s="1"/>
  <c r="D555" i="6"/>
  <c r="C555" i="6"/>
  <c r="B555" i="6"/>
  <c r="A555" i="6"/>
  <c r="F555" i="6" s="1"/>
  <c r="A554" i="6"/>
  <c r="F554" i="6" s="1"/>
  <c r="C553" i="6"/>
  <c r="A553" i="6"/>
  <c r="B553" i="6" s="1"/>
  <c r="F552" i="6"/>
  <c r="D552" i="6"/>
  <c r="A552" i="6"/>
  <c r="E552" i="6" s="1"/>
  <c r="A551" i="6"/>
  <c r="B550" i="6"/>
  <c r="A550" i="6"/>
  <c r="D550" i="6" s="1"/>
  <c r="F549" i="6"/>
  <c r="D549" i="6"/>
  <c r="A549" i="6"/>
  <c r="B549" i="6" s="1"/>
  <c r="A548" i="6"/>
  <c r="B547" i="6"/>
  <c r="A547" i="6"/>
  <c r="F547" i="6" s="1"/>
  <c r="F546" i="6"/>
  <c r="C546" i="6"/>
  <c r="A546" i="6"/>
  <c r="D546" i="6" s="1"/>
  <c r="F545" i="6"/>
  <c r="E545" i="6"/>
  <c r="D545" i="6"/>
  <c r="C545" i="6"/>
  <c r="A545" i="6"/>
  <c r="B545" i="6" s="1"/>
  <c r="F544" i="6"/>
  <c r="B544" i="6"/>
  <c r="A544" i="6"/>
  <c r="E544" i="6" s="1"/>
  <c r="C543" i="6"/>
  <c r="A543" i="6"/>
  <c r="F543" i="6" s="1"/>
  <c r="E542" i="6"/>
  <c r="C542" i="6"/>
  <c r="B542" i="6"/>
  <c r="A542" i="6"/>
  <c r="D542" i="6" s="1"/>
  <c r="A541" i="6"/>
  <c r="F540" i="6"/>
  <c r="C540" i="6"/>
  <c r="A540" i="6"/>
  <c r="E540" i="6" s="1"/>
  <c r="D539" i="6"/>
  <c r="C539" i="6"/>
  <c r="A539" i="6"/>
  <c r="F539" i="6" s="1"/>
  <c r="A538" i="6"/>
  <c r="F537" i="6"/>
  <c r="C537" i="6"/>
  <c r="A537" i="6"/>
  <c r="B537" i="6" s="1"/>
  <c r="D536" i="6"/>
  <c r="C536" i="6"/>
  <c r="A536" i="6"/>
  <c r="B536" i="6" s="1"/>
  <c r="A535" i="6"/>
  <c r="F534" i="6"/>
  <c r="C534" i="6"/>
  <c r="B534" i="6"/>
  <c r="A534" i="6"/>
  <c r="D534" i="6" s="1"/>
  <c r="F533" i="6"/>
  <c r="D533" i="6"/>
  <c r="C533" i="6"/>
  <c r="A533" i="6"/>
  <c r="B533" i="6" s="1"/>
  <c r="A532" i="6"/>
  <c r="E531" i="6"/>
  <c r="B531" i="6"/>
  <c r="A531" i="6"/>
  <c r="F531" i="6" s="1"/>
  <c r="C530" i="6"/>
  <c r="B530" i="6"/>
  <c r="A530" i="6"/>
  <c r="D530" i="6" s="1"/>
  <c r="F529" i="6"/>
  <c r="E529" i="6"/>
  <c r="D529" i="6"/>
  <c r="C529" i="6"/>
  <c r="A529" i="6"/>
  <c r="B529" i="6" s="1"/>
  <c r="F528" i="6"/>
  <c r="E528" i="6"/>
  <c r="B528" i="6"/>
  <c r="A528" i="6"/>
  <c r="D528" i="6" s="1"/>
  <c r="C527" i="6"/>
  <c r="B527" i="6"/>
  <c r="A527" i="6"/>
  <c r="F527" i="6" s="1"/>
  <c r="F526" i="6"/>
  <c r="E526" i="6"/>
  <c r="C526" i="6"/>
  <c r="B526" i="6"/>
  <c r="A526" i="6"/>
  <c r="D526" i="6" s="1"/>
  <c r="A525" i="6"/>
  <c r="C524" i="6"/>
  <c r="B524" i="6"/>
  <c r="A524" i="6"/>
  <c r="F524" i="6" s="1"/>
  <c r="E523" i="6"/>
  <c r="D523" i="6"/>
  <c r="C523" i="6"/>
  <c r="B523" i="6"/>
  <c r="A523" i="6"/>
  <c r="F523" i="6" s="1"/>
  <c r="A522" i="6"/>
  <c r="F522" i="6" s="1"/>
  <c r="C521" i="6"/>
  <c r="A521" i="6"/>
  <c r="B521" i="6" s="1"/>
  <c r="F520" i="6"/>
  <c r="D520" i="6"/>
  <c r="C520" i="6"/>
  <c r="A520" i="6"/>
  <c r="E520" i="6" s="1"/>
  <c r="A519" i="6"/>
  <c r="E519" i="6" s="1"/>
  <c r="B518" i="6"/>
  <c r="A518" i="6"/>
  <c r="D518" i="6" s="1"/>
  <c r="F517" i="6"/>
  <c r="D517" i="6"/>
  <c r="C517" i="6"/>
  <c r="A517" i="6"/>
  <c r="B517" i="6" s="1"/>
  <c r="A516" i="6"/>
  <c r="E516" i="6" s="1"/>
  <c r="B515" i="6"/>
  <c r="A515" i="6"/>
  <c r="F515" i="6" s="1"/>
  <c r="F514" i="6"/>
  <c r="C514" i="6"/>
  <c r="B514" i="6"/>
  <c r="A514" i="6"/>
  <c r="D514" i="6" s="1"/>
  <c r="E513" i="6"/>
  <c r="D513" i="6"/>
  <c r="C513" i="6"/>
  <c r="A513" i="6"/>
  <c r="B513" i="6" s="1"/>
  <c r="F512" i="6"/>
  <c r="B512" i="6"/>
  <c r="A512" i="6"/>
  <c r="E512" i="6" s="1"/>
  <c r="C511" i="6"/>
  <c r="A511" i="6"/>
  <c r="F511" i="6" s="1"/>
  <c r="E510" i="6"/>
  <c r="C510" i="6"/>
  <c r="B510" i="6"/>
  <c r="A510" i="6"/>
  <c r="D510" i="6" s="1"/>
  <c r="A509" i="6"/>
  <c r="F508" i="6"/>
  <c r="C508" i="6"/>
  <c r="A508" i="6"/>
  <c r="E508" i="6" s="1"/>
  <c r="D507" i="6"/>
  <c r="C507" i="6"/>
  <c r="A507" i="6"/>
  <c r="F507" i="6" s="1"/>
  <c r="A506" i="6"/>
  <c r="F505" i="6"/>
  <c r="D505" i="6"/>
  <c r="C505" i="6"/>
  <c r="A505" i="6"/>
  <c r="B505" i="6" s="1"/>
  <c r="D504" i="6"/>
  <c r="C504" i="6"/>
  <c r="A504" i="6"/>
  <c r="B504" i="6" s="1"/>
  <c r="E503" i="6"/>
  <c r="A503" i="6"/>
  <c r="F502" i="6"/>
  <c r="C502" i="6"/>
  <c r="B502" i="6"/>
  <c r="A502" i="6"/>
  <c r="D502" i="6" s="1"/>
  <c r="F501" i="6"/>
  <c r="D501" i="6"/>
  <c r="C501" i="6"/>
  <c r="A501" i="6"/>
  <c r="B501" i="6" s="1"/>
  <c r="A500" i="6"/>
  <c r="E500" i="6" s="1"/>
  <c r="E499" i="6"/>
  <c r="B499" i="6"/>
  <c r="A499" i="6"/>
  <c r="F499" i="6" s="1"/>
  <c r="C498" i="6"/>
  <c r="B498" i="6"/>
  <c r="A498" i="6"/>
  <c r="D498" i="6" s="1"/>
  <c r="F497" i="6"/>
  <c r="E497" i="6"/>
  <c r="D497" i="6"/>
  <c r="C497" i="6"/>
  <c r="A497" i="6"/>
  <c r="B497" i="6" s="1"/>
  <c r="F496" i="6"/>
  <c r="B496" i="6"/>
  <c r="A496" i="6"/>
  <c r="D496" i="6" s="1"/>
  <c r="C495" i="6"/>
  <c r="B495" i="6"/>
  <c r="A495" i="6"/>
  <c r="F495" i="6" s="1"/>
  <c r="F494" i="6"/>
  <c r="E494" i="6"/>
  <c r="C494" i="6"/>
  <c r="B494" i="6"/>
  <c r="A494" i="6"/>
  <c r="D494" i="6" s="1"/>
  <c r="A493" i="6"/>
  <c r="F493" i="6" s="1"/>
  <c r="C492" i="6"/>
  <c r="A492" i="6"/>
  <c r="F492" i="6" s="1"/>
  <c r="E491" i="6"/>
  <c r="D491" i="6"/>
  <c r="C491" i="6"/>
  <c r="B491" i="6"/>
  <c r="A491" i="6"/>
  <c r="F491" i="6" s="1"/>
  <c r="F490" i="6"/>
  <c r="A490" i="6"/>
  <c r="C489" i="6"/>
  <c r="A489" i="6"/>
  <c r="B489" i="6" s="1"/>
  <c r="F488" i="6"/>
  <c r="D488" i="6"/>
  <c r="C488" i="6"/>
  <c r="A488" i="6"/>
  <c r="E488" i="6" s="1"/>
  <c r="A487" i="6"/>
  <c r="B486" i="6"/>
  <c r="A486" i="6"/>
  <c r="D486" i="6" s="1"/>
  <c r="F485" i="6"/>
  <c r="D485" i="6"/>
  <c r="C485" i="6"/>
  <c r="A485" i="6"/>
  <c r="B485" i="6" s="1"/>
  <c r="A484" i="6"/>
  <c r="B483" i="6"/>
  <c r="A483" i="6"/>
  <c r="F483" i="6" s="1"/>
  <c r="F482" i="6"/>
  <c r="C482" i="6"/>
  <c r="B482" i="6"/>
  <c r="A482" i="6"/>
  <c r="D482" i="6" s="1"/>
  <c r="E481" i="6"/>
  <c r="D481" i="6"/>
  <c r="C481" i="6"/>
  <c r="A481" i="6"/>
  <c r="B481" i="6" s="1"/>
  <c r="F480" i="6"/>
  <c r="B480" i="6"/>
  <c r="A480" i="6"/>
  <c r="E480" i="6" s="1"/>
  <c r="C479" i="6"/>
  <c r="A479" i="6"/>
  <c r="F479" i="6" s="1"/>
  <c r="E478" i="6"/>
  <c r="C478" i="6"/>
  <c r="B478" i="6"/>
  <c r="A478" i="6"/>
  <c r="D478" i="6" s="1"/>
  <c r="A477" i="6"/>
  <c r="F476" i="6"/>
  <c r="C476" i="6"/>
  <c r="A476" i="6"/>
  <c r="E476" i="6" s="1"/>
  <c r="D475" i="6"/>
  <c r="C475" i="6"/>
  <c r="A475" i="6"/>
  <c r="F475" i="6" s="1"/>
  <c r="A474" i="6"/>
  <c r="F473" i="6"/>
  <c r="D473" i="6"/>
  <c r="C473" i="6"/>
  <c r="A473" i="6"/>
  <c r="B473" i="6" s="1"/>
  <c r="D472" i="6"/>
  <c r="C472" i="6"/>
  <c r="A472" i="6"/>
  <c r="B472" i="6" s="1"/>
  <c r="E471" i="6"/>
  <c r="A471" i="6"/>
  <c r="F470" i="6"/>
  <c r="C470" i="6"/>
  <c r="B470" i="6"/>
  <c r="A470" i="6"/>
  <c r="D470" i="6" s="1"/>
  <c r="F469" i="6"/>
  <c r="D469" i="6"/>
  <c r="C469" i="6"/>
  <c r="A469" i="6"/>
  <c r="B469" i="6" s="1"/>
  <c r="A468" i="6"/>
  <c r="E467" i="6"/>
  <c r="B467" i="6"/>
  <c r="A467" i="6"/>
  <c r="F467" i="6" s="1"/>
  <c r="C466" i="6"/>
  <c r="B466" i="6"/>
  <c r="A466" i="6"/>
  <c r="D466" i="6" s="1"/>
  <c r="F465" i="6"/>
  <c r="E465" i="6"/>
  <c r="D465" i="6"/>
  <c r="C465" i="6"/>
  <c r="A465" i="6"/>
  <c r="B465" i="6" s="1"/>
  <c r="A464" i="6"/>
  <c r="F464" i="6" s="1"/>
  <c r="C463" i="6"/>
  <c r="B463" i="6"/>
  <c r="A463" i="6"/>
  <c r="F463" i="6" s="1"/>
  <c r="F462" i="6"/>
  <c r="E462" i="6"/>
  <c r="C462" i="6"/>
  <c r="B462" i="6"/>
  <c r="A462" i="6"/>
  <c r="D462" i="6" s="1"/>
  <c r="F461" i="6"/>
  <c r="D461" i="6"/>
  <c r="A461" i="6"/>
  <c r="A460" i="6"/>
  <c r="F460" i="6" s="1"/>
  <c r="E459" i="6"/>
  <c r="D459" i="6"/>
  <c r="C459" i="6"/>
  <c r="B459" i="6"/>
  <c r="A459" i="6"/>
  <c r="F459" i="6" s="1"/>
  <c r="A458" i="6"/>
  <c r="F458" i="6" s="1"/>
  <c r="C457" i="6"/>
  <c r="A457" i="6"/>
  <c r="F456" i="6"/>
  <c r="D456" i="6"/>
  <c r="C456" i="6"/>
  <c r="A456" i="6"/>
  <c r="E456" i="6" s="1"/>
  <c r="E455" i="6"/>
  <c r="A455" i="6"/>
  <c r="B454" i="6"/>
  <c r="A454" i="6"/>
  <c r="F453" i="6"/>
  <c r="D453" i="6"/>
  <c r="C453" i="6"/>
  <c r="A453" i="6"/>
  <c r="B453" i="6" s="1"/>
  <c r="A452" i="6"/>
  <c r="E451" i="6"/>
  <c r="D451" i="6"/>
  <c r="A451" i="6"/>
  <c r="A450" i="6"/>
  <c r="E449" i="6"/>
  <c r="D449" i="6"/>
  <c r="C449" i="6"/>
  <c r="A449" i="6"/>
  <c r="B449" i="6" s="1"/>
  <c r="A448" i="6"/>
  <c r="C448" i="6" s="1"/>
  <c r="E447" i="6"/>
  <c r="C447" i="6"/>
  <c r="A447" i="6"/>
  <c r="F447" i="6" s="1"/>
  <c r="A446" i="6"/>
  <c r="E446" i="6" s="1"/>
  <c r="A445" i="6"/>
  <c r="C444" i="6"/>
  <c r="A444" i="6"/>
  <c r="D444" i="6" s="1"/>
  <c r="A443" i="6"/>
  <c r="A442" i="6"/>
  <c r="E442" i="6" s="1"/>
  <c r="A441" i="6"/>
  <c r="B441" i="6" s="1"/>
  <c r="F440" i="6"/>
  <c r="C440" i="6"/>
  <c r="A440" i="6"/>
  <c r="E440" i="6" s="1"/>
  <c r="A439" i="6"/>
  <c r="E438" i="6"/>
  <c r="B438" i="6"/>
  <c r="A438" i="6"/>
  <c r="D438" i="6" s="1"/>
  <c r="F437" i="6"/>
  <c r="D437" i="6"/>
  <c r="C437" i="6"/>
  <c r="A437" i="6"/>
  <c r="F436" i="6"/>
  <c r="A436" i="6"/>
  <c r="B436" i="6" s="1"/>
  <c r="E435" i="6"/>
  <c r="D435" i="6"/>
  <c r="B435" i="6"/>
  <c r="A435" i="6"/>
  <c r="F435" i="6" s="1"/>
  <c r="A434" i="6"/>
  <c r="F433" i="6"/>
  <c r="D433" i="6"/>
  <c r="A433" i="6"/>
  <c r="B433" i="6" s="1"/>
  <c r="D432" i="6"/>
  <c r="A432" i="6"/>
  <c r="A431" i="6"/>
  <c r="F430" i="6"/>
  <c r="C430" i="6"/>
  <c r="A430" i="6"/>
  <c r="D430" i="6" s="1"/>
  <c r="F429" i="6"/>
  <c r="E429" i="6"/>
  <c r="D429" i="6"/>
  <c r="C429" i="6"/>
  <c r="A429" i="6"/>
  <c r="B429" i="6" s="1"/>
  <c r="F428" i="6"/>
  <c r="A428" i="6"/>
  <c r="E427" i="6"/>
  <c r="C427" i="6"/>
  <c r="A427" i="6"/>
  <c r="F427" i="6" s="1"/>
  <c r="F426" i="6"/>
  <c r="E426" i="6"/>
  <c r="C426" i="6"/>
  <c r="B426" i="6"/>
  <c r="A426" i="6"/>
  <c r="D426" i="6" s="1"/>
  <c r="F425" i="6"/>
  <c r="A425" i="6"/>
  <c r="B425" i="6" s="1"/>
  <c r="F424" i="6"/>
  <c r="E424" i="6"/>
  <c r="C424" i="6"/>
  <c r="A424" i="6"/>
  <c r="D424" i="6" s="1"/>
  <c r="E423" i="6"/>
  <c r="D423" i="6"/>
  <c r="C423" i="6"/>
  <c r="B423" i="6"/>
  <c r="A423" i="6"/>
  <c r="F423" i="6" s="1"/>
  <c r="F422" i="6"/>
  <c r="A422" i="6"/>
  <c r="D422" i="6" s="1"/>
  <c r="F421" i="6"/>
  <c r="E421" i="6"/>
  <c r="C421" i="6"/>
  <c r="A421" i="6"/>
  <c r="B421" i="6" s="1"/>
  <c r="F420" i="6"/>
  <c r="E420" i="6"/>
  <c r="D420" i="6"/>
  <c r="C420" i="6"/>
  <c r="B420" i="6"/>
  <c r="A420" i="6"/>
  <c r="E419" i="6"/>
  <c r="A419" i="6"/>
  <c r="F419" i="6" s="1"/>
  <c r="F418" i="6"/>
  <c r="E418" i="6"/>
  <c r="B418" i="6"/>
  <c r="A418" i="6"/>
  <c r="D418" i="6" s="1"/>
  <c r="A417" i="6"/>
  <c r="A416" i="6"/>
  <c r="E415" i="6"/>
  <c r="D415" i="6"/>
  <c r="B415" i="6"/>
  <c r="A415" i="6"/>
  <c r="F415" i="6" s="1"/>
  <c r="B414" i="6"/>
  <c r="A414" i="6"/>
  <c r="E413" i="6"/>
  <c r="D413" i="6"/>
  <c r="C413" i="6"/>
  <c r="A413" i="6"/>
  <c r="B413" i="6" s="1"/>
  <c r="F412" i="6"/>
  <c r="E412" i="6"/>
  <c r="D412" i="6"/>
  <c r="B412" i="6"/>
  <c r="A412" i="6"/>
  <c r="C412" i="6" s="1"/>
  <c r="A411" i="6"/>
  <c r="E410" i="6"/>
  <c r="C410" i="6"/>
  <c r="B410" i="6"/>
  <c r="A410" i="6"/>
  <c r="D410" i="6" s="1"/>
  <c r="A409" i="6"/>
  <c r="F409" i="6" s="1"/>
  <c r="A408" i="6"/>
  <c r="D407" i="6"/>
  <c r="C407" i="6"/>
  <c r="B407" i="6"/>
  <c r="A407" i="6"/>
  <c r="F407" i="6" s="1"/>
  <c r="A406" i="6"/>
  <c r="A405" i="6"/>
  <c r="F404" i="6"/>
  <c r="D404" i="6"/>
  <c r="B404" i="6"/>
  <c r="A404" i="6"/>
  <c r="E404" i="6" s="1"/>
  <c r="D403" i="6"/>
  <c r="A403" i="6"/>
  <c r="B402" i="6"/>
  <c r="A402" i="6"/>
  <c r="F401" i="6"/>
  <c r="D401" i="6"/>
  <c r="B401" i="6"/>
  <c r="A401" i="6"/>
  <c r="E401" i="6" s="1"/>
  <c r="F400" i="6"/>
  <c r="E400" i="6"/>
  <c r="D400" i="6"/>
  <c r="B400" i="6"/>
  <c r="A400" i="6"/>
  <c r="C400" i="6" s="1"/>
  <c r="F399" i="6"/>
  <c r="E399" i="6"/>
  <c r="D399" i="6"/>
  <c r="C399" i="6"/>
  <c r="B399" i="6"/>
  <c r="A399" i="6"/>
  <c r="B398" i="6"/>
  <c r="A398" i="6"/>
  <c r="F397" i="6"/>
  <c r="D397" i="6"/>
  <c r="A397" i="6"/>
  <c r="E397" i="6" s="1"/>
  <c r="F396" i="6"/>
  <c r="E396" i="6"/>
  <c r="D396" i="6"/>
  <c r="B396" i="6"/>
  <c r="A396" i="6"/>
  <c r="C396" i="6" s="1"/>
  <c r="F395" i="6"/>
  <c r="E395" i="6"/>
  <c r="D395" i="6"/>
  <c r="C395" i="6"/>
  <c r="B395" i="6"/>
  <c r="A395" i="6"/>
  <c r="B394" i="6"/>
  <c r="A394" i="6"/>
  <c r="D394" i="6" s="1"/>
  <c r="F393" i="6"/>
  <c r="A393" i="6"/>
  <c r="A392" i="6"/>
  <c r="C392" i="6" s="1"/>
  <c r="F391" i="6"/>
  <c r="E391" i="6"/>
  <c r="D391" i="6"/>
  <c r="C391" i="6"/>
  <c r="B391" i="6"/>
  <c r="A391" i="6"/>
  <c r="E390" i="6"/>
  <c r="A390" i="6"/>
  <c r="D390" i="6" s="1"/>
  <c r="C389" i="6"/>
  <c r="A389" i="6"/>
  <c r="F388" i="6"/>
  <c r="B388" i="6"/>
  <c r="A388" i="6"/>
  <c r="C388" i="6" s="1"/>
  <c r="F387" i="6"/>
  <c r="E387" i="6"/>
  <c r="D387" i="6"/>
  <c r="C387" i="6"/>
  <c r="B387" i="6"/>
  <c r="A387" i="6"/>
  <c r="A386" i="6"/>
  <c r="D386" i="6" s="1"/>
  <c r="A385" i="6"/>
  <c r="F385" i="6" s="1"/>
  <c r="A384" i="6"/>
  <c r="C384" i="6" s="1"/>
  <c r="F383" i="6"/>
  <c r="E383" i="6"/>
  <c r="D383" i="6"/>
  <c r="C383" i="6"/>
  <c r="B383" i="6"/>
  <c r="A383" i="6"/>
  <c r="A382" i="6"/>
  <c r="D382" i="6" s="1"/>
  <c r="A381" i="6"/>
  <c r="F380" i="6"/>
  <c r="B380" i="6"/>
  <c r="A380" i="6"/>
  <c r="C380" i="6" s="1"/>
  <c r="F379" i="6"/>
  <c r="E379" i="6"/>
  <c r="D379" i="6"/>
  <c r="C379" i="6"/>
  <c r="B379" i="6"/>
  <c r="A379" i="6"/>
  <c r="A378" i="6"/>
  <c r="D378" i="6" s="1"/>
  <c r="A377" i="6"/>
  <c r="F377" i="6" s="1"/>
  <c r="A376" i="6"/>
  <c r="C376" i="6" s="1"/>
  <c r="F375" i="6"/>
  <c r="E375" i="6"/>
  <c r="D375" i="6"/>
  <c r="C375" i="6"/>
  <c r="B375" i="6"/>
  <c r="A375" i="6"/>
  <c r="A374" i="6"/>
  <c r="D374" i="6" s="1"/>
  <c r="A373" i="6"/>
  <c r="F372" i="6"/>
  <c r="B372" i="6"/>
  <c r="A372" i="6"/>
  <c r="C372" i="6" s="1"/>
  <c r="E371" i="6"/>
  <c r="D371" i="6"/>
  <c r="C371" i="6"/>
  <c r="B371" i="6"/>
  <c r="A371" i="6"/>
  <c r="F371" i="6" s="1"/>
  <c r="E370" i="6"/>
  <c r="A370" i="6"/>
  <c r="D370" i="6" s="1"/>
  <c r="A369" i="6"/>
  <c r="B369" i="6" s="1"/>
  <c r="F368" i="6"/>
  <c r="D368" i="6"/>
  <c r="C368" i="6"/>
  <c r="B368" i="6"/>
  <c r="A368" i="6"/>
  <c r="E368" i="6" s="1"/>
  <c r="D367" i="6"/>
  <c r="A367" i="6"/>
  <c r="F367" i="6" s="1"/>
  <c r="A366" i="6"/>
  <c r="D366" i="6" s="1"/>
  <c r="A365" i="6"/>
  <c r="B365" i="6" s="1"/>
  <c r="D364" i="6"/>
  <c r="A364" i="6"/>
  <c r="F364" i="6" s="1"/>
  <c r="A363" i="6"/>
  <c r="F363" i="6" s="1"/>
  <c r="A362" i="6"/>
  <c r="D362" i="6" s="1"/>
  <c r="D361" i="6"/>
  <c r="C361" i="6"/>
  <c r="A361" i="6"/>
  <c r="B361" i="6" s="1"/>
  <c r="A360" i="6"/>
  <c r="C360" i="6" s="1"/>
  <c r="A359" i="6"/>
  <c r="F359" i="6" s="1"/>
  <c r="C358" i="6"/>
  <c r="B358" i="6"/>
  <c r="A358" i="6"/>
  <c r="D358" i="6" s="1"/>
  <c r="F357" i="6"/>
  <c r="E357" i="6"/>
  <c r="D357" i="6"/>
  <c r="A357" i="6"/>
  <c r="B357" i="6" s="1"/>
  <c r="F356" i="6"/>
  <c r="A356" i="6"/>
  <c r="E356" i="6" s="1"/>
  <c r="C355" i="6"/>
  <c r="B355" i="6"/>
  <c r="A355" i="6"/>
  <c r="F355" i="6" s="1"/>
  <c r="F354" i="6"/>
  <c r="E354" i="6"/>
  <c r="C354" i="6"/>
  <c r="A354" i="6"/>
  <c r="D354" i="6" s="1"/>
  <c r="F353" i="6"/>
  <c r="A353" i="6"/>
  <c r="B353" i="6" s="1"/>
  <c r="F352" i="6"/>
  <c r="C352" i="6"/>
  <c r="A352" i="6"/>
  <c r="E352" i="6" s="1"/>
  <c r="E351" i="6"/>
  <c r="D351" i="6"/>
  <c r="C351" i="6"/>
  <c r="A351" i="6"/>
  <c r="F351" i="6" s="1"/>
  <c r="F350" i="6"/>
  <c r="A350" i="6"/>
  <c r="D350" i="6" s="1"/>
  <c r="F349" i="6"/>
  <c r="D349" i="6"/>
  <c r="C349" i="6"/>
  <c r="A349" i="6"/>
  <c r="B349" i="6" s="1"/>
  <c r="D348" i="6"/>
  <c r="C348" i="6"/>
  <c r="A348" i="6"/>
  <c r="B348" i="6" s="1"/>
  <c r="E347" i="6"/>
  <c r="A347" i="6"/>
  <c r="F347" i="6" s="1"/>
  <c r="F346" i="6"/>
  <c r="C346" i="6"/>
  <c r="B346" i="6"/>
  <c r="A346" i="6"/>
  <c r="D346" i="6" s="1"/>
  <c r="F345" i="6"/>
  <c r="E345" i="6"/>
  <c r="D345" i="6"/>
  <c r="C345" i="6"/>
  <c r="A345" i="6"/>
  <c r="B345" i="6" s="1"/>
  <c r="E344" i="6"/>
  <c r="A344" i="6"/>
  <c r="F344" i="6" s="1"/>
  <c r="E343" i="6"/>
  <c r="B343" i="6"/>
  <c r="A343" i="6"/>
  <c r="F343" i="6" s="1"/>
  <c r="F342" i="6"/>
  <c r="E342" i="6"/>
  <c r="C342" i="6"/>
  <c r="B342" i="6"/>
  <c r="A342" i="6"/>
  <c r="D342" i="6" s="1"/>
  <c r="E341" i="6"/>
  <c r="A341" i="6"/>
  <c r="B341" i="6" s="1"/>
  <c r="F340" i="6"/>
  <c r="E340" i="6"/>
  <c r="B340" i="6"/>
  <c r="A340" i="6"/>
  <c r="D340" i="6" s="1"/>
  <c r="D339" i="6"/>
  <c r="C339" i="6"/>
  <c r="B339" i="6"/>
  <c r="A339" i="6"/>
  <c r="F339" i="6" s="1"/>
  <c r="E338" i="6"/>
  <c r="A338" i="6"/>
  <c r="D338" i="6" s="1"/>
  <c r="A337" i="6"/>
  <c r="B337" i="6" s="1"/>
  <c r="F336" i="6"/>
  <c r="D336" i="6"/>
  <c r="C336" i="6"/>
  <c r="B336" i="6"/>
  <c r="A336" i="6"/>
  <c r="E336" i="6" s="1"/>
  <c r="D335" i="6"/>
  <c r="A335" i="6"/>
  <c r="F335" i="6" s="1"/>
  <c r="A334" i="6"/>
  <c r="D334" i="6" s="1"/>
  <c r="A333" i="6"/>
  <c r="B333" i="6" s="1"/>
  <c r="D332" i="6"/>
  <c r="A332" i="6"/>
  <c r="F332" i="6" s="1"/>
  <c r="A331" i="6"/>
  <c r="F331" i="6" s="1"/>
  <c r="A330" i="6"/>
  <c r="D330" i="6" s="1"/>
  <c r="F329" i="6"/>
  <c r="E329" i="6"/>
  <c r="D329" i="6"/>
  <c r="C329" i="6"/>
  <c r="A329" i="6"/>
  <c r="B329" i="6" s="1"/>
  <c r="A328" i="6"/>
  <c r="C328" i="6" s="1"/>
  <c r="A327" i="6"/>
  <c r="F327" i="6" s="1"/>
  <c r="E326" i="6"/>
  <c r="C326" i="6"/>
  <c r="B326" i="6"/>
  <c r="A326" i="6"/>
  <c r="D326" i="6" s="1"/>
  <c r="F325" i="6"/>
  <c r="E325" i="6"/>
  <c r="D325" i="6"/>
  <c r="A325" i="6"/>
  <c r="B325" i="6" s="1"/>
  <c r="F324" i="6"/>
  <c r="A324" i="6"/>
  <c r="E324" i="6" s="1"/>
  <c r="D323" i="6"/>
  <c r="C323" i="6"/>
  <c r="A323" i="6"/>
  <c r="F323" i="6" s="1"/>
  <c r="E322" i="6"/>
  <c r="C322" i="6"/>
  <c r="A322" i="6"/>
  <c r="D322" i="6" s="1"/>
  <c r="F321" i="6"/>
  <c r="A321" i="6"/>
  <c r="B321" i="6" s="1"/>
  <c r="F320" i="6"/>
  <c r="D320" i="6"/>
  <c r="C320" i="6"/>
  <c r="A320" i="6"/>
  <c r="E320" i="6" s="1"/>
  <c r="C319" i="6"/>
  <c r="A319" i="6"/>
  <c r="F319" i="6" s="1"/>
  <c r="F318" i="6"/>
  <c r="A318" i="6"/>
  <c r="D318" i="6" s="1"/>
  <c r="F317" i="6"/>
  <c r="D317" i="6"/>
  <c r="C317" i="6"/>
  <c r="A317" i="6"/>
  <c r="B317" i="6" s="1"/>
  <c r="A316" i="6"/>
  <c r="B316" i="6" s="1"/>
  <c r="E315" i="6"/>
  <c r="A315" i="6"/>
  <c r="F315" i="6" s="1"/>
  <c r="F314" i="6"/>
  <c r="C314" i="6"/>
  <c r="B314" i="6"/>
  <c r="A314" i="6"/>
  <c r="D314" i="6" s="1"/>
  <c r="F313" i="6"/>
  <c r="E313" i="6"/>
  <c r="D313" i="6"/>
  <c r="C313" i="6"/>
  <c r="A313" i="6"/>
  <c r="B313" i="6" s="1"/>
  <c r="E312" i="6"/>
  <c r="A312" i="6"/>
  <c r="F312" i="6" s="1"/>
  <c r="E311" i="6"/>
  <c r="C311" i="6"/>
  <c r="B311" i="6"/>
  <c r="A311" i="6"/>
  <c r="F311" i="6" s="1"/>
  <c r="F310" i="6"/>
  <c r="E310" i="6"/>
  <c r="C310" i="6"/>
  <c r="B310" i="6"/>
  <c r="A310" i="6"/>
  <c r="D310" i="6" s="1"/>
  <c r="F309" i="6"/>
  <c r="E309" i="6"/>
  <c r="A309" i="6"/>
  <c r="B309" i="6" s="1"/>
  <c r="F308" i="6"/>
  <c r="E308" i="6"/>
  <c r="C308" i="6"/>
  <c r="B308" i="6"/>
  <c r="A308" i="6"/>
  <c r="D308" i="6" s="1"/>
  <c r="D307" i="6"/>
  <c r="C307" i="6"/>
  <c r="B307" i="6"/>
  <c r="A307" i="6"/>
  <c r="F307" i="6" s="1"/>
  <c r="F306" i="6"/>
  <c r="E306" i="6"/>
  <c r="A306" i="6"/>
  <c r="D306" i="6" s="1"/>
  <c r="A305" i="6"/>
  <c r="B305" i="6" s="1"/>
  <c r="F304" i="6"/>
  <c r="D304" i="6"/>
  <c r="C304" i="6"/>
  <c r="B304" i="6"/>
  <c r="A304" i="6"/>
  <c r="E304" i="6" s="1"/>
  <c r="E303" i="6"/>
  <c r="D303" i="6"/>
  <c r="A303" i="6"/>
  <c r="F303" i="6" s="1"/>
  <c r="A302" i="6"/>
  <c r="D302" i="6" s="1"/>
  <c r="A301" i="6"/>
  <c r="B301" i="6" s="1"/>
  <c r="E300" i="6"/>
  <c r="D300" i="6"/>
  <c r="A300" i="6"/>
  <c r="F300" i="6" s="1"/>
  <c r="A299" i="6"/>
  <c r="F299" i="6" s="1"/>
  <c r="A298" i="6"/>
  <c r="D298" i="6" s="1"/>
  <c r="F297" i="6"/>
  <c r="E297" i="6"/>
  <c r="D297" i="6"/>
  <c r="C297" i="6"/>
  <c r="A297" i="6"/>
  <c r="B297" i="6" s="1"/>
  <c r="A296" i="6"/>
  <c r="C296" i="6" s="1"/>
  <c r="A295" i="6"/>
  <c r="F295" i="6" s="1"/>
  <c r="F294" i="6"/>
  <c r="E294" i="6"/>
  <c r="C294" i="6"/>
  <c r="B294" i="6"/>
  <c r="A294" i="6"/>
  <c r="D294" i="6" s="1"/>
  <c r="D293" i="6"/>
  <c r="A293" i="6"/>
  <c r="B293" i="6" s="1"/>
  <c r="F292" i="6"/>
  <c r="A292" i="6"/>
  <c r="E292" i="6" s="1"/>
  <c r="D291" i="6"/>
  <c r="C291" i="6"/>
  <c r="A291" i="6"/>
  <c r="F291" i="6" s="1"/>
  <c r="A290" i="6"/>
  <c r="D290" i="6" s="1"/>
  <c r="F289" i="6"/>
  <c r="A289" i="6"/>
  <c r="B289" i="6" s="1"/>
  <c r="F288" i="6"/>
  <c r="D288" i="6"/>
  <c r="C288" i="6"/>
  <c r="A288" i="6"/>
  <c r="E288" i="6" s="1"/>
  <c r="A287" i="6"/>
  <c r="F287" i="6" s="1"/>
  <c r="F286" i="6"/>
  <c r="A286" i="6"/>
  <c r="D286" i="6" s="1"/>
  <c r="F285" i="6"/>
  <c r="D285" i="6"/>
  <c r="C285" i="6"/>
  <c r="A285" i="6"/>
  <c r="B285" i="6" s="1"/>
  <c r="A284" i="6"/>
  <c r="B284" i="6" s="1"/>
  <c r="E283" i="6"/>
  <c r="A283" i="6"/>
  <c r="F283" i="6" s="1"/>
  <c r="F282" i="6"/>
  <c r="C282" i="6"/>
  <c r="B282" i="6"/>
  <c r="A282" i="6"/>
  <c r="D282" i="6" s="1"/>
  <c r="F281" i="6"/>
  <c r="E281" i="6"/>
  <c r="D281" i="6"/>
  <c r="C281" i="6"/>
  <c r="A281" i="6"/>
  <c r="B281" i="6" s="1"/>
  <c r="F280" i="6"/>
  <c r="A280" i="6"/>
  <c r="E280" i="6" s="1"/>
  <c r="E279" i="6"/>
  <c r="C279" i="6"/>
  <c r="B279" i="6"/>
  <c r="A279" i="6"/>
  <c r="F279" i="6" s="1"/>
  <c r="E278" i="6"/>
  <c r="C278" i="6"/>
  <c r="B278" i="6"/>
  <c r="A278" i="6"/>
  <c r="D278" i="6" s="1"/>
  <c r="F277" i="6"/>
  <c r="E277" i="6"/>
  <c r="A277" i="6"/>
  <c r="B277" i="6" s="1"/>
  <c r="F276" i="6"/>
  <c r="E276" i="6"/>
  <c r="C276" i="6"/>
  <c r="B276" i="6"/>
  <c r="A276" i="6"/>
  <c r="D276" i="6" s="1"/>
  <c r="D275" i="6"/>
  <c r="C275" i="6"/>
  <c r="B275" i="6"/>
  <c r="A275" i="6"/>
  <c r="F275" i="6" s="1"/>
  <c r="F274" i="6"/>
  <c r="E274" i="6"/>
  <c r="A274" i="6"/>
  <c r="D274" i="6" s="1"/>
  <c r="A273" i="6"/>
  <c r="B273" i="6" s="1"/>
  <c r="F272" i="6"/>
  <c r="D272" i="6"/>
  <c r="C272" i="6"/>
  <c r="B272" i="6"/>
  <c r="A272" i="6"/>
  <c r="E272" i="6" s="1"/>
  <c r="E271" i="6"/>
  <c r="D271" i="6"/>
  <c r="A271" i="6"/>
  <c r="F271" i="6" s="1"/>
  <c r="A270" i="6"/>
  <c r="A269" i="6"/>
  <c r="B269" i="6" s="1"/>
  <c r="E268" i="6"/>
  <c r="D268" i="6"/>
  <c r="A268" i="6"/>
  <c r="F268" i="6" s="1"/>
  <c r="A267" i="6"/>
  <c r="A266" i="6"/>
  <c r="D266" i="6" s="1"/>
  <c r="F265" i="6"/>
  <c r="E265" i="6"/>
  <c r="D265" i="6"/>
  <c r="C265" i="6"/>
  <c r="A265" i="6"/>
  <c r="B265" i="6" s="1"/>
  <c r="A264" i="6"/>
  <c r="A263" i="6"/>
  <c r="F263" i="6" s="1"/>
  <c r="F262" i="6"/>
  <c r="E262" i="6"/>
  <c r="C262" i="6"/>
  <c r="B262" i="6"/>
  <c r="A262" i="6"/>
  <c r="D262" i="6" s="1"/>
  <c r="A261" i="6"/>
  <c r="B261" i="6" s="1"/>
  <c r="F260" i="6"/>
  <c r="A260" i="6"/>
  <c r="E260" i="6" s="1"/>
  <c r="D259" i="6"/>
  <c r="C259" i="6"/>
  <c r="A259" i="6"/>
  <c r="F259" i="6" s="1"/>
  <c r="A258" i="6"/>
  <c r="F257" i="6"/>
  <c r="A257" i="6"/>
  <c r="B257" i="6" s="1"/>
  <c r="F256" i="6"/>
  <c r="D256" i="6"/>
  <c r="C256" i="6"/>
  <c r="A256" i="6"/>
  <c r="E256" i="6" s="1"/>
  <c r="A255" i="6"/>
  <c r="A254" i="6"/>
  <c r="F253" i="6"/>
  <c r="D253" i="6"/>
  <c r="C253" i="6"/>
  <c r="A253" i="6"/>
  <c r="B253" i="6" s="1"/>
  <c r="D252" i="6"/>
  <c r="C252" i="6"/>
  <c r="A252" i="6"/>
  <c r="A251" i="6"/>
  <c r="F250" i="6"/>
  <c r="C250" i="6"/>
  <c r="B250" i="6"/>
  <c r="A250" i="6"/>
  <c r="D250" i="6" s="1"/>
  <c r="F249" i="6"/>
  <c r="E249" i="6"/>
  <c r="D249" i="6"/>
  <c r="C249" i="6"/>
  <c r="A249" i="6"/>
  <c r="B249" i="6" s="1"/>
  <c r="A248" i="6"/>
  <c r="E247" i="6"/>
  <c r="C247" i="6"/>
  <c r="B247" i="6"/>
  <c r="A247" i="6"/>
  <c r="F247" i="6" s="1"/>
  <c r="C246" i="6"/>
  <c r="B246" i="6"/>
  <c r="A246" i="6"/>
  <c r="D246" i="6" s="1"/>
  <c r="F245" i="6"/>
  <c r="E245" i="6"/>
  <c r="A245" i="6"/>
  <c r="B245" i="6" s="1"/>
  <c r="F244" i="6"/>
  <c r="E244" i="6"/>
  <c r="C244" i="6"/>
  <c r="B244" i="6"/>
  <c r="A244" i="6"/>
  <c r="D244" i="6" s="1"/>
  <c r="C243" i="6"/>
  <c r="B243" i="6"/>
  <c r="A243" i="6"/>
  <c r="F243" i="6" s="1"/>
  <c r="F242" i="6"/>
  <c r="E242" i="6"/>
  <c r="A242" i="6"/>
  <c r="D242" i="6" s="1"/>
  <c r="A241" i="6"/>
  <c r="C240" i="6"/>
  <c r="B240" i="6"/>
  <c r="A240" i="6"/>
  <c r="F240" i="6" s="1"/>
  <c r="E239" i="6"/>
  <c r="D239" i="6"/>
  <c r="A239" i="6"/>
  <c r="F239" i="6" s="1"/>
  <c r="F238" i="6"/>
  <c r="E238" i="6"/>
  <c r="A238" i="6"/>
  <c r="D238" i="6" s="1"/>
  <c r="A237" i="6"/>
  <c r="F236" i="6"/>
  <c r="E236" i="6"/>
  <c r="D236" i="6"/>
  <c r="A236" i="6"/>
  <c r="C236" i="6" s="1"/>
  <c r="A235" i="6"/>
  <c r="C234" i="6"/>
  <c r="B234" i="6"/>
  <c r="A234" i="6"/>
  <c r="F233" i="6"/>
  <c r="E233" i="6"/>
  <c r="D233" i="6"/>
  <c r="C233" i="6"/>
  <c r="A233" i="6"/>
  <c r="B233" i="6" s="1"/>
  <c r="F232" i="6"/>
  <c r="E232" i="6"/>
  <c r="D232" i="6"/>
  <c r="C232" i="6"/>
  <c r="B232" i="6"/>
  <c r="A232" i="6"/>
  <c r="A231" i="6"/>
  <c r="F230" i="6"/>
  <c r="E230" i="6"/>
  <c r="C230" i="6"/>
  <c r="B230" i="6"/>
  <c r="A230" i="6"/>
  <c r="D230" i="6" s="1"/>
  <c r="E229" i="6"/>
  <c r="D229" i="6"/>
  <c r="C229" i="6"/>
  <c r="A229" i="6"/>
  <c r="B229" i="6" s="1"/>
  <c r="C228" i="6"/>
  <c r="A228" i="6"/>
  <c r="E227" i="6"/>
  <c r="D227" i="6"/>
  <c r="C227" i="6"/>
  <c r="A227" i="6"/>
  <c r="F227" i="6" s="1"/>
  <c r="E226" i="6"/>
  <c r="A226" i="6"/>
  <c r="F225" i="6"/>
  <c r="C225" i="6"/>
  <c r="A225" i="6"/>
  <c r="A224" i="6"/>
  <c r="D223" i="6"/>
  <c r="A223" i="6"/>
  <c r="A222" i="6"/>
  <c r="F221" i="6"/>
  <c r="E221" i="6"/>
  <c r="D221" i="6"/>
  <c r="C221" i="6"/>
  <c r="A221" i="6"/>
  <c r="B221" i="6" s="1"/>
  <c r="F220" i="6"/>
  <c r="E220" i="6"/>
  <c r="D220" i="6"/>
  <c r="C220" i="6"/>
  <c r="B220" i="6"/>
  <c r="A220" i="6"/>
  <c r="A219" i="6"/>
  <c r="F218" i="6"/>
  <c r="E218" i="6"/>
  <c r="C218" i="6"/>
  <c r="B218" i="6"/>
  <c r="A218" i="6"/>
  <c r="D218" i="6" s="1"/>
  <c r="A217" i="6"/>
  <c r="D216" i="6"/>
  <c r="A216" i="6"/>
  <c r="E215" i="6"/>
  <c r="D215" i="6"/>
  <c r="A215" i="6"/>
  <c r="A214" i="6"/>
  <c r="D213" i="6"/>
  <c r="A213" i="6"/>
  <c r="B213" i="6" s="1"/>
  <c r="E212" i="6"/>
  <c r="A212" i="6"/>
  <c r="F212" i="6" s="1"/>
  <c r="C211" i="6"/>
  <c r="A211" i="6"/>
  <c r="A210" i="6"/>
  <c r="F209" i="6"/>
  <c r="E209" i="6"/>
  <c r="D209" i="6"/>
  <c r="A209" i="6"/>
  <c r="B209" i="6" s="1"/>
  <c r="D208" i="6"/>
  <c r="B208" i="6"/>
  <c r="A208" i="6"/>
  <c r="E208" i="6" s="1"/>
  <c r="A207" i="6"/>
  <c r="A206" i="6"/>
  <c r="A205" i="6"/>
  <c r="A204" i="6"/>
  <c r="A203" i="6"/>
  <c r="A202" i="6"/>
  <c r="F201" i="6"/>
  <c r="E201" i="6"/>
  <c r="D201" i="6"/>
  <c r="C201" i="6"/>
  <c r="A201" i="6"/>
  <c r="B201" i="6" s="1"/>
  <c r="D200" i="6"/>
  <c r="A200" i="6"/>
  <c r="B200" i="6" s="1"/>
  <c r="D199" i="6"/>
  <c r="A199" i="6"/>
  <c r="E199" i="6" s="1"/>
  <c r="E198" i="6"/>
  <c r="D198" i="6"/>
  <c r="B198" i="6"/>
  <c r="A198" i="6"/>
  <c r="F197" i="6"/>
  <c r="E197" i="6"/>
  <c r="D197" i="6"/>
  <c r="C197" i="6"/>
  <c r="B197" i="6"/>
  <c r="A197" i="6"/>
  <c r="D196" i="6"/>
  <c r="A196" i="6"/>
  <c r="B196" i="6" s="1"/>
  <c r="F195" i="6"/>
  <c r="D195" i="6"/>
  <c r="C195" i="6"/>
  <c r="B195" i="6"/>
  <c r="A195" i="6"/>
  <c r="E195" i="6" s="1"/>
  <c r="E194" i="6"/>
  <c r="A194" i="6"/>
  <c r="F193" i="6"/>
  <c r="E193" i="6"/>
  <c r="C193" i="6"/>
  <c r="B193" i="6"/>
  <c r="A193" i="6"/>
  <c r="D193" i="6" s="1"/>
  <c r="C192" i="6"/>
  <c r="A192" i="6"/>
  <c r="B192" i="6" s="1"/>
  <c r="D191" i="6"/>
  <c r="A191" i="6"/>
  <c r="F191" i="6" s="1"/>
  <c r="E190" i="6"/>
  <c r="D190" i="6"/>
  <c r="A190" i="6"/>
  <c r="F190" i="6" s="1"/>
  <c r="B189" i="6"/>
  <c r="A189" i="6"/>
  <c r="D189" i="6" s="1"/>
  <c r="D188" i="6"/>
  <c r="A188" i="6"/>
  <c r="B188" i="6" s="1"/>
  <c r="E187" i="6"/>
  <c r="D187" i="6"/>
  <c r="A187" i="6"/>
  <c r="C187" i="6" s="1"/>
  <c r="B186" i="6"/>
  <c r="A186" i="6"/>
  <c r="F186" i="6" s="1"/>
  <c r="C185" i="6"/>
  <c r="A185" i="6"/>
  <c r="D185" i="6" s="1"/>
  <c r="F184" i="6"/>
  <c r="E184" i="6"/>
  <c r="D184" i="6"/>
  <c r="C184" i="6"/>
  <c r="A184" i="6"/>
  <c r="B184" i="6" s="1"/>
  <c r="B183" i="6"/>
  <c r="A183" i="6"/>
  <c r="F183" i="6" s="1"/>
  <c r="C182" i="6"/>
  <c r="A182" i="6"/>
  <c r="F182" i="6" s="1"/>
  <c r="F181" i="6"/>
  <c r="E181" i="6"/>
  <c r="C181" i="6"/>
  <c r="A181" i="6"/>
  <c r="D181" i="6" s="1"/>
  <c r="A180" i="6"/>
  <c r="B180" i="6" s="1"/>
  <c r="F179" i="6"/>
  <c r="C179" i="6"/>
  <c r="A179" i="6"/>
  <c r="E179" i="6" s="1"/>
  <c r="D178" i="6"/>
  <c r="C178" i="6"/>
  <c r="A178" i="6"/>
  <c r="F178" i="6" s="1"/>
  <c r="A177" i="6"/>
  <c r="D177" i="6" s="1"/>
  <c r="F176" i="6"/>
  <c r="E176" i="6"/>
  <c r="D176" i="6"/>
  <c r="C176" i="6"/>
  <c r="A176" i="6"/>
  <c r="B176" i="6" s="1"/>
  <c r="D175" i="6"/>
  <c r="C175" i="6"/>
  <c r="A175" i="6"/>
  <c r="B175" i="6" s="1"/>
  <c r="A174" i="6"/>
  <c r="F174" i="6" s="1"/>
  <c r="F173" i="6"/>
  <c r="C173" i="6"/>
  <c r="B173" i="6"/>
  <c r="A173" i="6"/>
  <c r="D173" i="6" s="1"/>
  <c r="F172" i="6"/>
  <c r="E172" i="6"/>
  <c r="D172" i="6"/>
  <c r="C172" i="6"/>
  <c r="A172" i="6"/>
  <c r="B172" i="6" s="1"/>
  <c r="A171" i="6"/>
  <c r="F171" i="6" s="1"/>
  <c r="E170" i="6"/>
  <c r="C170" i="6"/>
  <c r="B170" i="6"/>
  <c r="A170" i="6"/>
  <c r="F170" i="6" s="1"/>
  <c r="F169" i="6"/>
  <c r="C169" i="6"/>
  <c r="B169" i="6"/>
  <c r="A169" i="6"/>
  <c r="D169" i="6" s="1"/>
  <c r="F168" i="6"/>
  <c r="E168" i="6"/>
  <c r="C168" i="6"/>
  <c r="A168" i="6"/>
  <c r="B168" i="6" s="1"/>
  <c r="F167" i="6"/>
  <c r="E167" i="6"/>
  <c r="C167" i="6"/>
  <c r="B167" i="6"/>
  <c r="A167" i="6"/>
  <c r="D167" i="6" s="1"/>
  <c r="E166" i="6"/>
  <c r="C166" i="6"/>
  <c r="B166" i="6"/>
  <c r="A166" i="6"/>
  <c r="F166" i="6" s="1"/>
  <c r="F165" i="6"/>
  <c r="E165" i="6"/>
  <c r="B165" i="6"/>
  <c r="A165" i="6"/>
  <c r="D165" i="6" s="1"/>
  <c r="F164" i="6"/>
  <c r="E164" i="6"/>
  <c r="A164" i="6"/>
  <c r="B164" i="6" s="1"/>
  <c r="E163" i="6"/>
  <c r="C163" i="6"/>
  <c r="B163" i="6"/>
  <c r="A163" i="6"/>
  <c r="F163" i="6" s="1"/>
  <c r="E162" i="6"/>
  <c r="D162" i="6"/>
  <c r="A162" i="6"/>
  <c r="F162" i="6" s="1"/>
  <c r="F161" i="6"/>
  <c r="E161" i="6"/>
  <c r="A161" i="6"/>
  <c r="D161" i="6" s="1"/>
  <c r="C160" i="6"/>
  <c r="A160" i="6"/>
  <c r="B160" i="6" s="1"/>
  <c r="E159" i="6"/>
  <c r="D159" i="6"/>
  <c r="A159" i="6"/>
  <c r="F159" i="6" s="1"/>
  <c r="E158" i="6"/>
  <c r="D158" i="6"/>
  <c r="A158" i="6"/>
  <c r="F158" i="6" s="1"/>
  <c r="B157" i="6"/>
  <c r="A157" i="6"/>
  <c r="D157" i="6" s="1"/>
  <c r="E156" i="6"/>
  <c r="D156" i="6"/>
  <c r="A156" i="6"/>
  <c r="B156" i="6" s="1"/>
  <c r="E155" i="6"/>
  <c r="D155" i="6"/>
  <c r="A155" i="6"/>
  <c r="C155" i="6" s="1"/>
  <c r="B154" i="6"/>
  <c r="A154" i="6"/>
  <c r="F154" i="6" s="1"/>
  <c r="E153" i="6"/>
  <c r="C153" i="6"/>
  <c r="A153" i="6"/>
  <c r="D153" i="6" s="1"/>
  <c r="E152" i="6"/>
  <c r="D152" i="6"/>
  <c r="A152" i="6"/>
  <c r="B152" i="6" s="1"/>
  <c r="B151" i="6"/>
  <c r="A151" i="6"/>
  <c r="F151" i="6" s="1"/>
  <c r="D150" i="6"/>
  <c r="C150" i="6"/>
  <c r="A150" i="6"/>
  <c r="F150" i="6" s="1"/>
  <c r="E149" i="6"/>
  <c r="C149" i="6"/>
  <c r="A149" i="6"/>
  <c r="D149" i="6" s="1"/>
  <c r="A148" i="6"/>
  <c r="B148" i="6" s="1"/>
  <c r="F147" i="6"/>
  <c r="D147" i="6"/>
  <c r="C147" i="6"/>
  <c r="A147" i="6"/>
  <c r="E147" i="6" s="1"/>
  <c r="D146" i="6"/>
  <c r="C146" i="6"/>
  <c r="A146" i="6"/>
  <c r="F146" i="6" s="1"/>
  <c r="A145" i="6"/>
  <c r="D145" i="6" s="1"/>
  <c r="F144" i="6"/>
  <c r="E144" i="6"/>
  <c r="D144" i="6"/>
  <c r="C144" i="6"/>
  <c r="A144" i="6"/>
  <c r="B144" i="6" s="1"/>
  <c r="D143" i="6"/>
  <c r="C143" i="6"/>
  <c r="A143" i="6"/>
  <c r="B143" i="6" s="1"/>
  <c r="A142" i="6"/>
  <c r="F142" i="6" s="1"/>
  <c r="F141" i="6"/>
  <c r="C141" i="6"/>
  <c r="B141" i="6"/>
  <c r="A141" i="6"/>
  <c r="D141" i="6" s="1"/>
  <c r="F140" i="6"/>
  <c r="E140" i="6"/>
  <c r="D140" i="6"/>
  <c r="C140" i="6"/>
  <c r="A140" i="6"/>
  <c r="B140" i="6" s="1"/>
  <c r="A139" i="6"/>
  <c r="F139" i="6" s="1"/>
  <c r="E138" i="6"/>
  <c r="C138" i="6"/>
  <c r="B138" i="6"/>
  <c r="A138" i="6"/>
  <c r="F138" i="6" s="1"/>
  <c r="F137" i="6"/>
  <c r="C137" i="6"/>
  <c r="B137" i="6"/>
  <c r="A137" i="6"/>
  <c r="D137" i="6" s="1"/>
  <c r="F136" i="6"/>
  <c r="E136" i="6"/>
  <c r="C136" i="6"/>
  <c r="A136" i="6"/>
  <c r="B136" i="6" s="1"/>
  <c r="F135" i="6"/>
  <c r="E135" i="6"/>
  <c r="C135" i="6"/>
  <c r="B135" i="6"/>
  <c r="A135" i="6"/>
  <c r="D135" i="6" s="1"/>
  <c r="E134" i="6"/>
  <c r="C134" i="6"/>
  <c r="B134" i="6"/>
  <c r="A134" i="6"/>
  <c r="F134" i="6" s="1"/>
  <c r="F133" i="6"/>
  <c r="E133" i="6"/>
  <c r="B133" i="6"/>
  <c r="A133" i="6"/>
  <c r="D133" i="6" s="1"/>
  <c r="F132" i="6"/>
  <c r="E132" i="6"/>
  <c r="A132" i="6"/>
  <c r="B132" i="6" s="1"/>
  <c r="E131" i="6"/>
  <c r="C131" i="6"/>
  <c r="B131" i="6"/>
  <c r="A131" i="6"/>
  <c r="F131" i="6" s="1"/>
  <c r="E130" i="6"/>
  <c r="D130" i="6"/>
  <c r="A130" i="6"/>
  <c r="F130" i="6" s="1"/>
  <c r="F129" i="6"/>
  <c r="E129" i="6"/>
  <c r="A129" i="6"/>
  <c r="D129" i="6" s="1"/>
  <c r="C128" i="6"/>
  <c r="A128" i="6"/>
  <c r="B128" i="6" s="1"/>
  <c r="E127" i="6"/>
  <c r="D127" i="6"/>
  <c r="A127" i="6"/>
  <c r="F127" i="6" s="1"/>
  <c r="E126" i="6"/>
  <c r="D126" i="6"/>
  <c r="A126" i="6"/>
  <c r="F126" i="6" s="1"/>
  <c r="B125" i="6"/>
  <c r="A125" i="6"/>
  <c r="D125" i="6" s="1"/>
  <c r="E124" i="6"/>
  <c r="D124" i="6"/>
  <c r="A124" i="6"/>
  <c r="B124" i="6" s="1"/>
  <c r="E123" i="6"/>
  <c r="D123" i="6"/>
  <c r="A123" i="6"/>
  <c r="C123" i="6" s="1"/>
  <c r="B122" i="6"/>
  <c r="A122" i="6"/>
  <c r="F122" i="6" s="1"/>
  <c r="E121" i="6"/>
  <c r="C121" i="6"/>
  <c r="A121" i="6"/>
  <c r="D121" i="6" s="1"/>
  <c r="E120" i="6"/>
  <c r="D120" i="6"/>
  <c r="A120" i="6"/>
  <c r="B120" i="6" s="1"/>
  <c r="B119" i="6"/>
  <c r="A119" i="6"/>
  <c r="F119" i="6" s="1"/>
  <c r="D118" i="6"/>
  <c r="C118" i="6"/>
  <c r="A118" i="6"/>
  <c r="F118" i="6" s="1"/>
  <c r="E117" i="6"/>
  <c r="C117" i="6"/>
  <c r="A117" i="6"/>
  <c r="D117" i="6" s="1"/>
  <c r="A116" i="6"/>
  <c r="B116" i="6" s="1"/>
  <c r="F115" i="6"/>
  <c r="D115" i="6"/>
  <c r="C115" i="6"/>
  <c r="A115" i="6"/>
  <c r="E115" i="6" s="1"/>
  <c r="D114" i="6"/>
  <c r="C114" i="6"/>
  <c r="A114" i="6"/>
  <c r="F114" i="6" s="1"/>
  <c r="A113" i="6"/>
  <c r="D113" i="6" s="1"/>
  <c r="F112" i="6"/>
  <c r="E112" i="6"/>
  <c r="D112" i="6"/>
  <c r="C112" i="6"/>
  <c r="A112" i="6"/>
  <c r="B112" i="6" s="1"/>
  <c r="D111" i="6"/>
  <c r="C111" i="6"/>
  <c r="A111" i="6"/>
  <c r="B111" i="6" s="1"/>
  <c r="A110" i="6"/>
  <c r="F110" i="6" s="1"/>
  <c r="F109" i="6"/>
  <c r="C109" i="6"/>
  <c r="B109" i="6"/>
  <c r="A109" i="6"/>
  <c r="D109" i="6" s="1"/>
  <c r="F108" i="6"/>
  <c r="E108" i="6"/>
  <c r="D108" i="6"/>
  <c r="C108" i="6"/>
  <c r="A108" i="6"/>
  <c r="B108" i="6" s="1"/>
  <c r="A107" i="6"/>
  <c r="F107" i="6" s="1"/>
  <c r="E106" i="6"/>
  <c r="C106" i="6"/>
  <c r="B106" i="6"/>
  <c r="A106" i="6"/>
  <c r="F106" i="6" s="1"/>
  <c r="F105" i="6"/>
  <c r="C105" i="6"/>
  <c r="B105" i="6"/>
  <c r="A105" i="6"/>
  <c r="D105" i="6" s="1"/>
  <c r="A104" i="6"/>
  <c r="F104" i="6" s="1"/>
  <c r="F103" i="6"/>
  <c r="D103" i="6"/>
  <c r="C103" i="6"/>
  <c r="A103" i="6"/>
  <c r="E103" i="6" s="1"/>
  <c r="E102" i="6"/>
  <c r="D102" i="6"/>
  <c r="A102" i="6"/>
  <c r="C102" i="6" s="1"/>
  <c r="E101" i="6"/>
  <c r="C101" i="6"/>
  <c r="B101" i="6"/>
  <c r="A101" i="6"/>
  <c r="F101" i="6" s="1"/>
  <c r="A100" i="6"/>
  <c r="F100" i="6" s="1"/>
  <c r="F99" i="6"/>
  <c r="D99" i="6"/>
  <c r="C99" i="6"/>
  <c r="A99" i="6"/>
  <c r="E99" i="6" s="1"/>
  <c r="E98" i="6"/>
  <c r="D98" i="6"/>
  <c r="A98" i="6"/>
  <c r="C98" i="6" s="1"/>
  <c r="C97" i="6"/>
  <c r="B97" i="6"/>
  <c r="A97" i="6"/>
  <c r="F97" i="6" s="1"/>
  <c r="A96" i="6"/>
  <c r="F96" i="6" s="1"/>
  <c r="F95" i="6"/>
  <c r="D95" i="6"/>
  <c r="C95" i="6"/>
  <c r="A95" i="6"/>
  <c r="E95" i="6" s="1"/>
  <c r="E94" i="6"/>
  <c r="D94" i="6"/>
  <c r="A94" i="6"/>
  <c r="C94" i="6" s="1"/>
  <c r="C93" i="6"/>
  <c r="B93" i="6"/>
  <c r="A93" i="6"/>
  <c r="F93" i="6" s="1"/>
  <c r="A92" i="6"/>
  <c r="F92" i="6" s="1"/>
  <c r="F91" i="6"/>
  <c r="D91" i="6"/>
  <c r="C91" i="6"/>
  <c r="A91" i="6"/>
  <c r="E91" i="6" s="1"/>
  <c r="E90" i="6"/>
  <c r="D90" i="6"/>
  <c r="A90" i="6"/>
  <c r="C90" i="6" s="1"/>
  <c r="C89" i="6"/>
  <c r="B89" i="6"/>
  <c r="A89" i="6"/>
  <c r="F89" i="6" s="1"/>
  <c r="A88" i="6"/>
  <c r="F88" i="6" s="1"/>
  <c r="F87" i="6"/>
  <c r="E87" i="6"/>
  <c r="D87" i="6"/>
  <c r="C87" i="6"/>
  <c r="A87" i="6"/>
  <c r="B87" i="6" s="1"/>
  <c r="E86" i="6"/>
  <c r="D86" i="6"/>
  <c r="A86" i="6"/>
  <c r="C86" i="6" s="1"/>
  <c r="C85" i="6"/>
  <c r="B85" i="6"/>
  <c r="A85" i="6"/>
  <c r="F85" i="6" s="1"/>
  <c r="A84" i="6"/>
  <c r="F84" i="6" s="1"/>
  <c r="F83" i="6"/>
  <c r="E83" i="6"/>
  <c r="D83" i="6"/>
  <c r="C83" i="6"/>
  <c r="A83" i="6"/>
  <c r="B83" i="6" s="1"/>
  <c r="E82" i="6"/>
  <c r="D82" i="6"/>
  <c r="A82" i="6"/>
  <c r="C82" i="6" s="1"/>
  <c r="C81" i="6"/>
  <c r="B81" i="6"/>
  <c r="A81" i="6"/>
  <c r="F81" i="6" s="1"/>
  <c r="A80" i="6"/>
  <c r="F80" i="6" s="1"/>
  <c r="F79" i="6"/>
  <c r="E79" i="6"/>
  <c r="D79" i="6"/>
  <c r="C79" i="6"/>
  <c r="A79" i="6"/>
  <c r="B79" i="6" s="1"/>
  <c r="E78" i="6"/>
  <c r="A78" i="6"/>
  <c r="D78" i="6" s="1"/>
  <c r="C77" i="6"/>
  <c r="B77" i="6"/>
  <c r="A77" i="6"/>
  <c r="F77" i="6" s="1"/>
  <c r="A76" i="6"/>
  <c r="F76" i="6" s="1"/>
  <c r="F75" i="6"/>
  <c r="E75" i="6"/>
  <c r="D75" i="6"/>
  <c r="C75" i="6"/>
  <c r="A75" i="6"/>
  <c r="B75" i="6" s="1"/>
  <c r="E74" i="6"/>
  <c r="A74" i="6"/>
  <c r="D74" i="6" s="1"/>
  <c r="C73" i="6"/>
  <c r="B73" i="6"/>
  <c r="A73" i="6"/>
  <c r="F73" i="6" s="1"/>
  <c r="A72" i="6"/>
  <c r="F72" i="6" s="1"/>
  <c r="F71" i="6"/>
  <c r="E71" i="6"/>
  <c r="D71" i="6"/>
  <c r="C71" i="6"/>
  <c r="A71" i="6"/>
  <c r="B71" i="6" s="1"/>
  <c r="E70" i="6"/>
  <c r="A70" i="6"/>
  <c r="D70" i="6" s="1"/>
  <c r="C69" i="6"/>
  <c r="B69" i="6"/>
  <c r="A69" i="6"/>
  <c r="F69" i="6" s="1"/>
  <c r="A68" i="6"/>
  <c r="F68" i="6" s="1"/>
  <c r="F67" i="6"/>
  <c r="E67" i="6"/>
  <c r="D67" i="6"/>
  <c r="C67" i="6"/>
  <c r="A67" i="6"/>
  <c r="B67" i="6" s="1"/>
  <c r="E66" i="6"/>
  <c r="A66" i="6"/>
  <c r="D66" i="6" s="1"/>
  <c r="C65" i="6"/>
  <c r="A65" i="6"/>
  <c r="B65" i="6" s="1"/>
  <c r="A64" i="6"/>
  <c r="F64" i="6" s="1"/>
  <c r="F63" i="6"/>
  <c r="E63" i="6"/>
  <c r="D63" i="6"/>
  <c r="C63" i="6"/>
  <c r="A63" i="6"/>
  <c r="B63" i="6" s="1"/>
  <c r="E62" i="6"/>
  <c r="A62" i="6"/>
  <c r="D62" i="6" s="1"/>
  <c r="C61" i="6"/>
  <c r="A61" i="6"/>
  <c r="B61" i="6" s="1"/>
  <c r="A60" i="6"/>
  <c r="F60" i="6" s="1"/>
  <c r="F59" i="6"/>
  <c r="E59" i="6"/>
  <c r="C59" i="6"/>
  <c r="A59" i="6"/>
  <c r="D59" i="6" s="1"/>
  <c r="E58" i="6"/>
  <c r="A58" i="6"/>
  <c r="D58" i="6" s="1"/>
  <c r="C57" i="6"/>
  <c r="A57" i="6"/>
  <c r="B57" i="6" s="1"/>
  <c r="A56" i="6"/>
  <c r="F56" i="6" s="1"/>
  <c r="F55" i="6"/>
  <c r="E55" i="6"/>
  <c r="C55" i="6"/>
  <c r="A55" i="6"/>
  <c r="D55" i="6" s="1"/>
  <c r="E54" i="6"/>
  <c r="A54" i="6"/>
  <c r="D54" i="6" s="1"/>
  <c r="C53" i="6"/>
  <c r="A53" i="6"/>
  <c r="B53" i="6" s="1"/>
  <c r="A52" i="6"/>
  <c r="F52" i="6" s="1"/>
  <c r="F51" i="6"/>
  <c r="E51" i="6"/>
  <c r="C51" i="6"/>
  <c r="A51" i="6"/>
  <c r="D51" i="6" s="1"/>
  <c r="E50" i="6"/>
  <c r="A50" i="6"/>
  <c r="D50" i="6" s="1"/>
  <c r="C49" i="6"/>
  <c r="A49" i="6"/>
  <c r="B49" i="6" s="1"/>
  <c r="A48" i="6"/>
  <c r="F48" i="6" s="1"/>
  <c r="F47" i="6"/>
  <c r="E47" i="6"/>
  <c r="C47" i="6"/>
  <c r="A47" i="6"/>
  <c r="D47" i="6" s="1"/>
  <c r="E46" i="6"/>
  <c r="A46" i="6"/>
  <c r="D46" i="6" s="1"/>
  <c r="C45" i="6"/>
  <c r="A45" i="6"/>
  <c r="B45" i="6" s="1"/>
  <c r="A44" i="6"/>
  <c r="F44" i="6" s="1"/>
  <c r="F43" i="6"/>
  <c r="E43" i="6"/>
  <c r="C43" i="6"/>
  <c r="A43" i="6"/>
  <c r="D43" i="6" s="1"/>
  <c r="E42" i="6"/>
  <c r="A42" i="6"/>
  <c r="D42" i="6" s="1"/>
  <c r="C41" i="6"/>
  <c r="A41" i="6"/>
  <c r="B41" i="6" s="1"/>
  <c r="A40" i="6"/>
  <c r="F40" i="6" s="1"/>
  <c r="F39" i="6"/>
  <c r="E39" i="6"/>
  <c r="C39" i="6"/>
  <c r="A39" i="6"/>
  <c r="D39" i="6" s="1"/>
  <c r="E38" i="6"/>
  <c r="A38" i="6"/>
  <c r="D38" i="6" s="1"/>
  <c r="C37" i="6"/>
  <c r="A37" i="6"/>
  <c r="B37" i="6" s="1"/>
  <c r="A36" i="6"/>
  <c r="F36" i="6" s="1"/>
  <c r="E35" i="6"/>
  <c r="C35" i="6"/>
  <c r="A35" i="6"/>
  <c r="F35" i="6" s="1"/>
  <c r="E34" i="6"/>
  <c r="A34" i="6"/>
  <c r="D34" i="6" s="1"/>
  <c r="C33" i="6"/>
  <c r="A33" i="6"/>
  <c r="B33" i="6" s="1"/>
  <c r="A32" i="6"/>
  <c r="F32" i="6" s="1"/>
  <c r="E31" i="6"/>
  <c r="C31" i="6"/>
  <c r="A31" i="6"/>
  <c r="F31" i="6" s="1"/>
  <c r="E30" i="6"/>
  <c r="A30" i="6"/>
  <c r="D30" i="6" s="1"/>
  <c r="C29" i="6"/>
  <c r="A29" i="6"/>
  <c r="B29" i="6" s="1"/>
  <c r="A28" i="6"/>
  <c r="F28" i="6" s="1"/>
  <c r="E27" i="6"/>
  <c r="C27" i="6"/>
  <c r="A27" i="6"/>
  <c r="F27" i="6" s="1"/>
  <c r="E26" i="6"/>
  <c r="A26" i="6"/>
  <c r="D26" i="6" s="1"/>
  <c r="C25" i="6"/>
  <c r="A25" i="6"/>
  <c r="B25" i="6" s="1"/>
  <c r="A24" i="6"/>
  <c r="E24" i="6" s="1"/>
  <c r="E23" i="6"/>
  <c r="C23" i="6"/>
  <c r="A23" i="6"/>
  <c r="F23" i="6" s="1"/>
  <c r="E22" i="6"/>
  <c r="A22" i="6"/>
  <c r="D22" i="6" s="1"/>
  <c r="C21" i="6"/>
  <c r="A21" i="6"/>
  <c r="B21" i="6" s="1"/>
  <c r="A20" i="6"/>
  <c r="E20" i="6" s="1"/>
  <c r="E19" i="6"/>
  <c r="C19" i="6"/>
  <c r="A19" i="6"/>
  <c r="F19" i="6" s="1"/>
  <c r="E18" i="6"/>
  <c r="A18" i="6"/>
  <c r="D18" i="6" s="1"/>
  <c r="C17" i="6"/>
  <c r="A17" i="6"/>
  <c r="B17" i="6" s="1"/>
  <c r="A16" i="6"/>
  <c r="F16" i="6" s="1"/>
  <c r="E15" i="6"/>
  <c r="C15" i="6"/>
  <c r="A15" i="6"/>
  <c r="F15" i="6" s="1"/>
  <c r="E14" i="6"/>
  <c r="A14" i="6"/>
  <c r="D14" i="6" s="1"/>
  <c r="C13" i="6"/>
  <c r="A13" i="6"/>
  <c r="B13" i="6" s="1"/>
  <c r="I12" i="6"/>
  <c r="M12" i="6"/>
  <c r="L12" i="6"/>
  <c r="K12" i="6"/>
  <c r="J12" i="6"/>
  <c r="F12" i="6"/>
  <c r="E12" i="6"/>
  <c r="D12" i="6"/>
  <c r="C12" i="6"/>
  <c r="B12" i="6"/>
  <c r="A12" i="6"/>
  <c r="K37" i="2"/>
  <c r="K38" i="2"/>
  <c r="K52" i="2"/>
  <c r="L29" i="2"/>
  <c r="L34" i="2"/>
  <c r="L45" i="2"/>
  <c r="R4" i="6"/>
  <c r="O4" i="6"/>
  <c r="L4" i="6"/>
  <c r="H4" i="6"/>
  <c r="D4" i="6"/>
  <c r="A4" i="6"/>
  <c r="R4" i="5"/>
  <c r="O4" i="5"/>
  <c r="L4" i="5"/>
  <c r="H4" i="5"/>
  <c r="D4" i="5"/>
  <c r="A4" i="5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R4" i="4"/>
  <c r="O4" i="4"/>
  <c r="L4" i="4"/>
  <c r="H4" i="4"/>
  <c r="D4" i="4"/>
  <c r="A4" i="4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G7" i="3"/>
  <c r="E7" i="3"/>
  <c r="A7" i="3"/>
  <c r="O4" i="3"/>
  <c r="L4" i="3"/>
  <c r="I4" i="3"/>
  <c r="H4" i="3"/>
  <c r="D4" i="3"/>
  <c r="A4" i="3"/>
  <c r="I56" i="2"/>
  <c r="S56" i="2" s="1"/>
  <c r="A56" i="2"/>
  <c r="K56" i="2" s="1"/>
  <c r="I55" i="2"/>
  <c r="S55" i="2" s="1"/>
  <c r="A55" i="2"/>
  <c r="L55" i="2" s="1"/>
  <c r="I54" i="2"/>
  <c r="S54" i="2" s="1"/>
  <c r="A54" i="2"/>
  <c r="L54" i="2" s="1"/>
  <c r="I53" i="2"/>
  <c r="S53" i="2" s="1"/>
  <c r="A53" i="2"/>
  <c r="K53" i="2" s="1"/>
  <c r="I52" i="2"/>
  <c r="S52" i="2" s="1"/>
  <c r="A52" i="2"/>
  <c r="L52" i="2" s="1"/>
  <c r="I51" i="2"/>
  <c r="S51" i="2" s="1"/>
  <c r="A51" i="2"/>
  <c r="K51" i="2" s="1"/>
  <c r="I50" i="2"/>
  <c r="S50" i="2" s="1"/>
  <c r="A50" i="2"/>
  <c r="K50" i="2" s="1"/>
  <c r="I49" i="2"/>
  <c r="S49" i="2" s="1"/>
  <c r="A49" i="2"/>
  <c r="K49" i="2" s="1"/>
  <c r="I48" i="2"/>
  <c r="S48" i="2" s="1"/>
  <c r="A48" i="2"/>
  <c r="K48" i="2" s="1"/>
  <c r="I47" i="2"/>
  <c r="S47" i="2" s="1"/>
  <c r="A47" i="2"/>
  <c r="L47" i="2" s="1"/>
  <c r="I46" i="2"/>
  <c r="S46" i="2" s="1"/>
  <c r="A46" i="2"/>
  <c r="L46" i="2" s="1"/>
  <c r="I45" i="2"/>
  <c r="S45" i="2" s="1"/>
  <c r="A45" i="2"/>
  <c r="K45" i="2" s="1"/>
  <c r="I44" i="2"/>
  <c r="S44" i="2" s="1"/>
  <c r="A44" i="2"/>
  <c r="K44" i="2" s="1"/>
  <c r="I43" i="2"/>
  <c r="S43" i="2" s="1"/>
  <c r="A43" i="2"/>
  <c r="K43" i="2" s="1"/>
  <c r="I42" i="2"/>
  <c r="S42" i="2" s="1"/>
  <c r="A42" i="2"/>
  <c r="L42" i="2" s="1"/>
  <c r="I41" i="2"/>
  <c r="S41" i="2" s="1"/>
  <c r="A41" i="2"/>
  <c r="K41" i="2" s="1"/>
  <c r="I40" i="2"/>
  <c r="S40" i="2" s="1"/>
  <c r="A40" i="2"/>
  <c r="K40" i="2" s="1"/>
  <c r="I39" i="2"/>
  <c r="S39" i="2" s="1"/>
  <c r="A39" i="2"/>
  <c r="L39" i="2" s="1"/>
  <c r="I38" i="2"/>
  <c r="S38" i="2" s="1"/>
  <c r="A38" i="2"/>
  <c r="L38" i="2" s="1"/>
  <c r="I37" i="2"/>
  <c r="S37" i="2" s="1"/>
  <c r="A37" i="2"/>
  <c r="L37" i="2" s="1"/>
  <c r="I36" i="2"/>
  <c r="S36" i="2" s="1"/>
  <c r="A36" i="2"/>
  <c r="K36" i="2" s="1"/>
  <c r="I35" i="2"/>
  <c r="S35" i="2" s="1"/>
  <c r="A35" i="2"/>
  <c r="L35" i="2" s="1"/>
  <c r="I34" i="2"/>
  <c r="S34" i="2" s="1"/>
  <c r="A34" i="2"/>
  <c r="K34" i="2" s="1"/>
  <c r="I33" i="2"/>
  <c r="S33" i="2" s="1"/>
  <c r="A33" i="2"/>
  <c r="K33" i="2" s="1"/>
  <c r="I32" i="2"/>
  <c r="S32" i="2" s="1"/>
  <c r="A32" i="2"/>
  <c r="K32" i="2" s="1"/>
  <c r="I31" i="2"/>
  <c r="S31" i="2" s="1"/>
  <c r="A31" i="2"/>
  <c r="L31" i="2" s="1"/>
  <c r="I30" i="2"/>
  <c r="S30" i="2" s="1"/>
  <c r="A30" i="2"/>
  <c r="L30" i="2" s="1"/>
  <c r="I29" i="2"/>
  <c r="S29" i="2" s="1"/>
  <c r="A29" i="2"/>
  <c r="K29" i="2" s="1"/>
  <c r="I28" i="2"/>
  <c r="S28" i="2" s="1"/>
  <c r="A28" i="2"/>
  <c r="L28" i="2" s="1"/>
  <c r="I27" i="2"/>
  <c r="S27" i="2" s="1"/>
  <c r="A27" i="2"/>
  <c r="K27" i="2" s="1"/>
  <c r="I26" i="2"/>
  <c r="S26" i="2" s="1"/>
  <c r="A26" i="2"/>
  <c r="L26" i="2" s="1"/>
  <c r="I25" i="2"/>
  <c r="S25" i="2" s="1"/>
  <c r="A25" i="2"/>
  <c r="K25" i="2" s="1"/>
  <c r="I24" i="2"/>
  <c r="S24" i="2" s="1"/>
  <c r="A24" i="2"/>
  <c r="K24" i="2" s="1"/>
  <c r="I23" i="2"/>
  <c r="S23" i="2" s="1"/>
  <c r="A23" i="2"/>
  <c r="L23" i="2" s="1"/>
  <c r="I22" i="2"/>
  <c r="S22" i="2" s="1"/>
  <c r="A22" i="2"/>
  <c r="L22" i="2" s="1"/>
  <c r="I21" i="2"/>
  <c r="S21" i="2" s="1"/>
  <c r="A21" i="2"/>
  <c r="K21" i="2" s="1"/>
  <c r="I20" i="2"/>
  <c r="S20" i="2" s="1"/>
  <c r="A20" i="2"/>
  <c r="L20" i="2" s="1"/>
  <c r="I19" i="2"/>
  <c r="S19" i="2" s="1"/>
  <c r="A19" i="2"/>
  <c r="K19" i="2" s="1"/>
  <c r="I18" i="2"/>
  <c r="S18" i="2" s="1"/>
  <c r="A18" i="2"/>
  <c r="K18" i="2" s="1"/>
  <c r="I17" i="2"/>
  <c r="S17" i="2" s="1"/>
  <c r="A17" i="2"/>
  <c r="K17" i="2" s="1"/>
  <c r="I16" i="2"/>
  <c r="S16" i="2" s="1"/>
  <c r="A16" i="2"/>
  <c r="K16" i="2" s="1"/>
  <c r="I15" i="2"/>
  <c r="S15" i="2" s="1"/>
  <c r="A15" i="2"/>
  <c r="L15" i="2" s="1"/>
  <c r="I14" i="2"/>
  <c r="S14" i="2" s="1"/>
  <c r="A14" i="2"/>
  <c r="L14" i="2" s="1"/>
  <c r="I13" i="2"/>
  <c r="S13" i="2" s="1"/>
  <c r="A13" i="2"/>
  <c r="L13" i="2" s="1"/>
  <c r="I12" i="2"/>
  <c r="S12" i="2" s="1"/>
  <c r="A12" i="2"/>
  <c r="L12" i="2" s="1"/>
  <c r="I11" i="2"/>
  <c r="S11" i="2" s="1"/>
  <c r="A11" i="2"/>
  <c r="K11" i="2" s="1"/>
  <c r="I10" i="2"/>
  <c r="S10" i="2" s="1"/>
  <c r="A10" i="2"/>
  <c r="K10" i="2" s="1"/>
  <c r="I9" i="2"/>
  <c r="S9" i="2" s="1"/>
  <c r="A9" i="2"/>
  <c r="I8" i="2"/>
  <c r="S8" i="2" s="1"/>
  <c r="A8" i="2"/>
  <c r="K8" i="2" s="1"/>
  <c r="I7" i="2"/>
  <c r="S7" i="2" s="1"/>
  <c r="A7" i="2"/>
  <c r="G18" i="3" s="1"/>
  <c r="R4" i="2"/>
  <c r="O4" i="2"/>
  <c r="L4" i="2"/>
  <c r="H4" i="2"/>
  <c r="D4" i="2"/>
  <c r="A4" i="2"/>
  <c r="R4" i="1"/>
  <c r="O4" i="1"/>
  <c r="L4" i="1"/>
  <c r="H4" i="1"/>
  <c r="D4" i="1"/>
  <c r="A4" i="1"/>
  <c r="L59" i="6" l="1"/>
  <c r="L67" i="6"/>
  <c r="L75" i="6"/>
  <c r="L83" i="6"/>
  <c r="L91" i="6"/>
  <c r="L96" i="6"/>
  <c r="M103" i="6"/>
  <c r="M105" i="6"/>
  <c r="M107" i="6"/>
  <c r="M115" i="6"/>
  <c r="K122" i="6"/>
  <c r="L122" i="6"/>
  <c r="K178" i="6"/>
  <c r="J178" i="6"/>
  <c r="M178" i="6"/>
  <c r="L178" i="6"/>
  <c r="L35" i="6"/>
  <c r="J18" i="6"/>
  <c r="M19" i="6"/>
  <c r="L24" i="6"/>
  <c r="J26" i="6"/>
  <c r="M27" i="6"/>
  <c r="L32" i="6"/>
  <c r="J34" i="6"/>
  <c r="M35" i="6"/>
  <c r="L40" i="6"/>
  <c r="J42" i="6"/>
  <c r="M43" i="6"/>
  <c r="L48" i="6"/>
  <c r="J50" i="6"/>
  <c r="M51" i="6"/>
  <c r="L56" i="6"/>
  <c r="J58" i="6"/>
  <c r="M59" i="6"/>
  <c r="L64" i="6"/>
  <c r="J66" i="6"/>
  <c r="M67" i="6"/>
  <c r="L72" i="6"/>
  <c r="J74" i="6"/>
  <c r="M75" i="6"/>
  <c r="L80" i="6"/>
  <c r="J82" i="6"/>
  <c r="M83" i="6"/>
  <c r="L88" i="6"/>
  <c r="J90" i="6"/>
  <c r="M91" i="6"/>
  <c r="M98" i="6"/>
  <c r="J102" i="6"/>
  <c r="M109" i="6"/>
  <c r="M111" i="6"/>
  <c r="J122" i="6"/>
  <c r="K170" i="6"/>
  <c r="J170" i="6"/>
  <c r="M170" i="6"/>
  <c r="L170" i="6"/>
  <c r="M14" i="6"/>
  <c r="K26" i="6"/>
  <c r="K42" i="6"/>
  <c r="K58" i="6"/>
  <c r="K66" i="6"/>
  <c r="K74" i="6"/>
  <c r="K82" i="6"/>
  <c r="K90" i="6"/>
  <c r="K95" i="6"/>
  <c r="K102" i="6"/>
  <c r="K114" i="6"/>
  <c r="L114" i="6"/>
  <c r="J118" i="6"/>
  <c r="M122" i="6"/>
  <c r="K162" i="6"/>
  <c r="J162" i="6"/>
  <c r="M162" i="6"/>
  <c r="L162" i="6"/>
  <c r="L19" i="6"/>
  <c r="L51" i="6"/>
  <c r="J15" i="6"/>
  <c r="K18" i="6"/>
  <c r="K34" i="6"/>
  <c r="K50" i="6"/>
  <c r="L18" i="6"/>
  <c r="J20" i="6"/>
  <c r="L26" i="6"/>
  <c r="J28" i="6"/>
  <c r="L34" i="6"/>
  <c r="J36" i="6"/>
  <c r="L42" i="6"/>
  <c r="J44" i="6"/>
  <c r="L50" i="6"/>
  <c r="J52" i="6"/>
  <c r="L58" i="6"/>
  <c r="J60" i="6"/>
  <c r="L66" i="6"/>
  <c r="J68" i="6"/>
  <c r="K71" i="6"/>
  <c r="L74" i="6"/>
  <c r="J76" i="6"/>
  <c r="L82" i="6"/>
  <c r="J84" i="6"/>
  <c r="L90" i="6"/>
  <c r="J92" i="6"/>
  <c r="L95" i="6"/>
  <c r="J99" i="6"/>
  <c r="L102" i="6"/>
  <c r="L106" i="6"/>
  <c r="J110" i="6"/>
  <c r="J114" i="6"/>
  <c r="K154" i="6"/>
  <c r="J154" i="6"/>
  <c r="M154" i="6"/>
  <c r="L154" i="6"/>
  <c r="K28" i="6"/>
  <c r="K36" i="6"/>
  <c r="K44" i="6"/>
  <c r="K52" i="6"/>
  <c r="K60" i="6"/>
  <c r="K68" i="6"/>
  <c r="K76" i="6"/>
  <c r="K84" i="6"/>
  <c r="K92" i="6"/>
  <c r="K130" i="6"/>
  <c r="J130" i="6"/>
  <c r="M130" i="6"/>
  <c r="L130" i="6"/>
  <c r="K138" i="6"/>
  <c r="J138" i="6"/>
  <c r="M138" i="6"/>
  <c r="L138" i="6"/>
  <c r="K146" i="6"/>
  <c r="J146" i="6"/>
  <c r="M146" i="6"/>
  <c r="L146" i="6"/>
  <c r="K210" i="6"/>
  <c r="J210" i="6"/>
  <c r="M210" i="6"/>
  <c r="L210" i="6"/>
  <c r="J119" i="6"/>
  <c r="K119" i="6"/>
  <c r="M131" i="6"/>
  <c r="K131" i="6"/>
  <c r="J131" i="6"/>
  <c r="K202" i="6"/>
  <c r="J202" i="6"/>
  <c r="M202" i="6"/>
  <c r="L202" i="6"/>
  <c r="J19" i="6"/>
  <c r="K22" i="6"/>
  <c r="J35" i="6"/>
  <c r="K38" i="6"/>
  <c r="J43" i="6"/>
  <c r="K46" i="6"/>
  <c r="J51" i="6"/>
  <c r="K54" i="6"/>
  <c r="J59" i="6"/>
  <c r="K62" i="6"/>
  <c r="J67" i="6"/>
  <c r="K70" i="6"/>
  <c r="J75" i="6"/>
  <c r="K78" i="6"/>
  <c r="J83" i="6"/>
  <c r="K86" i="6"/>
  <c r="J91" i="6"/>
  <c r="K94" i="6"/>
  <c r="J96" i="6"/>
  <c r="K101" i="6"/>
  <c r="K103" i="6"/>
  <c r="J105" i="6"/>
  <c r="K107" i="6"/>
  <c r="K115" i="6"/>
  <c r="L117" i="6"/>
  <c r="M117" i="6"/>
  <c r="L119" i="6"/>
  <c r="M123" i="6"/>
  <c r="L131" i="6"/>
  <c r="K194" i="6"/>
  <c r="J194" i="6"/>
  <c r="M194" i="6"/>
  <c r="L194" i="6"/>
  <c r="J14" i="6"/>
  <c r="K14" i="6"/>
  <c r="J27" i="6"/>
  <c r="K30" i="6"/>
  <c r="K96" i="6"/>
  <c r="J98" i="6"/>
  <c r="M101" i="6"/>
  <c r="L103" i="6"/>
  <c r="K105" i="6"/>
  <c r="L107" i="6"/>
  <c r="J109" i="6"/>
  <c r="K111" i="6"/>
  <c r="L115" i="6"/>
  <c r="J117" i="6"/>
  <c r="M119" i="6"/>
  <c r="K186" i="6"/>
  <c r="J186" i="6"/>
  <c r="M186" i="6"/>
  <c r="L186" i="6"/>
  <c r="M125" i="6"/>
  <c r="K127" i="6"/>
  <c r="M133" i="6"/>
  <c r="K135" i="6"/>
  <c r="M141" i="6"/>
  <c r="K143" i="6"/>
  <c r="M149" i="6"/>
  <c r="K151" i="6"/>
  <c r="M157" i="6"/>
  <c r="K159" i="6"/>
  <c r="M165" i="6"/>
  <c r="K167" i="6"/>
  <c r="M173" i="6"/>
  <c r="K175" i="6"/>
  <c r="M181" i="6"/>
  <c r="K183" i="6"/>
  <c r="M189" i="6"/>
  <c r="K191" i="6"/>
  <c r="M197" i="6"/>
  <c r="K199" i="6"/>
  <c r="M205" i="6"/>
  <c r="K207" i="6"/>
  <c r="M213" i="6"/>
  <c r="K215" i="6"/>
  <c r="L218" i="6"/>
  <c r="M221" i="6"/>
  <c r="K223" i="6"/>
  <c r="M229" i="6"/>
  <c r="K231" i="6"/>
  <c r="L248" i="6"/>
  <c r="K248" i="6"/>
  <c r="L252" i="6"/>
  <c r="L264" i="6"/>
  <c r="K264" i="6"/>
  <c r="L268" i="6"/>
  <c r="M293" i="6"/>
  <c r="K293" i="6"/>
  <c r="J293" i="6"/>
  <c r="M309" i="6"/>
  <c r="L309" i="6"/>
  <c r="K309" i="6"/>
  <c r="J309" i="6"/>
  <c r="M328" i="6"/>
  <c r="L328" i="6"/>
  <c r="K328" i="6"/>
  <c r="M376" i="6"/>
  <c r="L376" i="6"/>
  <c r="K376" i="6"/>
  <c r="J376" i="6"/>
  <c r="M387" i="6"/>
  <c r="L387" i="6"/>
  <c r="K387" i="6"/>
  <c r="M459" i="6"/>
  <c r="L459" i="6"/>
  <c r="K459" i="6"/>
  <c r="J459" i="6"/>
  <c r="L596" i="6"/>
  <c r="K596" i="6"/>
  <c r="J596" i="6"/>
  <c r="M596" i="6"/>
  <c r="M891" i="6"/>
  <c r="L891" i="6"/>
  <c r="K891" i="6"/>
  <c r="J891" i="6"/>
  <c r="M955" i="6"/>
  <c r="L955" i="6"/>
  <c r="K955" i="6"/>
  <c r="J955" i="6"/>
  <c r="M979" i="6"/>
  <c r="L979" i="6"/>
  <c r="K979" i="6"/>
  <c r="J979" i="6"/>
  <c r="L127" i="6"/>
  <c r="L135" i="6"/>
  <c r="L143" i="6"/>
  <c r="L151" i="6"/>
  <c r="L159" i="6"/>
  <c r="L167" i="6"/>
  <c r="L175" i="6"/>
  <c r="L183" i="6"/>
  <c r="L191" i="6"/>
  <c r="L199" i="6"/>
  <c r="L207" i="6"/>
  <c r="L215" i="6"/>
  <c r="M218" i="6"/>
  <c r="L223" i="6"/>
  <c r="L231" i="6"/>
  <c r="L280" i="6"/>
  <c r="K280" i="6"/>
  <c r="M291" i="6"/>
  <c r="L291" i="6"/>
  <c r="M307" i="6"/>
  <c r="L307" i="6"/>
  <c r="M368" i="6"/>
  <c r="L368" i="6"/>
  <c r="K368" i="6"/>
  <c r="J368" i="6"/>
  <c r="M379" i="6"/>
  <c r="L379" i="6"/>
  <c r="K379" i="6"/>
  <c r="M435" i="6"/>
  <c r="L435" i="6"/>
  <c r="K435" i="6"/>
  <c r="J435" i="6"/>
  <c r="M499" i="6"/>
  <c r="L499" i="6"/>
  <c r="K499" i="6"/>
  <c r="J499" i="6"/>
  <c r="M253" i="6"/>
  <c r="K253" i="6"/>
  <c r="J253" i="6"/>
  <c r="M269" i="6"/>
  <c r="K269" i="6"/>
  <c r="J269" i="6"/>
  <c r="J280" i="6"/>
  <c r="J291" i="6"/>
  <c r="J307" i="6"/>
  <c r="M312" i="6"/>
  <c r="L312" i="6"/>
  <c r="K312" i="6"/>
  <c r="M331" i="6"/>
  <c r="L331" i="6"/>
  <c r="M336" i="6"/>
  <c r="L336" i="6"/>
  <c r="K336" i="6"/>
  <c r="J336" i="6"/>
  <c r="M344" i="6"/>
  <c r="L344" i="6"/>
  <c r="K344" i="6"/>
  <c r="J344" i="6"/>
  <c r="M352" i="6"/>
  <c r="L352" i="6"/>
  <c r="K352" i="6"/>
  <c r="J352" i="6"/>
  <c r="M360" i="6"/>
  <c r="L360" i="6"/>
  <c r="K360" i="6"/>
  <c r="J360" i="6"/>
  <c r="M371" i="6"/>
  <c r="L371" i="6"/>
  <c r="K371" i="6"/>
  <c r="J379" i="6"/>
  <c r="M424" i="6"/>
  <c r="L424" i="6"/>
  <c r="K424" i="6"/>
  <c r="J424" i="6"/>
  <c r="M475" i="6"/>
  <c r="L475" i="6"/>
  <c r="K475" i="6"/>
  <c r="J475" i="6"/>
  <c r="M515" i="6"/>
  <c r="L515" i="6"/>
  <c r="K515" i="6"/>
  <c r="J515" i="6"/>
  <c r="M531" i="6"/>
  <c r="L531" i="6"/>
  <c r="K531" i="6"/>
  <c r="J531" i="6"/>
  <c r="K126" i="6"/>
  <c r="K134" i="6"/>
  <c r="J139" i="6"/>
  <c r="K142" i="6"/>
  <c r="J147" i="6"/>
  <c r="K150" i="6"/>
  <c r="L153" i="6"/>
  <c r="J155" i="6"/>
  <c r="K158" i="6"/>
  <c r="L161" i="6"/>
  <c r="J163" i="6"/>
  <c r="K166" i="6"/>
  <c r="L169" i="6"/>
  <c r="J171" i="6"/>
  <c r="K174" i="6"/>
  <c r="L177" i="6"/>
  <c r="J179" i="6"/>
  <c r="K182" i="6"/>
  <c r="L185" i="6"/>
  <c r="J187" i="6"/>
  <c r="K190" i="6"/>
  <c r="L193" i="6"/>
  <c r="J195" i="6"/>
  <c r="K198" i="6"/>
  <c r="L201" i="6"/>
  <c r="J203" i="6"/>
  <c r="K206" i="6"/>
  <c r="L209" i="6"/>
  <c r="J211" i="6"/>
  <c r="K214" i="6"/>
  <c r="L217" i="6"/>
  <c r="J219" i="6"/>
  <c r="K222" i="6"/>
  <c r="L225" i="6"/>
  <c r="J227" i="6"/>
  <c r="K230" i="6"/>
  <c r="L233" i="6"/>
  <c r="J235" i="6"/>
  <c r="K238" i="6"/>
  <c r="K244" i="6"/>
  <c r="L246" i="6"/>
  <c r="M251" i="6"/>
  <c r="L251" i="6"/>
  <c r="L253" i="6"/>
  <c r="K260" i="6"/>
  <c r="L262" i="6"/>
  <c r="M267" i="6"/>
  <c r="L267" i="6"/>
  <c r="L269" i="6"/>
  <c r="K276" i="6"/>
  <c r="L278" i="6"/>
  <c r="M280" i="6"/>
  <c r="M285" i="6"/>
  <c r="K285" i="6"/>
  <c r="J285" i="6"/>
  <c r="K291" i="6"/>
  <c r="J294" i="6"/>
  <c r="L296" i="6"/>
  <c r="K296" i="6"/>
  <c r="K307" i="6"/>
  <c r="J312" i="6"/>
  <c r="M317" i="6"/>
  <c r="L317" i="6"/>
  <c r="K317" i="6"/>
  <c r="J317" i="6"/>
  <c r="J331" i="6"/>
  <c r="M339" i="6"/>
  <c r="L339" i="6"/>
  <c r="K339" i="6"/>
  <c r="M347" i="6"/>
  <c r="L347" i="6"/>
  <c r="K347" i="6"/>
  <c r="M355" i="6"/>
  <c r="L355" i="6"/>
  <c r="K355" i="6"/>
  <c r="M363" i="6"/>
  <c r="L363" i="6"/>
  <c r="K363" i="6"/>
  <c r="J371" i="6"/>
  <c r="M416" i="6"/>
  <c r="L416" i="6"/>
  <c r="K416" i="6"/>
  <c r="J416" i="6"/>
  <c r="M427" i="6"/>
  <c r="L427" i="6"/>
  <c r="K427" i="6"/>
  <c r="M451" i="6"/>
  <c r="L451" i="6"/>
  <c r="K451" i="6"/>
  <c r="J451" i="6"/>
  <c r="K139" i="6"/>
  <c r="K147" i="6"/>
  <c r="K155" i="6"/>
  <c r="K163" i="6"/>
  <c r="K171" i="6"/>
  <c r="K179" i="6"/>
  <c r="K187" i="6"/>
  <c r="K195" i="6"/>
  <c r="K203" i="6"/>
  <c r="K211" i="6"/>
  <c r="K219" i="6"/>
  <c r="L222" i="6"/>
  <c r="K227" i="6"/>
  <c r="L230" i="6"/>
  <c r="K235" i="6"/>
  <c r="L238" i="6"/>
  <c r="L242" i="6"/>
  <c r="J242" i="6"/>
  <c r="L244" i="6"/>
  <c r="L256" i="6"/>
  <c r="K256" i="6"/>
  <c r="L260" i="6"/>
  <c r="J267" i="6"/>
  <c r="L272" i="6"/>
  <c r="K272" i="6"/>
  <c r="L276" i="6"/>
  <c r="M283" i="6"/>
  <c r="L283" i="6"/>
  <c r="L285" i="6"/>
  <c r="K294" i="6"/>
  <c r="J296" i="6"/>
  <c r="M315" i="6"/>
  <c r="L315" i="6"/>
  <c r="K331" i="6"/>
  <c r="J339" i="6"/>
  <c r="J347" i="6"/>
  <c r="J355" i="6"/>
  <c r="M408" i="6"/>
  <c r="L408" i="6"/>
  <c r="K408" i="6"/>
  <c r="J408" i="6"/>
  <c r="M419" i="6"/>
  <c r="L419" i="6"/>
  <c r="K419" i="6"/>
  <c r="M491" i="6"/>
  <c r="L491" i="6"/>
  <c r="K491" i="6"/>
  <c r="J491" i="6"/>
  <c r="L632" i="6"/>
  <c r="K632" i="6"/>
  <c r="M632" i="6"/>
  <c r="J632" i="6"/>
  <c r="L660" i="6"/>
  <c r="K660" i="6"/>
  <c r="J660" i="6"/>
  <c r="M660" i="6"/>
  <c r="L219" i="6"/>
  <c r="J221" i="6"/>
  <c r="K224" i="6"/>
  <c r="L227" i="6"/>
  <c r="J229" i="6"/>
  <c r="K232" i="6"/>
  <c r="L235" i="6"/>
  <c r="J237" i="6"/>
  <c r="K240" i="6"/>
  <c r="K242" i="6"/>
  <c r="M244" i="6"/>
  <c r="K251" i="6"/>
  <c r="J254" i="6"/>
  <c r="J256" i="6"/>
  <c r="M260" i="6"/>
  <c r="K267" i="6"/>
  <c r="J270" i="6"/>
  <c r="J272" i="6"/>
  <c r="M276" i="6"/>
  <c r="J283" i="6"/>
  <c r="K292" i="6"/>
  <c r="L294" i="6"/>
  <c r="M296" i="6"/>
  <c r="M301" i="6"/>
  <c r="L301" i="6"/>
  <c r="K301" i="6"/>
  <c r="J301" i="6"/>
  <c r="J315" i="6"/>
  <c r="M320" i="6"/>
  <c r="L320" i="6"/>
  <c r="K320" i="6"/>
  <c r="M400" i="6"/>
  <c r="L400" i="6"/>
  <c r="K400" i="6"/>
  <c r="J400" i="6"/>
  <c r="M411" i="6"/>
  <c r="L411" i="6"/>
  <c r="K411" i="6"/>
  <c r="J419" i="6"/>
  <c r="M467" i="6"/>
  <c r="L467" i="6"/>
  <c r="K467" i="6"/>
  <c r="J467" i="6"/>
  <c r="J218" i="6"/>
  <c r="M245" i="6"/>
  <c r="K245" i="6"/>
  <c r="J245" i="6"/>
  <c r="M261" i="6"/>
  <c r="K261" i="6"/>
  <c r="J261" i="6"/>
  <c r="M277" i="6"/>
  <c r="K277" i="6"/>
  <c r="J277" i="6"/>
  <c r="L288" i="6"/>
  <c r="K288" i="6"/>
  <c r="M299" i="6"/>
  <c r="L299" i="6"/>
  <c r="M325" i="6"/>
  <c r="L325" i="6"/>
  <c r="K325" i="6"/>
  <c r="J325" i="6"/>
  <c r="M392" i="6"/>
  <c r="L392" i="6"/>
  <c r="K392" i="6"/>
  <c r="J392" i="6"/>
  <c r="M403" i="6"/>
  <c r="L403" i="6"/>
  <c r="K403" i="6"/>
  <c r="M443" i="6"/>
  <c r="L443" i="6"/>
  <c r="K443" i="6"/>
  <c r="J443" i="6"/>
  <c r="M507" i="6"/>
  <c r="L507" i="6"/>
  <c r="K507" i="6"/>
  <c r="J507" i="6"/>
  <c r="M523" i="6"/>
  <c r="L523" i="6"/>
  <c r="K523" i="6"/>
  <c r="J523" i="6"/>
  <c r="M539" i="6"/>
  <c r="L539" i="6"/>
  <c r="K539" i="6"/>
  <c r="J539" i="6"/>
  <c r="M243" i="6"/>
  <c r="L243" i="6"/>
  <c r="L245" i="6"/>
  <c r="K252" i="6"/>
  <c r="L254" i="6"/>
  <c r="M259" i="6"/>
  <c r="L259" i="6"/>
  <c r="L261" i="6"/>
  <c r="K268" i="6"/>
  <c r="L270" i="6"/>
  <c r="M275" i="6"/>
  <c r="L275" i="6"/>
  <c r="L277" i="6"/>
  <c r="J288" i="6"/>
  <c r="M292" i="6"/>
  <c r="J299" i="6"/>
  <c r="J302" i="6"/>
  <c r="M304" i="6"/>
  <c r="L304" i="6"/>
  <c r="K304" i="6"/>
  <c r="M323" i="6"/>
  <c r="L323" i="6"/>
  <c r="M384" i="6"/>
  <c r="L384" i="6"/>
  <c r="K384" i="6"/>
  <c r="J384" i="6"/>
  <c r="M395" i="6"/>
  <c r="L395" i="6"/>
  <c r="K395" i="6"/>
  <c r="J403" i="6"/>
  <c r="M483" i="6"/>
  <c r="L483" i="6"/>
  <c r="K483" i="6"/>
  <c r="J483" i="6"/>
  <c r="M645" i="6"/>
  <c r="K645" i="6"/>
  <c r="J645" i="6"/>
  <c r="L645" i="6"/>
  <c r="M436" i="6"/>
  <c r="K438" i="6"/>
  <c r="M444" i="6"/>
  <c r="K446" i="6"/>
  <c r="M452" i="6"/>
  <c r="K454" i="6"/>
  <c r="M460" i="6"/>
  <c r="K462" i="6"/>
  <c r="M468" i="6"/>
  <c r="K470" i="6"/>
  <c r="M476" i="6"/>
  <c r="K478" i="6"/>
  <c r="M484" i="6"/>
  <c r="K486" i="6"/>
  <c r="M492" i="6"/>
  <c r="K494" i="6"/>
  <c r="M500" i="6"/>
  <c r="K502" i="6"/>
  <c r="M508" i="6"/>
  <c r="K510" i="6"/>
  <c r="M516" i="6"/>
  <c r="K518" i="6"/>
  <c r="M524" i="6"/>
  <c r="K526" i="6"/>
  <c r="M532" i="6"/>
  <c r="K534" i="6"/>
  <c r="M540" i="6"/>
  <c r="K542" i="6"/>
  <c r="M545" i="6"/>
  <c r="L549" i="6"/>
  <c r="K565" i="6"/>
  <c r="J565" i="6"/>
  <c r="L572" i="6"/>
  <c r="K572" i="6"/>
  <c r="M589" i="6"/>
  <c r="K589" i="6"/>
  <c r="J589" i="6"/>
  <c r="L604" i="6"/>
  <c r="K604" i="6"/>
  <c r="J604" i="6"/>
  <c r="L640" i="6"/>
  <c r="K640" i="6"/>
  <c r="M653" i="6"/>
  <c r="K653" i="6"/>
  <c r="J653" i="6"/>
  <c r="L668" i="6"/>
  <c r="K668" i="6"/>
  <c r="J668" i="6"/>
  <c r="L719" i="6"/>
  <c r="K719" i="6"/>
  <c r="M719" i="6"/>
  <c r="J719" i="6"/>
  <c r="M773" i="6"/>
  <c r="K773" i="6"/>
  <c r="J773" i="6"/>
  <c r="L773" i="6"/>
  <c r="L430" i="6"/>
  <c r="J432" i="6"/>
  <c r="L438" i="6"/>
  <c r="J440" i="6"/>
  <c r="L446" i="6"/>
  <c r="J448" i="6"/>
  <c r="L454" i="6"/>
  <c r="J456" i="6"/>
  <c r="L462" i="6"/>
  <c r="J464" i="6"/>
  <c r="L470" i="6"/>
  <c r="J472" i="6"/>
  <c r="L478" i="6"/>
  <c r="J480" i="6"/>
  <c r="L486" i="6"/>
  <c r="J488" i="6"/>
  <c r="L494" i="6"/>
  <c r="J496" i="6"/>
  <c r="L502" i="6"/>
  <c r="J504" i="6"/>
  <c r="L510" i="6"/>
  <c r="J512" i="6"/>
  <c r="L518" i="6"/>
  <c r="J520" i="6"/>
  <c r="L526" i="6"/>
  <c r="J528" i="6"/>
  <c r="L534" i="6"/>
  <c r="J536" i="6"/>
  <c r="L542" i="6"/>
  <c r="J544" i="6"/>
  <c r="M549" i="6"/>
  <c r="J553" i="6"/>
  <c r="M555" i="6"/>
  <c r="L555" i="6"/>
  <c r="K557" i="6"/>
  <c r="J557" i="6"/>
  <c r="J561" i="6"/>
  <c r="L565" i="6"/>
  <c r="J572" i="6"/>
  <c r="K577" i="6"/>
  <c r="J577" i="6"/>
  <c r="L584" i="6"/>
  <c r="K584" i="6"/>
  <c r="L589" i="6"/>
  <c r="M597" i="6"/>
  <c r="K597" i="6"/>
  <c r="J597" i="6"/>
  <c r="M604" i="6"/>
  <c r="L612" i="6"/>
  <c r="K612" i="6"/>
  <c r="J612" i="6"/>
  <c r="J640" i="6"/>
  <c r="L648" i="6"/>
  <c r="K648" i="6"/>
  <c r="L653" i="6"/>
  <c r="M661" i="6"/>
  <c r="K661" i="6"/>
  <c r="J661" i="6"/>
  <c r="M668" i="6"/>
  <c r="L676" i="6"/>
  <c r="K676" i="6"/>
  <c r="J676" i="6"/>
  <c r="M749" i="6"/>
  <c r="K749" i="6"/>
  <c r="J749" i="6"/>
  <c r="L749" i="6"/>
  <c r="J333" i="6"/>
  <c r="J341" i="6"/>
  <c r="J349" i="6"/>
  <c r="J357" i="6"/>
  <c r="J365" i="6"/>
  <c r="J373" i="6"/>
  <c r="J381" i="6"/>
  <c r="J389" i="6"/>
  <c r="J397" i="6"/>
  <c r="J405" i="6"/>
  <c r="J413" i="6"/>
  <c r="J421" i="6"/>
  <c r="J429" i="6"/>
  <c r="K432" i="6"/>
  <c r="J437" i="6"/>
  <c r="K440" i="6"/>
  <c r="J445" i="6"/>
  <c r="K448" i="6"/>
  <c r="J453" i="6"/>
  <c r="K456" i="6"/>
  <c r="J461" i="6"/>
  <c r="K464" i="6"/>
  <c r="J469" i="6"/>
  <c r="K472" i="6"/>
  <c r="J477" i="6"/>
  <c r="K480" i="6"/>
  <c r="J485" i="6"/>
  <c r="K488" i="6"/>
  <c r="J493" i="6"/>
  <c r="K496" i="6"/>
  <c r="J501" i="6"/>
  <c r="K504" i="6"/>
  <c r="J509" i="6"/>
  <c r="K512" i="6"/>
  <c r="J517" i="6"/>
  <c r="K520" i="6"/>
  <c r="J525" i="6"/>
  <c r="K528" i="6"/>
  <c r="J533" i="6"/>
  <c r="K536" i="6"/>
  <c r="J541" i="6"/>
  <c r="K544" i="6"/>
  <c r="K546" i="6"/>
  <c r="J548" i="6"/>
  <c r="K553" i="6"/>
  <c r="J555" i="6"/>
  <c r="L557" i="6"/>
  <c r="K561" i="6"/>
  <c r="M565" i="6"/>
  <c r="M572" i="6"/>
  <c r="L577" i="6"/>
  <c r="J584" i="6"/>
  <c r="L592" i="6"/>
  <c r="K592" i="6"/>
  <c r="L597" i="6"/>
  <c r="M605" i="6"/>
  <c r="K605" i="6"/>
  <c r="J605" i="6"/>
  <c r="M612" i="6"/>
  <c r="L620" i="6"/>
  <c r="K620" i="6"/>
  <c r="J620" i="6"/>
  <c r="M640" i="6"/>
  <c r="J648" i="6"/>
  <c r="L656" i="6"/>
  <c r="K656" i="6"/>
  <c r="L661" i="6"/>
  <c r="M669" i="6"/>
  <c r="K669" i="6"/>
  <c r="J669" i="6"/>
  <c r="M676" i="6"/>
  <c r="L684" i="6"/>
  <c r="K684" i="6"/>
  <c r="J684" i="6"/>
  <c r="J250" i="6"/>
  <c r="J258" i="6"/>
  <c r="J266" i="6"/>
  <c r="J274" i="6"/>
  <c r="J282" i="6"/>
  <c r="J290" i="6"/>
  <c r="J298" i="6"/>
  <c r="J306" i="6"/>
  <c r="J314" i="6"/>
  <c r="J322" i="6"/>
  <c r="J330" i="6"/>
  <c r="K333" i="6"/>
  <c r="J338" i="6"/>
  <c r="K341" i="6"/>
  <c r="J346" i="6"/>
  <c r="K349" i="6"/>
  <c r="J354" i="6"/>
  <c r="K357" i="6"/>
  <c r="J362" i="6"/>
  <c r="K365" i="6"/>
  <c r="J370" i="6"/>
  <c r="K373" i="6"/>
  <c r="J378" i="6"/>
  <c r="K381" i="6"/>
  <c r="J386" i="6"/>
  <c r="K389" i="6"/>
  <c r="J394" i="6"/>
  <c r="K397" i="6"/>
  <c r="J402" i="6"/>
  <c r="K405" i="6"/>
  <c r="J410" i="6"/>
  <c r="K413" i="6"/>
  <c r="J418" i="6"/>
  <c r="K421" i="6"/>
  <c r="J426" i="6"/>
  <c r="K429" i="6"/>
  <c r="L432" i="6"/>
  <c r="J434" i="6"/>
  <c r="K437" i="6"/>
  <c r="K445" i="6"/>
  <c r="K453" i="6"/>
  <c r="K461" i="6"/>
  <c r="K469" i="6"/>
  <c r="K477" i="6"/>
  <c r="K485" i="6"/>
  <c r="K493" i="6"/>
  <c r="K501" i="6"/>
  <c r="K509" i="6"/>
  <c r="L512" i="6"/>
  <c r="K517" i="6"/>
  <c r="L520" i="6"/>
  <c r="K525" i="6"/>
  <c r="L528" i="6"/>
  <c r="K533" i="6"/>
  <c r="L536" i="6"/>
  <c r="K541" i="6"/>
  <c r="M544" i="6"/>
  <c r="L546" i="6"/>
  <c r="K548" i="6"/>
  <c r="L553" i="6"/>
  <c r="K555" i="6"/>
  <c r="L561" i="6"/>
  <c r="L568" i="6"/>
  <c r="K568" i="6"/>
  <c r="K573" i="6"/>
  <c r="J573" i="6"/>
  <c r="L580" i="6"/>
  <c r="K580" i="6"/>
  <c r="L600" i="6"/>
  <c r="K600" i="6"/>
  <c r="M613" i="6"/>
  <c r="K613" i="6"/>
  <c r="J613" i="6"/>
  <c r="L628" i="6"/>
  <c r="K628" i="6"/>
  <c r="J628" i="6"/>
  <c r="L664" i="6"/>
  <c r="K664" i="6"/>
  <c r="M677" i="6"/>
  <c r="K677" i="6"/>
  <c r="J677" i="6"/>
  <c r="J692" i="6"/>
  <c r="M692" i="6"/>
  <c r="L692" i="6"/>
  <c r="K692" i="6"/>
  <c r="M709" i="6"/>
  <c r="J709" i="6"/>
  <c r="L709" i="6"/>
  <c r="K709" i="6"/>
  <c r="L731" i="6"/>
  <c r="M731" i="6"/>
  <c r="K731" i="6"/>
  <c r="J731" i="6"/>
  <c r="M765" i="6"/>
  <c r="K765" i="6"/>
  <c r="J765" i="6"/>
  <c r="L765" i="6"/>
  <c r="L333" i="6"/>
  <c r="L341" i="6"/>
  <c r="L349" i="6"/>
  <c r="L357" i="6"/>
  <c r="L365" i="6"/>
  <c r="L373" i="6"/>
  <c r="L381" i="6"/>
  <c r="L389" i="6"/>
  <c r="L397" i="6"/>
  <c r="L405" i="6"/>
  <c r="L413" i="6"/>
  <c r="L421" i="6"/>
  <c r="L429" i="6"/>
  <c r="L437" i="6"/>
  <c r="L445" i="6"/>
  <c r="L453" i="6"/>
  <c r="L461" i="6"/>
  <c r="L469" i="6"/>
  <c r="L477" i="6"/>
  <c r="L485" i="6"/>
  <c r="L493" i="6"/>
  <c r="L501" i="6"/>
  <c r="L509" i="6"/>
  <c r="L517" i="6"/>
  <c r="L525" i="6"/>
  <c r="L533" i="6"/>
  <c r="L541" i="6"/>
  <c r="M546" i="6"/>
  <c r="J568" i="6"/>
  <c r="L573" i="6"/>
  <c r="J580" i="6"/>
  <c r="J600" i="6"/>
  <c r="L608" i="6"/>
  <c r="K608" i="6"/>
  <c r="L613" i="6"/>
  <c r="M621" i="6"/>
  <c r="K621" i="6"/>
  <c r="J621" i="6"/>
  <c r="M628" i="6"/>
  <c r="L636" i="6"/>
  <c r="K636" i="6"/>
  <c r="J636" i="6"/>
  <c r="J664" i="6"/>
  <c r="L672" i="6"/>
  <c r="K672" i="6"/>
  <c r="L677" i="6"/>
  <c r="M685" i="6"/>
  <c r="K685" i="6"/>
  <c r="J685" i="6"/>
  <c r="M693" i="6"/>
  <c r="L693" i="6"/>
  <c r="K693" i="6"/>
  <c r="M741" i="6"/>
  <c r="K741" i="6"/>
  <c r="J741" i="6"/>
  <c r="L741" i="6"/>
  <c r="J332" i="6"/>
  <c r="J340" i="6"/>
  <c r="J348" i="6"/>
  <c r="J356" i="6"/>
  <c r="J364" i="6"/>
  <c r="J372" i="6"/>
  <c r="J380" i="6"/>
  <c r="J388" i="6"/>
  <c r="J396" i="6"/>
  <c r="J404" i="6"/>
  <c r="J412" i="6"/>
  <c r="J420" i="6"/>
  <c r="J428" i="6"/>
  <c r="J436" i="6"/>
  <c r="J444" i="6"/>
  <c r="J452" i="6"/>
  <c r="J460" i="6"/>
  <c r="J468" i="6"/>
  <c r="J476" i="6"/>
  <c r="J484" i="6"/>
  <c r="J492" i="6"/>
  <c r="J500" i="6"/>
  <c r="J508" i="6"/>
  <c r="J516" i="6"/>
  <c r="J524" i="6"/>
  <c r="J532" i="6"/>
  <c r="J540" i="6"/>
  <c r="J545" i="6"/>
  <c r="J552" i="6"/>
  <c r="J558" i="6"/>
  <c r="L560" i="6"/>
  <c r="K560" i="6"/>
  <c r="J564" i="6"/>
  <c r="M568" i="6"/>
  <c r="M573" i="6"/>
  <c r="M580" i="6"/>
  <c r="M600" i="6"/>
  <c r="J608" i="6"/>
  <c r="L616" i="6"/>
  <c r="K616" i="6"/>
  <c r="L621" i="6"/>
  <c r="M629" i="6"/>
  <c r="K629" i="6"/>
  <c r="J629" i="6"/>
  <c r="M636" i="6"/>
  <c r="L644" i="6"/>
  <c r="K644" i="6"/>
  <c r="J644" i="6"/>
  <c r="M664" i="6"/>
  <c r="J672" i="6"/>
  <c r="L680" i="6"/>
  <c r="K680" i="6"/>
  <c r="L685" i="6"/>
  <c r="J693" i="6"/>
  <c r="K552" i="6"/>
  <c r="K569" i="6"/>
  <c r="J569" i="6"/>
  <c r="L576" i="6"/>
  <c r="K576" i="6"/>
  <c r="K581" i="6"/>
  <c r="J581" i="6"/>
  <c r="L588" i="6"/>
  <c r="K588" i="6"/>
  <c r="J588" i="6"/>
  <c r="M608" i="6"/>
  <c r="L624" i="6"/>
  <c r="K624" i="6"/>
  <c r="M637" i="6"/>
  <c r="K637" i="6"/>
  <c r="J637" i="6"/>
  <c r="L652" i="6"/>
  <c r="K652" i="6"/>
  <c r="J652" i="6"/>
  <c r="M672" i="6"/>
  <c r="L688" i="6"/>
  <c r="K688" i="6"/>
  <c r="L694" i="6"/>
  <c r="K694" i="6"/>
  <c r="J694" i="6"/>
  <c r="M757" i="6"/>
  <c r="K757" i="6"/>
  <c r="J757" i="6"/>
  <c r="L757" i="6"/>
  <c r="L727" i="6"/>
  <c r="K727" i="6"/>
  <c r="M813" i="6"/>
  <c r="L813" i="6"/>
  <c r="K813" i="6"/>
  <c r="J813" i="6"/>
  <c r="L563" i="6"/>
  <c r="M566" i="6"/>
  <c r="L571" i="6"/>
  <c r="M574" i="6"/>
  <c r="L579" i="6"/>
  <c r="M582" i="6"/>
  <c r="L587" i="6"/>
  <c r="M590" i="6"/>
  <c r="L595" i="6"/>
  <c r="M598" i="6"/>
  <c r="L603" i="6"/>
  <c r="M606" i="6"/>
  <c r="L611" i="6"/>
  <c r="M614" i="6"/>
  <c r="L619" i="6"/>
  <c r="M622" i="6"/>
  <c r="L627" i="6"/>
  <c r="M630" i="6"/>
  <c r="L635" i="6"/>
  <c r="M638" i="6"/>
  <c r="L643" i="6"/>
  <c r="M646" i="6"/>
  <c r="L651" i="6"/>
  <c r="M654" i="6"/>
  <c r="L659" i="6"/>
  <c r="M662" i="6"/>
  <c r="L667" i="6"/>
  <c r="M670" i="6"/>
  <c r="L675" i="6"/>
  <c r="M678" i="6"/>
  <c r="L683" i="6"/>
  <c r="M686" i="6"/>
  <c r="L691" i="6"/>
  <c r="J695" i="6"/>
  <c r="M700" i="6"/>
  <c r="L703" i="6"/>
  <c r="K703" i="6"/>
  <c r="J707" i="6"/>
  <c r="K716" i="6"/>
  <c r="J716" i="6"/>
  <c r="M720" i="6"/>
  <c r="M725" i="6"/>
  <c r="J725" i="6"/>
  <c r="J727" i="6"/>
  <c r="L695" i="6"/>
  <c r="M701" i="6"/>
  <c r="J701" i="6"/>
  <c r="J703" i="6"/>
  <c r="K707" i="6"/>
  <c r="J712" i="6"/>
  <c r="L716" i="6"/>
  <c r="K725" i="6"/>
  <c r="M727" i="6"/>
  <c r="M805" i="6"/>
  <c r="L805" i="6"/>
  <c r="K805" i="6"/>
  <c r="J805" i="6"/>
  <c r="K732" i="6"/>
  <c r="J732" i="6"/>
  <c r="J739" i="6"/>
  <c r="M739" i="6"/>
  <c r="L739" i="6"/>
  <c r="J747" i="6"/>
  <c r="M747" i="6"/>
  <c r="L747" i="6"/>
  <c r="J755" i="6"/>
  <c r="M755" i="6"/>
  <c r="L755" i="6"/>
  <c r="J763" i="6"/>
  <c r="M763" i="6"/>
  <c r="L763" i="6"/>
  <c r="J771" i="6"/>
  <c r="M771" i="6"/>
  <c r="L771" i="6"/>
  <c r="K708" i="6"/>
  <c r="J708" i="6"/>
  <c r="M717" i="6"/>
  <c r="J717" i="6"/>
  <c r="J728" i="6"/>
  <c r="L732" i="6"/>
  <c r="K739" i="6"/>
  <c r="K747" i="6"/>
  <c r="K755" i="6"/>
  <c r="K763" i="6"/>
  <c r="K771" i="6"/>
  <c r="M788" i="6"/>
  <c r="L788" i="6"/>
  <c r="K788" i="6"/>
  <c r="J788" i="6"/>
  <c r="M797" i="6"/>
  <c r="L797" i="6"/>
  <c r="K797" i="6"/>
  <c r="J797" i="6"/>
  <c r="M829" i="6"/>
  <c r="L829" i="6"/>
  <c r="K829" i="6"/>
  <c r="J829" i="6"/>
  <c r="J585" i="6"/>
  <c r="J593" i="6"/>
  <c r="J601" i="6"/>
  <c r="J609" i="6"/>
  <c r="J617" i="6"/>
  <c r="J625" i="6"/>
  <c r="J633" i="6"/>
  <c r="J641" i="6"/>
  <c r="J649" i="6"/>
  <c r="J657" i="6"/>
  <c r="J665" i="6"/>
  <c r="J673" i="6"/>
  <c r="J681" i="6"/>
  <c r="J689" i="6"/>
  <c r="J696" i="6"/>
  <c r="J704" i="6"/>
  <c r="L708" i="6"/>
  <c r="K717" i="6"/>
  <c r="L728" i="6"/>
  <c r="M732" i="6"/>
  <c r="M740" i="6"/>
  <c r="K740" i="6"/>
  <c r="J740" i="6"/>
  <c r="M748" i="6"/>
  <c r="K748" i="6"/>
  <c r="J748" i="6"/>
  <c r="M756" i="6"/>
  <c r="K756" i="6"/>
  <c r="J756" i="6"/>
  <c r="M764" i="6"/>
  <c r="K764" i="6"/>
  <c r="J764" i="6"/>
  <c r="M772" i="6"/>
  <c r="K772" i="6"/>
  <c r="J772" i="6"/>
  <c r="M780" i="6"/>
  <c r="L780" i="6"/>
  <c r="K780" i="6"/>
  <c r="J780" i="6"/>
  <c r="M789" i="6"/>
  <c r="K789" i="6"/>
  <c r="J789" i="6"/>
  <c r="L704" i="6"/>
  <c r="M708" i="6"/>
  <c r="L711" i="6"/>
  <c r="K711" i="6"/>
  <c r="J715" i="6"/>
  <c r="L717" i="6"/>
  <c r="K724" i="6"/>
  <c r="J724" i="6"/>
  <c r="M728" i="6"/>
  <c r="M733" i="6"/>
  <c r="J733" i="6"/>
  <c r="L740" i="6"/>
  <c r="L748" i="6"/>
  <c r="L756" i="6"/>
  <c r="L764" i="6"/>
  <c r="L772" i="6"/>
  <c r="M781" i="6"/>
  <c r="K781" i="6"/>
  <c r="J781" i="6"/>
  <c r="M821" i="6"/>
  <c r="L821" i="6"/>
  <c r="K821" i="6"/>
  <c r="J821" i="6"/>
  <c r="K736" i="6"/>
  <c r="K744" i="6"/>
  <c r="K752" i="6"/>
  <c r="K760" i="6"/>
  <c r="K768" i="6"/>
  <c r="K776" i="6"/>
  <c r="L779" i="6"/>
  <c r="K784" i="6"/>
  <c r="L787" i="6"/>
  <c r="K792" i="6"/>
  <c r="L795" i="6"/>
  <c r="K800" i="6"/>
  <c r="L803" i="6"/>
  <c r="K808" i="6"/>
  <c r="L811" i="6"/>
  <c r="K816" i="6"/>
  <c r="L819" i="6"/>
  <c r="K824" i="6"/>
  <c r="L827" i="6"/>
  <c r="L834" i="6"/>
  <c r="L836" i="6"/>
  <c r="M838" i="6"/>
  <c r="L842" i="6"/>
  <c r="L844" i="6"/>
  <c r="M846" i="6"/>
  <c r="L850" i="6"/>
  <c r="L852" i="6"/>
  <c r="M854" i="6"/>
  <c r="L858" i="6"/>
  <c r="L860" i="6"/>
  <c r="M862" i="6"/>
  <c r="M883" i="6"/>
  <c r="L883" i="6"/>
  <c r="K883" i="6"/>
  <c r="J883" i="6"/>
  <c r="M947" i="6"/>
  <c r="L947" i="6"/>
  <c r="K947" i="6"/>
  <c r="J947" i="6"/>
  <c r="M779" i="6"/>
  <c r="M787" i="6"/>
  <c r="M795" i="6"/>
  <c r="M803" i="6"/>
  <c r="M811" i="6"/>
  <c r="M819" i="6"/>
  <c r="M827" i="6"/>
  <c r="M834" i="6"/>
  <c r="M939" i="6"/>
  <c r="L939" i="6"/>
  <c r="K939" i="6"/>
  <c r="J939" i="6"/>
  <c r="M987" i="6"/>
  <c r="L987" i="6"/>
  <c r="K987" i="6"/>
  <c r="J987" i="6"/>
  <c r="M835" i="6"/>
  <c r="J835" i="6"/>
  <c r="M843" i="6"/>
  <c r="J843" i="6"/>
  <c r="M851" i="6"/>
  <c r="J851" i="6"/>
  <c r="M859" i="6"/>
  <c r="J859" i="6"/>
  <c r="M867" i="6"/>
  <c r="L867" i="6"/>
  <c r="J867" i="6"/>
  <c r="M875" i="6"/>
  <c r="L875" i="6"/>
  <c r="K875" i="6"/>
  <c r="J875" i="6"/>
  <c r="M931" i="6"/>
  <c r="L931" i="6"/>
  <c r="K931" i="6"/>
  <c r="J931" i="6"/>
  <c r="M995" i="6"/>
  <c r="L995" i="6"/>
  <c r="K995" i="6"/>
  <c r="J995" i="6"/>
  <c r="L706" i="6"/>
  <c r="L714" i="6"/>
  <c r="L722" i="6"/>
  <c r="L730" i="6"/>
  <c r="K735" i="6"/>
  <c r="L738" i="6"/>
  <c r="K743" i="6"/>
  <c r="L746" i="6"/>
  <c r="K751" i="6"/>
  <c r="L754" i="6"/>
  <c r="K759" i="6"/>
  <c r="L762" i="6"/>
  <c r="K767" i="6"/>
  <c r="L770" i="6"/>
  <c r="K775" i="6"/>
  <c r="L778" i="6"/>
  <c r="K783" i="6"/>
  <c r="L786" i="6"/>
  <c r="K791" i="6"/>
  <c r="L794" i="6"/>
  <c r="J796" i="6"/>
  <c r="K799" i="6"/>
  <c r="L802" i="6"/>
  <c r="J804" i="6"/>
  <c r="K807" i="6"/>
  <c r="L810" i="6"/>
  <c r="J812" i="6"/>
  <c r="K815" i="6"/>
  <c r="L818" i="6"/>
  <c r="J820" i="6"/>
  <c r="K823" i="6"/>
  <c r="L826" i="6"/>
  <c r="J828" i="6"/>
  <c r="K831" i="6"/>
  <c r="J833" i="6"/>
  <c r="K835" i="6"/>
  <c r="L837" i="6"/>
  <c r="J841" i="6"/>
  <c r="K843" i="6"/>
  <c r="L845" i="6"/>
  <c r="J849" i="6"/>
  <c r="K851" i="6"/>
  <c r="L853" i="6"/>
  <c r="J857" i="6"/>
  <c r="K859" i="6"/>
  <c r="L861" i="6"/>
  <c r="J865" i="6"/>
  <c r="K867" i="6"/>
  <c r="M923" i="6"/>
  <c r="L923" i="6"/>
  <c r="K923" i="6"/>
  <c r="J923" i="6"/>
  <c r="K796" i="6"/>
  <c r="K804" i="6"/>
  <c r="K812" i="6"/>
  <c r="K820" i="6"/>
  <c r="K828" i="6"/>
  <c r="K833" i="6"/>
  <c r="L835" i="6"/>
  <c r="M837" i="6"/>
  <c r="K841" i="6"/>
  <c r="L843" i="6"/>
  <c r="M845" i="6"/>
  <c r="K849" i="6"/>
  <c r="L851" i="6"/>
  <c r="M853" i="6"/>
  <c r="K857" i="6"/>
  <c r="L859" i="6"/>
  <c r="M861" i="6"/>
  <c r="K865" i="6"/>
  <c r="M915" i="6"/>
  <c r="L915" i="6"/>
  <c r="K915" i="6"/>
  <c r="J915" i="6"/>
  <c r="L796" i="6"/>
  <c r="L804" i="6"/>
  <c r="L812" i="6"/>
  <c r="L820" i="6"/>
  <c r="L828" i="6"/>
  <c r="M833" i="6"/>
  <c r="M841" i="6"/>
  <c r="M849" i="6"/>
  <c r="M857" i="6"/>
  <c r="M865" i="6"/>
  <c r="M873" i="6"/>
  <c r="L873" i="6"/>
  <c r="J873" i="6"/>
  <c r="M907" i="6"/>
  <c r="L907" i="6"/>
  <c r="K907" i="6"/>
  <c r="J907" i="6"/>
  <c r="M971" i="6"/>
  <c r="L971" i="6"/>
  <c r="K971" i="6"/>
  <c r="J971" i="6"/>
  <c r="J836" i="6"/>
  <c r="J838" i="6"/>
  <c r="J844" i="6"/>
  <c r="J846" i="6"/>
  <c r="J852" i="6"/>
  <c r="J854" i="6"/>
  <c r="J860" i="6"/>
  <c r="J862" i="6"/>
  <c r="K873" i="6"/>
  <c r="M899" i="6"/>
  <c r="L899" i="6"/>
  <c r="K899" i="6"/>
  <c r="J899" i="6"/>
  <c r="M963" i="6"/>
  <c r="L963" i="6"/>
  <c r="K963" i="6"/>
  <c r="J963" i="6"/>
  <c r="M874" i="6"/>
  <c r="K876" i="6"/>
  <c r="J881" i="6"/>
  <c r="M882" i="6"/>
  <c r="K884" i="6"/>
  <c r="J889" i="6"/>
  <c r="K892" i="6"/>
  <c r="J897" i="6"/>
  <c r="K900" i="6"/>
  <c r="J905" i="6"/>
  <c r="K908" i="6"/>
  <c r="J913" i="6"/>
  <c r="K916" i="6"/>
  <c r="J921" i="6"/>
  <c r="K924" i="6"/>
  <c r="J929" i="6"/>
  <c r="K932" i="6"/>
  <c r="J937" i="6"/>
  <c r="K940" i="6"/>
  <c r="J945" i="6"/>
  <c r="K948" i="6"/>
  <c r="J953" i="6"/>
  <c r="K956" i="6"/>
  <c r="J961" i="6"/>
  <c r="K964" i="6"/>
  <c r="J969" i="6"/>
  <c r="K972" i="6"/>
  <c r="L975" i="6"/>
  <c r="J977" i="6"/>
  <c r="K980" i="6"/>
  <c r="L983" i="6"/>
  <c r="J985" i="6"/>
  <c r="K988" i="6"/>
  <c r="L991" i="6"/>
  <c r="J993" i="6"/>
  <c r="L999" i="6"/>
  <c r="K870" i="6"/>
  <c r="K878" i="6"/>
  <c r="L881" i="6"/>
  <c r="K886" i="6"/>
  <c r="L889" i="6"/>
  <c r="K894" i="6"/>
  <c r="L897" i="6"/>
  <c r="K902" i="6"/>
  <c r="L905" i="6"/>
  <c r="K910" i="6"/>
  <c r="L913" i="6"/>
  <c r="K918" i="6"/>
  <c r="L921" i="6"/>
  <c r="K926" i="6"/>
  <c r="L929" i="6"/>
  <c r="K934" i="6"/>
  <c r="L937" i="6"/>
  <c r="K942" i="6"/>
  <c r="L945" i="6"/>
  <c r="K950" i="6"/>
  <c r="L953" i="6"/>
  <c r="K958" i="6"/>
  <c r="L961" i="6"/>
  <c r="K966" i="6"/>
  <c r="L969" i="6"/>
  <c r="K974" i="6"/>
  <c r="L977" i="6"/>
  <c r="K982" i="6"/>
  <c r="L985" i="6"/>
  <c r="K990" i="6"/>
  <c r="L993" i="6"/>
  <c r="K998" i="6"/>
  <c r="L870" i="6"/>
  <c r="L878" i="6"/>
  <c r="L886" i="6"/>
  <c r="L894" i="6"/>
  <c r="L902" i="6"/>
  <c r="L910" i="6"/>
  <c r="L918" i="6"/>
  <c r="L926" i="6"/>
  <c r="L934" i="6"/>
  <c r="L942" i="6"/>
  <c r="L950" i="6"/>
  <c r="L958" i="6"/>
  <c r="L966" i="6"/>
  <c r="L974" i="6"/>
  <c r="J976" i="6"/>
  <c r="L982" i="6"/>
  <c r="J984" i="6"/>
  <c r="L990" i="6"/>
  <c r="J992" i="6"/>
  <c r="L998" i="6"/>
  <c r="J1000" i="6"/>
  <c r="J869" i="6"/>
  <c r="J877" i="6"/>
  <c r="J885" i="6"/>
  <c r="J893" i="6"/>
  <c r="J901" i="6"/>
  <c r="J909" i="6"/>
  <c r="J917" i="6"/>
  <c r="J925" i="6"/>
  <c r="J933" i="6"/>
  <c r="J941" i="6"/>
  <c r="J949" i="6"/>
  <c r="J957" i="6"/>
  <c r="J965" i="6"/>
  <c r="J973" i="6"/>
  <c r="K976" i="6"/>
  <c r="J981" i="6"/>
  <c r="K984" i="6"/>
  <c r="J989" i="6"/>
  <c r="K992" i="6"/>
  <c r="J997" i="6"/>
  <c r="K1000" i="6"/>
  <c r="K869" i="6"/>
  <c r="K877" i="6"/>
  <c r="K885" i="6"/>
  <c r="K893" i="6"/>
  <c r="K901" i="6"/>
  <c r="K909" i="6"/>
  <c r="K917" i="6"/>
  <c r="K925" i="6"/>
  <c r="K933" i="6"/>
  <c r="K941" i="6"/>
  <c r="K949" i="6"/>
  <c r="K957" i="6"/>
  <c r="K965" i="6"/>
  <c r="K973" i="6"/>
  <c r="L976" i="6"/>
  <c r="K981" i="6"/>
  <c r="L984" i="6"/>
  <c r="K989" i="6"/>
  <c r="L992" i="6"/>
  <c r="J994" i="6"/>
  <c r="K997" i="6"/>
  <c r="L1000" i="6"/>
  <c r="D202" i="6"/>
  <c r="E202" i="6"/>
  <c r="E204" i="6"/>
  <c r="B204" i="6"/>
  <c r="D206" i="6"/>
  <c r="B206" i="6"/>
  <c r="D210" i="6"/>
  <c r="F210" i="6"/>
  <c r="E210" i="6"/>
  <c r="B210" i="6"/>
  <c r="F255" i="6"/>
  <c r="B255" i="6"/>
  <c r="E255" i="6"/>
  <c r="D13" i="6"/>
  <c r="F14" i="6"/>
  <c r="B16" i="6"/>
  <c r="D17" i="6"/>
  <c r="F18" i="6"/>
  <c r="B20" i="6"/>
  <c r="D21" i="6"/>
  <c r="F22" i="6"/>
  <c r="B24" i="6"/>
  <c r="D25" i="6"/>
  <c r="F26" i="6"/>
  <c r="B28" i="6"/>
  <c r="D29" i="6"/>
  <c r="F30" i="6"/>
  <c r="B32" i="6"/>
  <c r="D33" i="6"/>
  <c r="F34" i="6"/>
  <c r="B36" i="6"/>
  <c r="D37" i="6"/>
  <c r="F38" i="6"/>
  <c r="B40" i="6"/>
  <c r="D41" i="6"/>
  <c r="F42" i="6"/>
  <c r="B44" i="6"/>
  <c r="D45" i="6"/>
  <c r="F46" i="6"/>
  <c r="B48" i="6"/>
  <c r="D49" i="6"/>
  <c r="F50" i="6"/>
  <c r="B52" i="6"/>
  <c r="D53" i="6"/>
  <c r="F54" i="6"/>
  <c r="B56" i="6"/>
  <c r="D57" i="6"/>
  <c r="F58" i="6"/>
  <c r="B60" i="6"/>
  <c r="D61" i="6"/>
  <c r="F62" i="6"/>
  <c r="B64" i="6"/>
  <c r="D65" i="6"/>
  <c r="F66" i="6"/>
  <c r="B68" i="6"/>
  <c r="D69" i="6"/>
  <c r="F70" i="6"/>
  <c r="B72" i="6"/>
  <c r="D73" i="6"/>
  <c r="F74" i="6"/>
  <c r="B76" i="6"/>
  <c r="D77" i="6"/>
  <c r="F78" i="6"/>
  <c r="B80" i="6"/>
  <c r="D81" i="6"/>
  <c r="F82" i="6"/>
  <c r="B84" i="6"/>
  <c r="D85" i="6"/>
  <c r="F86" i="6"/>
  <c r="B88" i="6"/>
  <c r="D89" i="6"/>
  <c r="F90" i="6"/>
  <c r="B92" i="6"/>
  <c r="D93" i="6"/>
  <c r="F94" i="6"/>
  <c r="B96" i="6"/>
  <c r="D97" i="6"/>
  <c r="F98" i="6"/>
  <c r="B100" i="6"/>
  <c r="D101" i="6"/>
  <c r="F102" i="6"/>
  <c r="B104" i="6"/>
  <c r="E105" i="6"/>
  <c r="B107" i="6"/>
  <c r="B110" i="6"/>
  <c r="E111" i="6"/>
  <c r="B113" i="6"/>
  <c r="E114" i="6"/>
  <c r="C116" i="6"/>
  <c r="F117" i="6"/>
  <c r="C119" i="6"/>
  <c r="F120" i="6"/>
  <c r="C122" i="6"/>
  <c r="F123" i="6"/>
  <c r="C125" i="6"/>
  <c r="D128" i="6"/>
  <c r="D131" i="6"/>
  <c r="D134" i="6"/>
  <c r="E137" i="6"/>
  <c r="B139" i="6"/>
  <c r="B142" i="6"/>
  <c r="E143" i="6"/>
  <c r="B145" i="6"/>
  <c r="E146" i="6"/>
  <c r="C148" i="6"/>
  <c r="F149" i="6"/>
  <c r="C151" i="6"/>
  <c r="F152" i="6"/>
  <c r="C154" i="6"/>
  <c r="F155" i="6"/>
  <c r="C157" i="6"/>
  <c r="D160" i="6"/>
  <c r="D163" i="6"/>
  <c r="D166" i="6"/>
  <c r="E169" i="6"/>
  <c r="B171" i="6"/>
  <c r="B174" i="6"/>
  <c r="E175" i="6"/>
  <c r="B177" i="6"/>
  <c r="E178" i="6"/>
  <c r="C180" i="6"/>
  <c r="C183" i="6"/>
  <c r="C186" i="6"/>
  <c r="F187" i="6"/>
  <c r="C189" i="6"/>
  <c r="D192" i="6"/>
  <c r="F194" i="6"/>
  <c r="C194" i="6"/>
  <c r="E200" i="6"/>
  <c r="B202" i="6"/>
  <c r="C204" i="6"/>
  <c r="C206" i="6"/>
  <c r="C208" i="6"/>
  <c r="C210" i="6"/>
  <c r="D222" i="6"/>
  <c r="E222" i="6"/>
  <c r="F222" i="6"/>
  <c r="C222" i="6"/>
  <c r="C255" i="6"/>
  <c r="D258" i="6"/>
  <c r="B258" i="6"/>
  <c r="F258" i="6"/>
  <c r="E258" i="6"/>
  <c r="E13" i="6"/>
  <c r="C20" i="6"/>
  <c r="E21" i="6"/>
  <c r="C28" i="6"/>
  <c r="E29" i="6"/>
  <c r="C36" i="6"/>
  <c r="E37" i="6"/>
  <c r="C44" i="6"/>
  <c r="E45" i="6"/>
  <c r="C52" i="6"/>
  <c r="E53" i="6"/>
  <c r="C60" i="6"/>
  <c r="E61" i="6"/>
  <c r="C68" i="6"/>
  <c r="E69" i="6"/>
  <c r="C76" i="6"/>
  <c r="E77" i="6"/>
  <c r="C84" i="6"/>
  <c r="E85" i="6"/>
  <c r="C92" i="6"/>
  <c r="E93" i="6"/>
  <c r="C100" i="6"/>
  <c r="D116" i="6"/>
  <c r="D122" i="6"/>
  <c r="E125" i="6"/>
  <c r="B127" i="6"/>
  <c r="E128" i="6"/>
  <c r="B130" i="6"/>
  <c r="C139" i="6"/>
  <c r="C142" i="6"/>
  <c r="F143" i="6"/>
  <c r="C145" i="6"/>
  <c r="D148" i="6"/>
  <c r="D151" i="6"/>
  <c r="D154" i="6"/>
  <c r="E157" i="6"/>
  <c r="B159" i="6"/>
  <c r="E160" i="6"/>
  <c r="B162" i="6"/>
  <c r="C171" i="6"/>
  <c r="C174" i="6"/>
  <c r="F175" i="6"/>
  <c r="C177" i="6"/>
  <c r="D180" i="6"/>
  <c r="D183" i="6"/>
  <c r="D186" i="6"/>
  <c r="E189" i="6"/>
  <c r="B191" i="6"/>
  <c r="E192" i="6"/>
  <c r="B194" i="6"/>
  <c r="B199" i="6"/>
  <c r="F200" i="6"/>
  <c r="C202" i="6"/>
  <c r="D204" i="6"/>
  <c r="E206" i="6"/>
  <c r="F211" i="6"/>
  <c r="E211" i="6"/>
  <c r="F216" i="6"/>
  <c r="E216" i="6"/>
  <c r="C216" i="6"/>
  <c r="B216" i="6"/>
  <c r="B222" i="6"/>
  <c r="D255" i="6"/>
  <c r="C258" i="6"/>
  <c r="C16" i="6"/>
  <c r="E17" i="6"/>
  <c r="C24" i="6"/>
  <c r="E25" i="6"/>
  <c r="C32" i="6"/>
  <c r="E33" i="6"/>
  <c r="C40" i="6"/>
  <c r="E41" i="6"/>
  <c r="C48" i="6"/>
  <c r="E49" i="6"/>
  <c r="C56" i="6"/>
  <c r="E57" i="6"/>
  <c r="C64" i="6"/>
  <c r="E65" i="6"/>
  <c r="C72" i="6"/>
  <c r="E73" i="6"/>
  <c r="C80" i="6"/>
  <c r="E81" i="6"/>
  <c r="C88" i="6"/>
  <c r="E89" i="6"/>
  <c r="C96" i="6"/>
  <c r="E97" i="6"/>
  <c r="C104" i="6"/>
  <c r="C107" i="6"/>
  <c r="C110" i="6"/>
  <c r="F111" i="6"/>
  <c r="C113" i="6"/>
  <c r="D119" i="6"/>
  <c r="F13" i="6"/>
  <c r="B15" i="6"/>
  <c r="D16" i="6"/>
  <c r="F17" i="6"/>
  <c r="B19" i="6"/>
  <c r="D20" i="6"/>
  <c r="F21" i="6"/>
  <c r="B23" i="6"/>
  <c r="D24" i="6"/>
  <c r="F25" i="6"/>
  <c r="B27" i="6"/>
  <c r="D28" i="6"/>
  <c r="F29" i="6"/>
  <c r="B31" i="6"/>
  <c r="D32" i="6"/>
  <c r="F33" i="6"/>
  <c r="B35" i="6"/>
  <c r="D36" i="6"/>
  <c r="F37" i="6"/>
  <c r="B39" i="6"/>
  <c r="D40" i="6"/>
  <c r="F41" i="6"/>
  <c r="B43" i="6"/>
  <c r="D44" i="6"/>
  <c r="F45" i="6"/>
  <c r="B47" i="6"/>
  <c r="D48" i="6"/>
  <c r="F49" i="6"/>
  <c r="B51" i="6"/>
  <c r="D52" i="6"/>
  <c r="F53" i="6"/>
  <c r="B55" i="6"/>
  <c r="D56" i="6"/>
  <c r="F57" i="6"/>
  <c r="B59" i="6"/>
  <c r="D60" i="6"/>
  <c r="F61" i="6"/>
  <c r="D64" i="6"/>
  <c r="F65" i="6"/>
  <c r="D68" i="6"/>
  <c r="D72" i="6"/>
  <c r="D76" i="6"/>
  <c r="D80" i="6"/>
  <c r="D84" i="6"/>
  <c r="D88" i="6"/>
  <c r="B91" i="6"/>
  <c r="D92" i="6"/>
  <c r="B95" i="6"/>
  <c r="D96" i="6"/>
  <c r="B99" i="6"/>
  <c r="D100" i="6"/>
  <c r="B103" i="6"/>
  <c r="D104" i="6"/>
  <c r="D107" i="6"/>
  <c r="D110" i="6"/>
  <c r="E113" i="6"/>
  <c r="B115" i="6"/>
  <c r="E116" i="6"/>
  <c r="B118" i="6"/>
  <c r="E119" i="6"/>
  <c r="B121" i="6"/>
  <c r="E122" i="6"/>
  <c r="C124" i="6"/>
  <c r="F125" i="6"/>
  <c r="C127" i="6"/>
  <c r="F128" i="6"/>
  <c r="C130" i="6"/>
  <c r="C133" i="6"/>
  <c r="D136" i="6"/>
  <c r="D139" i="6"/>
  <c r="D142" i="6"/>
  <c r="E145" i="6"/>
  <c r="B147" i="6"/>
  <c r="E148" i="6"/>
  <c r="B150" i="6"/>
  <c r="E151" i="6"/>
  <c r="B153" i="6"/>
  <c r="E154" i="6"/>
  <c r="C156" i="6"/>
  <c r="F157" i="6"/>
  <c r="C159" i="6"/>
  <c r="F160" i="6"/>
  <c r="C162" i="6"/>
  <c r="C165" i="6"/>
  <c r="D168" i="6"/>
  <c r="D171" i="6"/>
  <c r="D174" i="6"/>
  <c r="E177" i="6"/>
  <c r="B179" i="6"/>
  <c r="E180" i="6"/>
  <c r="B182" i="6"/>
  <c r="E183" i="6"/>
  <c r="B185" i="6"/>
  <c r="E186" i="6"/>
  <c r="C188" i="6"/>
  <c r="F189" i="6"/>
  <c r="C191" i="6"/>
  <c r="F192" i="6"/>
  <c r="D194" i="6"/>
  <c r="C196" i="6"/>
  <c r="C199" i="6"/>
  <c r="F202" i="6"/>
  <c r="F204" i="6"/>
  <c r="F206" i="6"/>
  <c r="F208" i="6"/>
  <c r="B211" i="6"/>
  <c r="F223" i="6"/>
  <c r="C223" i="6"/>
  <c r="B223" i="6"/>
  <c r="D226" i="6"/>
  <c r="F226" i="6"/>
  <c r="C226" i="6"/>
  <c r="B226" i="6"/>
  <c r="E16" i="6"/>
  <c r="E32" i="6"/>
  <c r="E40" i="6"/>
  <c r="E48" i="6"/>
  <c r="E56" i="6"/>
  <c r="E64" i="6"/>
  <c r="E72" i="6"/>
  <c r="E80" i="6"/>
  <c r="E88" i="6"/>
  <c r="E96" i="6"/>
  <c r="E104" i="6"/>
  <c r="E107" i="6"/>
  <c r="E110" i="6"/>
  <c r="F113" i="6"/>
  <c r="F116" i="6"/>
  <c r="E139" i="6"/>
  <c r="E142" i="6"/>
  <c r="F145" i="6"/>
  <c r="F148" i="6"/>
  <c r="E171" i="6"/>
  <c r="E174" i="6"/>
  <c r="F177" i="6"/>
  <c r="F180" i="6"/>
  <c r="F203" i="6"/>
  <c r="B203" i="6"/>
  <c r="B205" i="6"/>
  <c r="E205" i="6"/>
  <c r="F207" i="6"/>
  <c r="E207" i="6"/>
  <c r="B207" i="6"/>
  <c r="D214" i="6"/>
  <c r="F214" i="6"/>
  <c r="E214" i="6"/>
  <c r="B217" i="6"/>
  <c r="F217" i="6"/>
  <c r="E217" i="6"/>
  <c r="F219" i="6"/>
  <c r="D219" i="6"/>
  <c r="C219" i="6"/>
  <c r="B219" i="6"/>
  <c r="F231" i="6"/>
  <c r="E231" i="6"/>
  <c r="D231" i="6"/>
  <c r="C231" i="6"/>
  <c r="F235" i="6"/>
  <c r="E235" i="6"/>
  <c r="C235" i="6"/>
  <c r="B235" i="6"/>
  <c r="B241" i="6"/>
  <c r="D241" i="6"/>
  <c r="F241" i="6"/>
  <c r="D248" i="6"/>
  <c r="C248" i="6"/>
  <c r="B248" i="6"/>
  <c r="F248" i="6"/>
  <c r="E28" i="6"/>
  <c r="E36" i="6"/>
  <c r="E44" i="6"/>
  <c r="E52" i="6"/>
  <c r="E60" i="6"/>
  <c r="E68" i="6"/>
  <c r="E76" i="6"/>
  <c r="E84" i="6"/>
  <c r="E92" i="6"/>
  <c r="E100" i="6"/>
  <c r="B14" i="6"/>
  <c r="D15" i="6"/>
  <c r="B18" i="6"/>
  <c r="D19" i="6"/>
  <c r="F20" i="6"/>
  <c r="B22" i="6"/>
  <c r="D23" i="6"/>
  <c r="F24" i="6"/>
  <c r="B26" i="6"/>
  <c r="D27" i="6"/>
  <c r="B30" i="6"/>
  <c r="D31" i="6"/>
  <c r="B34" i="6"/>
  <c r="D35" i="6"/>
  <c r="B38" i="6"/>
  <c r="B42" i="6"/>
  <c r="B46" i="6"/>
  <c r="B50" i="6"/>
  <c r="B54" i="6"/>
  <c r="B58" i="6"/>
  <c r="B62" i="6"/>
  <c r="B66" i="6"/>
  <c r="B70" i="6"/>
  <c r="B74" i="6"/>
  <c r="B78" i="6"/>
  <c r="B82" i="6"/>
  <c r="B86" i="6"/>
  <c r="B90" i="6"/>
  <c r="B94" i="6"/>
  <c r="B98" i="6"/>
  <c r="B102" i="6"/>
  <c r="B123" i="6"/>
  <c r="B126" i="6"/>
  <c r="B129" i="6"/>
  <c r="C132" i="6"/>
  <c r="B155" i="6"/>
  <c r="B158" i="6"/>
  <c r="B161" i="6"/>
  <c r="C164" i="6"/>
  <c r="D179" i="6"/>
  <c r="D182" i="6"/>
  <c r="E185" i="6"/>
  <c r="B187" i="6"/>
  <c r="E188" i="6"/>
  <c r="B190" i="6"/>
  <c r="E191" i="6"/>
  <c r="E196" i="6"/>
  <c r="F198" i="6"/>
  <c r="C198" i="6"/>
  <c r="F199" i="6"/>
  <c r="C203" i="6"/>
  <c r="C205" i="6"/>
  <c r="C207" i="6"/>
  <c r="D211" i="6"/>
  <c r="B214" i="6"/>
  <c r="C217" i="6"/>
  <c r="E219" i="6"/>
  <c r="E223" i="6"/>
  <c r="B231" i="6"/>
  <c r="D235" i="6"/>
  <c r="C241" i="6"/>
  <c r="E248" i="6"/>
  <c r="C14" i="6"/>
  <c r="C22" i="6"/>
  <c r="C34" i="6"/>
  <c r="C42" i="6"/>
  <c r="C50" i="6"/>
  <c r="C58" i="6"/>
  <c r="C66" i="6"/>
  <c r="C70" i="6"/>
  <c r="C74" i="6"/>
  <c r="C78" i="6"/>
  <c r="D106" i="6"/>
  <c r="E109" i="6"/>
  <c r="B114" i="6"/>
  <c r="B117" i="6"/>
  <c r="E118" i="6"/>
  <c r="C120" i="6"/>
  <c r="F121" i="6"/>
  <c r="F124" i="6"/>
  <c r="C126" i="6"/>
  <c r="C129" i="6"/>
  <c r="D132" i="6"/>
  <c r="D138" i="6"/>
  <c r="E141" i="6"/>
  <c r="B146" i="6"/>
  <c r="B149" i="6"/>
  <c r="E150" i="6"/>
  <c r="C152" i="6"/>
  <c r="F153" i="6"/>
  <c r="F156" i="6"/>
  <c r="C158" i="6"/>
  <c r="C161" i="6"/>
  <c r="D164" i="6"/>
  <c r="D170" i="6"/>
  <c r="E173" i="6"/>
  <c r="B178" i="6"/>
  <c r="B181" i="6"/>
  <c r="E182" i="6"/>
  <c r="F185" i="6"/>
  <c r="F188" i="6"/>
  <c r="C190" i="6"/>
  <c r="F196" i="6"/>
  <c r="D203" i="6"/>
  <c r="D205" i="6"/>
  <c r="D207" i="6"/>
  <c r="C212" i="6"/>
  <c r="B212" i="6"/>
  <c r="C214" i="6"/>
  <c r="D217" i="6"/>
  <c r="B224" i="6"/>
  <c r="F224" i="6"/>
  <c r="D224" i="6"/>
  <c r="C224" i="6"/>
  <c r="E241" i="6"/>
  <c r="C18" i="6"/>
  <c r="C26" i="6"/>
  <c r="C30" i="6"/>
  <c r="C38" i="6"/>
  <c r="C46" i="6"/>
  <c r="C54" i="6"/>
  <c r="C62" i="6"/>
  <c r="C200" i="6"/>
  <c r="E203" i="6"/>
  <c r="F205" i="6"/>
  <c r="D212" i="6"/>
  <c r="F215" i="6"/>
  <c r="C215" i="6"/>
  <c r="B215" i="6"/>
  <c r="E224" i="6"/>
  <c r="E228" i="6"/>
  <c r="D228" i="6"/>
  <c r="F229" i="6"/>
  <c r="B237" i="6"/>
  <c r="F237" i="6"/>
  <c r="E237" i="6"/>
  <c r="D237" i="6"/>
  <c r="D270" i="6"/>
  <c r="C270" i="6"/>
  <c r="B270" i="6"/>
  <c r="F270" i="6"/>
  <c r="E270" i="6"/>
  <c r="C213" i="6"/>
  <c r="B228" i="6"/>
  <c r="C237" i="6"/>
  <c r="F251" i="6"/>
  <c r="D251" i="6"/>
  <c r="C251" i="6"/>
  <c r="B251" i="6"/>
  <c r="E213" i="6"/>
  <c r="F228" i="6"/>
  <c r="B238" i="6"/>
  <c r="E251" i="6"/>
  <c r="D254" i="6"/>
  <c r="E254" i="6"/>
  <c r="C254" i="6"/>
  <c r="B254" i="6"/>
  <c r="F267" i="6"/>
  <c r="C267" i="6"/>
  <c r="B267" i="6"/>
  <c r="E267" i="6"/>
  <c r="D267" i="6"/>
  <c r="C209" i="6"/>
  <c r="F213" i="6"/>
  <c r="B225" i="6"/>
  <c r="E225" i="6"/>
  <c r="D225" i="6"/>
  <c r="D234" i="6"/>
  <c r="F234" i="6"/>
  <c r="E234" i="6"/>
  <c r="C238" i="6"/>
  <c r="B252" i="6"/>
  <c r="F252" i="6"/>
  <c r="E252" i="6"/>
  <c r="F254" i="6"/>
  <c r="C264" i="6"/>
  <c r="B264" i="6"/>
  <c r="F264" i="6"/>
  <c r="E264" i="6"/>
  <c r="D264" i="6"/>
  <c r="D261" i="6"/>
  <c r="E273" i="6"/>
  <c r="C284" i="6"/>
  <c r="C287" i="6"/>
  <c r="C290" i="6"/>
  <c r="D296" i="6"/>
  <c r="D299" i="6"/>
  <c r="E302" i="6"/>
  <c r="E305" i="6"/>
  <c r="C316" i="6"/>
  <c r="D328" i="6"/>
  <c r="D331" i="6"/>
  <c r="E334" i="6"/>
  <c r="E337" i="6"/>
  <c r="D360" i="6"/>
  <c r="D363" i="6"/>
  <c r="E366" i="6"/>
  <c r="E369" i="6"/>
  <c r="E374" i="6"/>
  <c r="E382" i="6"/>
  <c r="F403" i="6"/>
  <c r="B403" i="6"/>
  <c r="B405" i="6"/>
  <c r="F405" i="6"/>
  <c r="E405" i="6"/>
  <c r="D405" i="6"/>
  <c r="F416" i="6"/>
  <c r="D416" i="6"/>
  <c r="C416" i="6"/>
  <c r="B416" i="6"/>
  <c r="B260" i="6"/>
  <c r="E261" i="6"/>
  <c r="B263" i="6"/>
  <c r="B266" i="6"/>
  <c r="C269" i="6"/>
  <c r="F273" i="6"/>
  <c r="D284" i="6"/>
  <c r="D287" i="6"/>
  <c r="E290" i="6"/>
  <c r="B292" i="6"/>
  <c r="E293" i="6"/>
  <c r="B295" i="6"/>
  <c r="E296" i="6"/>
  <c r="B298" i="6"/>
  <c r="E299" i="6"/>
  <c r="C301" i="6"/>
  <c r="F302" i="6"/>
  <c r="F305" i="6"/>
  <c r="D316" i="6"/>
  <c r="D319" i="6"/>
  <c r="B324" i="6"/>
  <c r="B327" i="6"/>
  <c r="E328" i="6"/>
  <c r="B330" i="6"/>
  <c r="E331" i="6"/>
  <c r="C333" i="6"/>
  <c r="F334" i="6"/>
  <c r="F337" i="6"/>
  <c r="B356" i="6"/>
  <c r="B359" i="6"/>
  <c r="E360" i="6"/>
  <c r="B362" i="6"/>
  <c r="E363" i="6"/>
  <c r="C365" i="6"/>
  <c r="F366" i="6"/>
  <c r="F369" i="6"/>
  <c r="E373" i="6"/>
  <c r="B373" i="6"/>
  <c r="F374" i="6"/>
  <c r="B376" i="6"/>
  <c r="E381" i="6"/>
  <c r="B381" i="6"/>
  <c r="F382" i="6"/>
  <c r="B384" i="6"/>
  <c r="E389" i="6"/>
  <c r="B389" i="6"/>
  <c r="F390" i="6"/>
  <c r="B392" i="6"/>
  <c r="C403" i="6"/>
  <c r="C405" i="6"/>
  <c r="D414" i="6"/>
  <c r="F414" i="6"/>
  <c r="E414" i="6"/>
  <c r="E416" i="6"/>
  <c r="F439" i="6"/>
  <c r="B439" i="6"/>
  <c r="E439" i="6"/>
  <c r="D439" i="6"/>
  <c r="D240" i="6"/>
  <c r="D243" i="6"/>
  <c r="E246" i="6"/>
  <c r="C257" i="6"/>
  <c r="C260" i="6"/>
  <c r="F261" i="6"/>
  <c r="C263" i="6"/>
  <c r="C266" i="6"/>
  <c r="D269" i="6"/>
  <c r="B280" i="6"/>
  <c r="B283" i="6"/>
  <c r="E284" i="6"/>
  <c r="B286" i="6"/>
  <c r="E287" i="6"/>
  <c r="C289" i="6"/>
  <c r="F290" i="6"/>
  <c r="C292" i="6"/>
  <c r="F293" i="6"/>
  <c r="C295" i="6"/>
  <c r="F296" i="6"/>
  <c r="C298" i="6"/>
  <c r="D301" i="6"/>
  <c r="B312" i="6"/>
  <c r="B315" i="6"/>
  <c r="E316" i="6"/>
  <c r="B318" i="6"/>
  <c r="E319" i="6"/>
  <c r="C321" i="6"/>
  <c r="F322" i="6"/>
  <c r="C324" i="6"/>
  <c r="C327" i="6"/>
  <c r="F328" i="6"/>
  <c r="C330" i="6"/>
  <c r="D333" i="6"/>
  <c r="B344" i="6"/>
  <c r="B347" i="6"/>
  <c r="E348" i="6"/>
  <c r="B350" i="6"/>
  <c r="C353" i="6"/>
  <c r="C356" i="6"/>
  <c r="C359" i="6"/>
  <c r="F360" i="6"/>
  <c r="C362" i="6"/>
  <c r="D365" i="6"/>
  <c r="C373" i="6"/>
  <c r="D376" i="6"/>
  <c r="B378" i="6"/>
  <c r="C381" i="6"/>
  <c r="D384" i="6"/>
  <c r="B386" i="6"/>
  <c r="D392" i="6"/>
  <c r="D406" i="6"/>
  <c r="B406" i="6"/>
  <c r="F408" i="6"/>
  <c r="E408" i="6"/>
  <c r="D408" i="6"/>
  <c r="B417" i="6"/>
  <c r="F417" i="6"/>
  <c r="E417" i="6"/>
  <c r="E428" i="6"/>
  <c r="D428" i="6"/>
  <c r="C428" i="6"/>
  <c r="B428" i="6"/>
  <c r="C439" i="6"/>
  <c r="B236" i="6"/>
  <c r="B239" i="6"/>
  <c r="E240" i="6"/>
  <c r="B242" i="6"/>
  <c r="E243" i="6"/>
  <c r="C245" i="6"/>
  <c r="F246" i="6"/>
  <c r="D257" i="6"/>
  <c r="D260" i="6"/>
  <c r="D263" i="6"/>
  <c r="E266" i="6"/>
  <c r="B268" i="6"/>
  <c r="E269" i="6"/>
  <c r="B271" i="6"/>
  <c r="B274" i="6"/>
  <c r="E275" i="6"/>
  <c r="C277" i="6"/>
  <c r="F278" i="6"/>
  <c r="C280" i="6"/>
  <c r="C283" i="6"/>
  <c r="F284" i="6"/>
  <c r="C286" i="6"/>
  <c r="D289" i="6"/>
  <c r="D292" i="6"/>
  <c r="D295" i="6"/>
  <c r="E298" i="6"/>
  <c r="B300" i="6"/>
  <c r="E301" i="6"/>
  <c r="B303" i="6"/>
  <c r="B306" i="6"/>
  <c r="E307" i="6"/>
  <c r="C309" i="6"/>
  <c r="C312" i="6"/>
  <c r="C315" i="6"/>
  <c r="F316" i="6"/>
  <c r="C318" i="6"/>
  <c r="D321" i="6"/>
  <c r="D324" i="6"/>
  <c r="D327" i="6"/>
  <c r="E330" i="6"/>
  <c r="B332" i="6"/>
  <c r="E333" i="6"/>
  <c r="B335" i="6"/>
  <c r="B338" i="6"/>
  <c r="E339" i="6"/>
  <c r="C341" i="6"/>
  <c r="C344" i="6"/>
  <c r="C347" i="6"/>
  <c r="F348" i="6"/>
  <c r="C350" i="6"/>
  <c r="D353" i="6"/>
  <c r="D356" i="6"/>
  <c r="D359" i="6"/>
  <c r="E362" i="6"/>
  <c r="B364" i="6"/>
  <c r="E365" i="6"/>
  <c r="B367" i="6"/>
  <c r="B370" i="6"/>
  <c r="D373" i="6"/>
  <c r="E376" i="6"/>
  <c r="C378" i="6"/>
  <c r="D381" i="6"/>
  <c r="E384" i="6"/>
  <c r="C386" i="6"/>
  <c r="D389" i="6"/>
  <c r="E392" i="6"/>
  <c r="C394" i="6"/>
  <c r="E403" i="6"/>
  <c r="C406" i="6"/>
  <c r="B408" i="6"/>
  <c r="C414" i="6"/>
  <c r="C417" i="6"/>
  <c r="D434" i="6"/>
  <c r="E434" i="6"/>
  <c r="F434" i="6"/>
  <c r="C434" i="6"/>
  <c r="B434" i="6"/>
  <c r="B227" i="6"/>
  <c r="C239" i="6"/>
  <c r="C242" i="6"/>
  <c r="D245" i="6"/>
  <c r="B256" i="6"/>
  <c r="E257" i="6"/>
  <c r="B259" i="6"/>
  <c r="E263" i="6"/>
  <c r="F266" i="6"/>
  <c r="C268" i="6"/>
  <c r="F269" i="6"/>
  <c r="C271" i="6"/>
  <c r="C274" i="6"/>
  <c r="D277" i="6"/>
  <c r="D280" i="6"/>
  <c r="D283" i="6"/>
  <c r="E286" i="6"/>
  <c r="B288" i="6"/>
  <c r="E289" i="6"/>
  <c r="B291" i="6"/>
  <c r="E295" i="6"/>
  <c r="F298" i="6"/>
  <c r="C300" i="6"/>
  <c r="F301" i="6"/>
  <c r="C303" i="6"/>
  <c r="C306" i="6"/>
  <c r="D309" i="6"/>
  <c r="D312" i="6"/>
  <c r="D315" i="6"/>
  <c r="E318" i="6"/>
  <c r="B320" i="6"/>
  <c r="E321" i="6"/>
  <c r="B323" i="6"/>
  <c r="E327" i="6"/>
  <c r="F330" i="6"/>
  <c r="C332" i="6"/>
  <c r="F333" i="6"/>
  <c r="C335" i="6"/>
  <c r="C338" i="6"/>
  <c r="D341" i="6"/>
  <c r="D344" i="6"/>
  <c r="D347" i="6"/>
  <c r="E350" i="6"/>
  <c r="B352" i="6"/>
  <c r="E353" i="6"/>
  <c r="E359" i="6"/>
  <c r="F362" i="6"/>
  <c r="C364" i="6"/>
  <c r="F365" i="6"/>
  <c r="C367" i="6"/>
  <c r="C370" i="6"/>
  <c r="F373" i="6"/>
  <c r="F376" i="6"/>
  <c r="E378" i="6"/>
  <c r="F381" i="6"/>
  <c r="F384" i="6"/>
  <c r="E386" i="6"/>
  <c r="F389" i="6"/>
  <c r="F392" i="6"/>
  <c r="E394" i="6"/>
  <c r="E398" i="6"/>
  <c r="D398" i="6"/>
  <c r="C398" i="6"/>
  <c r="E406" i="6"/>
  <c r="C408" i="6"/>
  <c r="D417" i="6"/>
  <c r="F431" i="6"/>
  <c r="E431" i="6"/>
  <c r="D431" i="6"/>
  <c r="C431" i="6"/>
  <c r="B431" i="6"/>
  <c r="E377" i="6"/>
  <c r="B377" i="6"/>
  <c r="F378" i="6"/>
  <c r="E385" i="6"/>
  <c r="B385" i="6"/>
  <c r="F386" i="6"/>
  <c r="E393" i="6"/>
  <c r="B393" i="6"/>
  <c r="F394" i="6"/>
  <c r="F406" i="6"/>
  <c r="B409" i="6"/>
  <c r="C409" i="6"/>
  <c r="F411" i="6"/>
  <c r="E411" i="6"/>
  <c r="D411" i="6"/>
  <c r="B432" i="6"/>
  <c r="F432" i="6"/>
  <c r="E432" i="6"/>
  <c r="C273" i="6"/>
  <c r="B296" i="6"/>
  <c r="B299" i="6"/>
  <c r="B302" i="6"/>
  <c r="C305" i="6"/>
  <c r="B328" i="6"/>
  <c r="B331" i="6"/>
  <c r="E332" i="6"/>
  <c r="B334" i="6"/>
  <c r="E335" i="6"/>
  <c r="C337" i="6"/>
  <c r="F338" i="6"/>
  <c r="C340" i="6"/>
  <c r="F341" i="6"/>
  <c r="C343" i="6"/>
  <c r="D352" i="6"/>
  <c r="D355" i="6"/>
  <c r="E358" i="6"/>
  <c r="B360" i="6"/>
  <c r="E361" i="6"/>
  <c r="B363" i="6"/>
  <c r="E364" i="6"/>
  <c r="B366" i="6"/>
  <c r="E367" i="6"/>
  <c r="C369" i="6"/>
  <c r="F370" i="6"/>
  <c r="D372" i="6"/>
  <c r="B374" i="6"/>
  <c r="C377" i="6"/>
  <c r="D380" i="6"/>
  <c r="B382" i="6"/>
  <c r="C385" i="6"/>
  <c r="D388" i="6"/>
  <c r="B390" i="6"/>
  <c r="C393" i="6"/>
  <c r="F398" i="6"/>
  <c r="D402" i="6"/>
  <c r="F402" i="6"/>
  <c r="E402" i="6"/>
  <c r="C402" i="6"/>
  <c r="D409" i="6"/>
  <c r="B411" i="6"/>
  <c r="C432" i="6"/>
  <c r="D247" i="6"/>
  <c r="E250" i="6"/>
  <c r="E253" i="6"/>
  <c r="E259" i="6"/>
  <c r="C261" i="6"/>
  <c r="D273" i="6"/>
  <c r="D279" i="6"/>
  <c r="E282" i="6"/>
  <c r="E285" i="6"/>
  <c r="B287" i="6"/>
  <c r="B290" i="6"/>
  <c r="E291" i="6"/>
  <c r="C293" i="6"/>
  <c r="C299" i="6"/>
  <c r="C302" i="6"/>
  <c r="D305" i="6"/>
  <c r="D311" i="6"/>
  <c r="E314" i="6"/>
  <c r="E317" i="6"/>
  <c r="B319" i="6"/>
  <c r="B322" i="6"/>
  <c r="E323" i="6"/>
  <c r="C325" i="6"/>
  <c r="F326" i="6"/>
  <c r="C331" i="6"/>
  <c r="C334" i="6"/>
  <c r="D337" i="6"/>
  <c r="D343" i="6"/>
  <c r="E346" i="6"/>
  <c r="E349" i="6"/>
  <c r="B351" i="6"/>
  <c r="B354" i="6"/>
  <c r="E355" i="6"/>
  <c r="C357" i="6"/>
  <c r="F358" i="6"/>
  <c r="F361" i="6"/>
  <c r="C363" i="6"/>
  <c r="C366" i="6"/>
  <c r="D369" i="6"/>
  <c r="E372" i="6"/>
  <c r="C374" i="6"/>
  <c r="D377" i="6"/>
  <c r="E380" i="6"/>
  <c r="C382" i="6"/>
  <c r="D385" i="6"/>
  <c r="E388" i="6"/>
  <c r="C390" i="6"/>
  <c r="D393" i="6"/>
  <c r="E409" i="6"/>
  <c r="C411" i="6"/>
  <c r="D442" i="6"/>
  <c r="B442" i="6"/>
  <c r="F442" i="6"/>
  <c r="C442" i="6"/>
  <c r="C441" i="6"/>
  <c r="F443" i="6"/>
  <c r="E443" i="6"/>
  <c r="E444" i="6"/>
  <c r="C446" i="6"/>
  <c r="B448" i="6"/>
  <c r="D450" i="6"/>
  <c r="E450" i="6"/>
  <c r="B452" i="6"/>
  <c r="F452" i="6"/>
  <c r="D454" i="6"/>
  <c r="E454" i="6"/>
  <c r="C454" i="6"/>
  <c r="E458" i="6"/>
  <c r="B460" i="6"/>
  <c r="B464" i="6"/>
  <c r="F471" i="6"/>
  <c r="D471" i="6"/>
  <c r="C471" i="6"/>
  <c r="B471" i="6"/>
  <c r="F551" i="6"/>
  <c r="C551" i="6"/>
  <c r="B551" i="6"/>
  <c r="D551" i="6"/>
  <c r="B557" i="6"/>
  <c r="D557" i="6"/>
  <c r="C557" i="6"/>
  <c r="E557" i="6"/>
  <c r="B573" i="6"/>
  <c r="E573" i="6"/>
  <c r="D573" i="6"/>
  <c r="C573" i="6"/>
  <c r="B419" i="6"/>
  <c r="B422" i="6"/>
  <c r="C425" i="6"/>
  <c r="C436" i="6"/>
  <c r="D441" i="6"/>
  <c r="B443" i="6"/>
  <c r="F444" i="6"/>
  <c r="D448" i="6"/>
  <c r="B450" i="6"/>
  <c r="C452" i="6"/>
  <c r="C460" i="6"/>
  <c r="E464" i="6"/>
  <c r="D474" i="6"/>
  <c r="E474" i="6"/>
  <c r="C474" i="6"/>
  <c r="B474" i="6"/>
  <c r="B477" i="6"/>
  <c r="E477" i="6"/>
  <c r="D477" i="6"/>
  <c r="C477" i="6"/>
  <c r="F503" i="6"/>
  <c r="D503" i="6"/>
  <c r="C503" i="6"/>
  <c r="B503" i="6"/>
  <c r="B525" i="6"/>
  <c r="D525" i="6"/>
  <c r="C525" i="6"/>
  <c r="E525" i="6"/>
  <c r="C548" i="6"/>
  <c r="B548" i="6"/>
  <c r="F548" i="6"/>
  <c r="D548" i="6"/>
  <c r="E551" i="6"/>
  <c r="F557" i="6"/>
  <c r="F573" i="6"/>
  <c r="B397" i="6"/>
  <c r="C419" i="6"/>
  <c r="C422" i="6"/>
  <c r="D425" i="6"/>
  <c r="D436" i="6"/>
  <c r="E441" i="6"/>
  <c r="C443" i="6"/>
  <c r="B445" i="6"/>
  <c r="C445" i="6"/>
  <c r="E448" i="6"/>
  <c r="C450" i="6"/>
  <c r="D452" i="6"/>
  <c r="F454" i="6"/>
  <c r="F474" i="6"/>
  <c r="F477" i="6"/>
  <c r="D506" i="6"/>
  <c r="E506" i="6"/>
  <c r="C506" i="6"/>
  <c r="B506" i="6"/>
  <c r="B509" i="6"/>
  <c r="E509" i="6"/>
  <c r="D509" i="6"/>
  <c r="C509" i="6"/>
  <c r="F525" i="6"/>
  <c r="F532" i="6"/>
  <c r="D532" i="6"/>
  <c r="C532" i="6"/>
  <c r="B532" i="6"/>
  <c r="E548" i="6"/>
  <c r="F564" i="6"/>
  <c r="D564" i="6"/>
  <c r="C564" i="6"/>
  <c r="B564" i="6"/>
  <c r="C397" i="6"/>
  <c r="C401" i="6"/>
  <c r="C404" i="6"/>
  <c r="D419" i="6"/>
  <c r="E422" i="6"/>
  <c r="B424" i="6"/>
  <c r="E425" i="6"/>
  <c r="B427" i="6"/>
  <c r="B430" i="6"/>
  <c r="C433" i="6"/>
  <c r="E436" i="6"/>
  <c r="C438" i="6"/>
  <c r="B440" i="6"/>
  <c r="F441" i="6"/>
  <c r="D443" i="6"/>
  <c r="D445" i="6"/>
  <c r="B447" i="6"/>
  <c r="F448" i="6"/>
  <c r="F450" i="6"/>
  <c r="E452" i="6"/>
  <c r="F455" i="6"/>
  <c r="B455" i="6"/>
  <c r="B457" i="6"/>
  <c r="E457" i="6"/>
  <c r="D457" i="6"/>
  <c r="B461" i="6"/>
  <c r="C461" i="6"/>
  <c r="F506" i="6"/>
  <c r="F509" i="6"/>
  <c r="E532" i="6"/>
  <c r="E600" i="6"/>
  <c r="D600" i="6"/>
  <c r="B600" i="6"/>
  <c r="F600" i="6"/>
  <c r="C600" i="6"/>
  <c r="E445" i="6"/>
  <c r="F451" i="6"/>
  <c r="C451" i="6"/>
  <c r="C455" i="6"/>
  <c r="F535" i="6"/>
  <c r="D535" i="6"/>
  <c r="C535" i="6"/>
  <c r="B535" i="6"/>
  <c r="D538" i="6"/>
  <c r="E538" i="6"/>
  <c r="C538" i="6"/>
  <c r="B538" i="6"/>
  <c r="B541" i="6"/>
  <c r="E541" i="6"/>
  <c r="D541" i="6"/>
  <c r="C541" i="6"/>
  <c r="F567" i="6"/>
  <c r="D567" i="6"/>
  <c r="C567" i="6"/>
  <c r="B567" i="6"/>
  <c r="E407" i="6"/>
  <c r="F410" i="6"/>
  <c r="F413" i="6"/>
  <c r="C415" i="6"/>
  <c r="C418" i="6"/>
  <c r="D421" i="6"/>
  <c r="D427" i="6"/>
  <c r="E430" i="6"/>
  <c r="E433" i="6"/>
  <c r="C435" i="6"/>
  <c r="B437" i="6"/>
  <c r="E437" i="6"/>
  <c r="F438" i="6"/>
  <c r="D440" i="6"/>
  <c r="B444" i="6"/>
  <c r="F445" i="6"/>
  <c r="D447" i="6"/>
  <c r="B451" i="6"/>
  <c r="D455" i="6"/>
  <c r="F457" i="6"/>
  <c r="E461" i="6"/>
  <c r="E535" i="6"/>
  <c r="F538" i="6"/>
  <c r="F541" i="6"/>
  <c r="F583" i="6"/>
  <c r="C583" i="6"/>
  <c r="B583" i="6"/>
  <c r="D583" i="6"/>
  <c r="D446" i="6"/>
  <c r="F446" i="6"/>
  <c r="D458" i="6"/>
  <c r="B458" i="6"/>
  <c r="F468" i="6"/>
  <c r="D468" i="6"/>
  <c r="C468" i="6"/>
  <c r="B468" i="6"/>
  <c r="C484" i="6"/>
  <c r="B484" i="6"/>
  <c r="F484" i="6"/>
  <c r="D484" i="6"/>
  <c r="F487" i="6"/>
  <c r="C487" i="6"/>
  <c r="B487" i="6"/>
  <c r="D487" i="6"/>
  <c r="D490" i="6"/>
  <c r="C490" i="6"/>
  <c r="B490" i="6"/>
  <c r="E490" i="6"/>
  <c r="C580" i="6"/>
  <c r="B580" i="6"/>
  <c r="F580" i="6"/>
  <c r="D580" i="6"/>
  <c r="E583" i="6"/>
  <c r="B446" i="6"/>
  <c r="C458" i="6"/>
  <c r="E460" i="6"/>
  <c r="D460" i="6"/>
  <c r="D464" i="6"/>
  <c r="C464" i="6"/>
  <c r="E468" i="6"/>
  <c r="E484" i="6"/>
  <c r="E487" i="6"/>
  <c r="B493" i="6"/>
  <c r="D493" i="6"/>
  <c r="C493" i="6"/>
  <c r="E493" i="6"/>
  <c r="F500" i="6"/>
  <c r="D500" i="6"/>
  <c r="C500" i="6"/>
  <c r="B500" i="6"/>
  <c r="C516" i="6"/>
  <c r="B516" i="6"/>
  <c r="F516" i="6"/>
  <c r="D516" i="6"/>
  <c r="F519" i="6"/>
  <c r="C519" i="6"/>
  <c r="B519" i="6"/>
  <c r="D519" i="6"/>
  <c r="D522" i="6"/>
  <c r="C522" i="6"/>
  <c r="B522" i="6"/>
  <c r="E522" i="6"/>
  <c r="D554" i="6"/>
  <c r="C554" i="6"/>
  <c r="B554" i="6"/>
  <c r="E554" i="6"/>
  <c r="D570" i="6"/>
  <c r="E570" i="6"/>
  <c r="C570" i="6"/>
  <c r="B570" i="6"/>
  <c r="E580" i="6"/>
  <c r="B492" i="6"/>
  <c r="E496" i="6"/>
  <c r="B585" i="6"/>
  <c r="C585" i="6"/>
  <c r="E588" i="6"/>
  <c r="C590" i="6"/>
  <c r="B592" i="6"/>
  <c r="D598" i="6"/>
  <c r="E598" i="6"/>
  <c r="B604" i="6"/>
  <c r="F659" i="6"/>
  <c r="D659" i="6"/>
  <c r="C659" i="6"/>
  <c r="B659" i="6"/>
  <c r="E659" i="6"/>
  <c r="D606" i="6"/>
  <c r="F606" i="6"/>
  <c r="E606" i="6"/>
  <c r="B606" i="6"/>
  <c r="F611" i="6"/>
  <c r="D611" i="6"/>
  <c r="C611" i="6"/>
  <c r="B611" i="6"/>
  <c r="D614" i="6"/>
  <c r="E614" i="6"/>
  <c r="C614" i="6"/>
  <c r="B614" i="6"/>
  <c r="B617" i="6"/>
  <c r="E617" i="6"/>
  <c r="D617" i="6"/>
  <c r="C617" i="6"/>
  <c r="F449" i="6"/>
  <c r="D463" i="6"/>
  <c r="E466" i="6"/>
  <c r="E469" i="6"/>
  <c r="E472" i="6"/>
  <c r="E475" i="6"/>
  <c r="F478" i="6"/>
  <c r="C480" i="6"/>
  <c r="F481" i="6"/>
  <c r="C483" i="6"/>
  <c r="C486" i="6"/>
  <c r="D489" i="6"/>
  <c r="D492" i="6"/>
  <c r="D495" i="6"/>
  <c r="E498" i="6"/>
  <c r="E501" i="6"/>
  <c r="E504" i="6"/>
  <c r="E507" i="6"/>
  <c r="F510" i="6"/>
  <c r="C512" i="6"/>
  <c r="F513" i="6"/>
  <c r="C515" i="6"/>
  <c r="C518" i="6"/>
  <c r="D521" i="6"/>
  <c r="D524" i="6"/>
  <c r="D527" i="6"/>
  <c r="E530" i="6"/>
  <c r="E533" i="6"/>
  <c r="E536" i="6"/>
  <c r="E539" i="6"/>
  <c r="F542" i="6"/>
  <c r="C544" i="6"/>
  <c r="C547" i="6"/>
  <c r="C550" i="6"/>
  <c r="D553" i="6"/>
  <c r="D556" i="6"/>
  <c r="D559" i="6"/>
  <c r="E562" i="6"/>
  <c r="E565" i="6"/>
  <c r="E571" i="6"/>
  <c r="C576" i="6"/>
  <c r="C579" i="6"/>
  <c r="C582" i="6"/>
  <c r="B589" i="6"/>
  <c r="F589" i="6"/>
  <c r="D592" i="6"/>
  <c r="D604" i="6"/>
  <c r="C606" i="6"/>
  <c r="E611" i="6"/>
  <c r="F620" i="6"/>
  <c r="E620" i="6"/>
  <c r="D620" i="6"/>
  <c r="B620" i="6"/>
  <c r="D642" i="6"/>
  <c r="E642" i="6"/>
  <c r="F642" i="6"/>
  <c r="C642" i="6"/>
  <c r="B642" i="6"/>
  <c r="D650" i="6"/>
  <c r="F650" i="6"/>
  <c r="B650" i="6"/>
  <c r="E650" i="6"/>
  <c r="C650" i="6"/>
  <c r="B456" i="6"/>
  <c r="E463" i="6"/>
  <c r="F466" i="6"/>
  <c r="F472" i="6"/>
  <c r="D480" i="6"/>
  <c r="D483" i="6"/>
  <c r="E486" i="6"/>
  <c r="B488" i="6"/>
  <c r="E489" i="6"/>
  <c r="E492" i="6"/>
  <c r="E495" i="6"/>
  <c r="F498" i="6"/>
  <c r="F504" i="6"/>
  <c r="D512" i="6"/>
  <c r="D515" i="6"/>
  <c r="E518" i="6"/>
  <c r="B520" i="6"/>
  <c r="E521" i="6"/>
  <c r="E524" i="6"/>
  <c r="E527" i="6"/>
  <c r="F530" i="6"/>
  <c r="F536" i="6"/>
  <c r="D544" i="6"/>
  <c r="D547" i="6"/>
  <c r="E550" i="6"/>
  <c r="B552" i="6"/>
  <c r="E553" i="6"/>
  <c r="E556" i="6"/>
  <c r="E559" i="6"/>
  <c r="F562" i="6"/>
  <c r="D576" i="6"/>
  <c r="D579" i="6"/>
  <c r="E582" i="6"/>
  <c r="B584" i="6"/>
  <c r="C589" i="6"/>
  <c r="F591" i="6"/>
  <c r="C591" i="6"/>
  <c r="E592" i="6"/>
  <c r="F604" i="6"/>
  <c r="F607" i="6"/>
  <c r="E607" i="6"/>
  <c r="B609" i="6"/>
  <c r="F609" i="6"/>
  <c r="E609" i="6"/>
  <c r="C609" i="6"/>
  <c r="C620" i="6"/>
  <c r="B672" i="6"/>
  <c r="F672" i="6"/>
  <c r="E672" i="6"/>
  <c r="D672" i="6"/>
  <c r="C672" i="6"/>
  <c r="B476" i="6"/>
  <c r="B479" i="6"/>
  <c r="E483" i="6"/>
  <c r="F486" i="6"/>
  <c r="F489" i="6"/>
  <c r="B508" i="6"/>
  <c r="B511" i="6"/>
  <c r="E515" i="6"/>
  <c r="F518" i="6"/>
  <c r="F521" i="6"/>
  <c r="B540" i="6"/>
  <c r="B543" i="6"/>
  <c r="B546" i="6"/>
  <c r="E547" i="6"/>
  <c r="C549" i="6"/>
  <c r="F550" i="6"/>
  <c r="C552" i="6"/>
  <c r="F553" i="6"/>
  <c r="B572" i="6"/>
  <c r="B575" i="6"/>
  <c r="B578" i="6"/>
  <c r="E579" i="6"/>
  <c r="C581" i="6"/>
  <c r="F582" i="6"/>
  <c r="C584" i="6"/>
  <c r="D586" i="6"/>
  <c r="F586" i="6"/>
  <c r="D589" i="6"/>
  <c r="B591" i="6"/>
  <c r="F595" i="6"/>
  <c r="D595" i="6"/>
  <c r="B601" i="6"/>
  <c r="E601" i="6"/>
  <c r="B607" i="6"/>
  <c r="D609" i="6"/>
  <c r="B621" i="6"/>
  <c r="C621" i="6"/>
  <c r="F621" i="6"/>
  <c r="D621" i="6"/>
  <c r="E644" i="6"/>
  <c r="B644" i="6"/>
  <c r="F644" i="6"/>
  <c r="D644" i="6"/>
  <c r="C644" i="6"/>
  <c r="E589" i="6"/>
  <c r="D591" i="6"/>
  <c r="B595" i="6"/>
  <c r="C601" i="6"/>
  <c r="F603" i="6"/>
  <c r="E603" i="6"/>
  <c r="D603" i="6"/>
  <c r="B603" i="6"/>
  <c r="C607" i="6"/>
  <c r="E621" i="6"/>
  <c r="E453" i="6"/>
  <c r="C467" i="6"/>
  <c r="D476" i="6"/>
  <c r="D479" i="6"/>
  <c r="E482" i="6"/>
  <c r="E485" i="6"/>
  <c r="C496" i="6"/>
  <c r="C499" i="6"/>
  <c r="D508" i="6"/>
  <c r="D511" i="6"/>
  <c r="E514" i="6"/>
  <c r="E517" i="6"/>
  <c r="C528" i="6"/>
  <c r="C531" i="6"/>
  <c r="D537" i="6"/>
  <c r="D540" i="6"/>
  <c r="D543" i="6"/>
  <c r="E546" i="6"/>
  <c r="E549" i="6"/>
  <c r="E555" i="6"/>
  <c r="F558" i="6"/>
  <c r="C563" i="6"/>
  <c r="C566" i="6"/>
  <c r="D569" i="6"/>
  <c r="D572" i="6"/>
  <c r="D575" i="6"/>
  <c r="E578" i="6"/>
  <c r="E581" i="6"/>
  <c r="C586" i="6"/>
  <c r="B588" i="6"/>
  <c r="E591" i="6"/>
  <c r="C595" i="6"/>
  <c r="D601" i="6"/>
  <c r="C603" i="6"/>
  <c r="D607" i="6"/>
  <c r="B625" i="6"/>
  <c r="F625" i="6"/>
  <c r="E625" i="6"/>
  <c r="D625" i="6"/>
  <c r="C625" i="6"/>
  <c r="D467" i="6"/>
  <c r="E470" i="6"/>
  <c r="E473" i="6"/>
  <c r="B475" i="6"/>
  <c r="E479" i="6"/>
  <c r="D499" i="6"/>
  <c r="E502" i="6"/>
  <c r="E505" i="6"/>
  <c r="B507" i="6"/>
  <c r="E511" i="6"/>
  <c r="D531" i="6"/>
  <c r="E534" i="6"/>
  <c r="E537" i="6"/>
  <c r="B539" i="6"/>
  <c r="E543" i="6"/>
  <c r="E575" i="6"/>
  <c r="D588" i="6"/>
  <c r="C608" i="6"/>
  <c r="B608" i="6"/>
  <c r="F623" i="6"/>
  <c r="E623" i="6"/>
  <c r="D623" i="6"/>
  <c r="B623" i="6"/>
  <c r="D646" i="6"/>
  <c r="B646" i="6"/>
  <c r="F646" i="6"/>
  <c r="E646" i="6"/>
  <c r="C646" i="6"/>
  <c r="D613" i="6"/>
  <c r="D616" i="6"/>
  <c r="C628" i="6"/>
  <c r="D630" i="6"/>
  <c r="C630" i="6"/>
  <c r="B657" i="6"/>
  <c r="F657" i="6"/>
  <c r="E657" i="6"/>
  <c r="D674" i="6"/>
  <c r="F674" i="6"/>
  <c r="E674" i="6"/>
  <c r="C674" i="6"/>
  <c r="F691" i="6"/>
  <c r="E691" i="6"/>
  <c r="D691" i="6"/>
  <c r="C691" i="6"/>
  <c r="B691" i="6"/>
  <c r="B729" i="6"/>
  <c r="F729" i="6"/>
  <c r="E729" i="6"/>
  <c r="D729" i="6"/>
  <c r="C729" i="6"/>
  <c r="E757" i="6"/>
  <c r="F757" i="6"/>
  <c r="D757" i="6"/>
  <c r="C757" i="6"/>
  <c r="B757" i="6"/>
  <c r="F639" i="6"/>
  <c r="D639" i="6"/>
  <c r="F655" i="6"/>
  <c r="C655" i="6"/>
  <c r="E668" i="6"/>
  <c r="D668" i="6"/>
  <c r="C668" i="6"/>
  <c r="F680" i="6"/>
  <c r="E680" i="6"/>
  <c r="D680" i="6"/>
  <c r="B680" i="6"/>
  <c r="F683" i="6"/>
  <c r="E683" i="6"/>
  <c r="D683" i="6"/>
  <c r="B683" i="6"/>
  <c r="F688" i="6"/>
  <c r="E688" i="6"/>
  <c r="D688" i="6"/>
  <c r="C688" i="6"/>
  <c r="B688" i="6"/>
  <c r="F768" i="6"/>
  <c r="C768" i="6"/>
  <c r="B768" i="6"/>
  <c r="E768" i="6"/>
  <c r="D768" i="6"/>
  <c r="F872" i="6"/>
  <c r="E872" i="6"/>
  <c r="D872" i="6"/>
  <c r="C872" i="6"/>
  <c r="B872" i="6"/>
  <c r="B878" i="6"/>
  <c r="F878" i="6"/>
  <c r="E878" i="6"/>
  <c r="D878" i="6"/>
  <c r="C878" i="6"/>
  <c r="F610" i="6"/>
  <c r="C612" i="6"/>
  <c r="F613" i="6"/>
  <c r="C615" i="6"/>
  <c r="F616" i="6"/>
  <c r="C618" i="6"/>
  <c r="F627" i="6"/>
  <c r="C627" i="6"/>
  <c r="E628" i="6"/>
  <c r="E630" i="6"/>
  <c r="B639" i="6"/>
  <c r="F651" i="6"/>
  <c r="E651" i="6"/>
  <c r="B655" i="6"/>
  <c r="D657" i="6"/>
  <c r="D662" i="6"/>
  <c r="E662" i="6"/>
  <c r="C662" i="6"/>
  <c r="B662" i="6"/>
  <c r="B668" i="6"/>
  <c r="F675" i="6"/>
  <c r="B675" i="6"/>
  <c r="C680" i="6"/>
  <c r="C683" i="6"/>
  <c r="B689" i="6"/>
  <c r="F689" i="6"/>
  <c r="E689" i="6"/>
  <c r="C689" i="6"/>
  <c r="D694" i="6"/>
  <c r="F694" i="6"/>
  <c r="E694" i="6"/>
  <c r="C694" i="6"/>
  <c r="B694" i="6"/>
  <c r="B822" i="6"/>
  <c r="F822" i="6"/>
  <c r="E822" i="6"/>
  <c r="C822" i="6"/>
  <c r="D822" i="6"/>
  <c r="D622" i="6"/>
  <c r="F622" i="6"/>
  <c r="C639" i="6"/>
  <c r="F643" i="6"/>
  <c r="B643" i="6"/>
  <c r="B645" i="6"/>
  <c r="E645" i="6"/>
  <c r="F647" i="6"/>
  <c r="E647" i="6"/>
  <c r="B647" i="6"/>
  <c r="B649" i="6"/>
  <c r="C649" i="6"/>
  <c r="B651" i="6"/>
  <c r="D655" i="6"/>
  <c r="F662" i="6"/>
  <c r="F668" i="6"/>
  <c r="C675" i="6"/>
  <c r="D678" i="6"/>
  <c r="B678" i="6"/>
  <c r="E678" i="6"/>
  <c r="D686" i="6"/>
  <c r="F686" i="6"/>
  <c r="E686" i="6"/>
  <c r="B686" i="6"/>
  <c r="D689" i="6"/>
  <c r="F723" i="6"/>
  <c r="E723" i="6"/>
  <c r="D723" i="6"/>
  <c r="C723" i="6"/>
  <c r="B723" i="6"/>
  <c r="C594" i="6"/>
  <c r="D597" i="6"/>
  <c r="E612" i="6"/>
  <c r="E615" i="6"/>
  <c r="F618" i="6"/>
  <c r="B622" i="6"/>
  <c r="D627" i="6"/>
  <c r="C629" i="6"/>
  <c r="B636" i="6"/>
  <c r="E639" i="6"/>
  <c r="C643" i="6"/>
  <c r="C645" i="6"/>
  <c r="C647" i="6"/>
  <c r="C651" i="6"/>
  <c r="E655" i="6"/>
  <c r="D675" i="6"/>
  <c r="F712" i="6"/>
  <c r="E712" i="6"/>
  <c r="D712" i="6"/>
  <c r="B712" i="6"/>
  <c r="F720" i="6"/>
  <c r="E720" i="6"/>
  <c r="D720" i="6"/>
  <c r="C720" i="6"/>
  <c r="B720" i="6"/>
  <c r="B766" i="6"/>
  <c r="F766" i="6"/>
  <c r="E766" i="6"/>
  <c r="D766" i="6"/>
  <c r="C766" i="6"/>
  <c r="D819" i="6"/>
  <c r="F819" i="6"/>
  <c r="E819" i="6"/>
  <c r="B819" i="6"/>
  <c r="C819" i="6"/>
  <c r="E594" i="6"/>
  <c r="E597" i="6"/>
  <c r="F619" i="6"/>
  <c r="E619" i="6"/>
  <c r="C622" i="6"/>
  <c r="E627" i="6"/>
  <c r="D629" i="6"/>
  <c r="C636" i="6"/>
  <c r="D643" i="6"/>
  <c r="D645" i="6"/>
  <c r="D647" i="6"/>
  <c r="D651" i="6"/>
  <c r="F656" i="6"/>
  <c r="C656" i="6"/>
  <c r="B656" i="6"/>
  <c r="F671" i="6"/>
  <c r="E671" i="6"/>
  <c r="D671" i="6"/>
  <c r="C671" i="6"/>
  <c r="E675" i="6"/>
  <c r="F678" i="6"/>
  <c r="B697" i="6"/>
  <c r="F697" i="6"/>
  <c r="E697" i="6"/>
  <c r="D697" i="6"/>
  <c r="C697" i="6"/>
  <c r="C712" i="6"/>
  <c r="D726" i="6"/>
  <c r="F726" i="6"/>
  <c r="E726" i="6"/>
  <c r="C726" i="6"/>
  <c r="B726" i="6"/>
  <c r="E622" i="6"/>
  <c r="E629" i="6"/>
  <c r="B633" i="6"/>
  <c r="D633" i="6"/>
  <c r="E636" i="6"/>
  <c r="E643" i="6"/>
  <c r="D654" i="6"/>
  <c r="F654" i="6"/>
  <c r="E654" i="6"/>
  <c r="D656" i="6"/>
  <c r="B665" i="6"/>
  <c r="E665" i="6"/>
  <c r="D665" i="6"/>
  <c r="C665" i="6"/>
  <c r="B671" i="6"/>
  <c r="F752" i="6"/>
  <c r="E752" i="6"/>
  <c r="D752" i="6"/>
  <c r="C752" i="6"/>
  <c r="B752" i="6"/>
  <c r="F793" i="6"/>
  <c r="C793" i="6"/>
  <c r="E793" i="6"/>
  <c r="D793" i="6"/>
  <c r="B793" i="6"/>
  <c r="F760" i="6"/>
  <c r="E760" i="6"/>
  <c r="D760" i="6"/>
  <c r="F792" i="6"/>
  <c r="E792" i="6"/>
  <c r="D792" i="6"/>
  <c r="C792" i="6"/>
  <c r="B802" i="6"/>
  <c r="D802" i="6"/>
  <c r="F813" i="6"/>
  <c r="E813" i="6"/>
  <c r="D813" i="6"/>
  <c r="B813" i="6"/>
  <c r="E821" i="6"/>
  <c r="D821" i="6"/>
  <c r="C821" i="6"/>
  <c r="B821" i="6"/>
  <c r="F824" i="6"/>
  <c r="E824" i="6"/>
  <c r="D824" i="6"/>
  <c r="C824" i="6"/>
  <c r="B824" i="6"/>
  <c r="D898" i="6"/>
  <c r="B898" i="6"/>
  <c r="F898" i="6"/>
  <c r="E898" i="6"/>
  <c r="C898" i="6"/>
  <c r="D954" i="6"/>
  <c r="F954" i="6"/>
  <c r="E954" i="6"/>
  <c r="C954" i="6"/>
  <c r="B954" i="6"/>
  <c r="F977" i="6"/>
  <c r="B977" i="6"/>
  <c r="E977" i="6"/>
  <c r="D977" i="6"/>
  <c r="C977" i="6"/>
  <c r="F988" i="6"/>
  <c r="D988" i="6"/>
  <c r="E988" i="6"/>
  <c r="C988" i="6"/>
  <c r="B988" i="6"/>
  <c r="E681" i="6"/>
  <c r="D704" i="6"/>
  <c r="D707" i="6"/>
  <c r="E710" i="6"/>
  <c r="E713" i="6"/>
  <c r="B715" i="6"/>
  <c r="B718" i="6"/>
  <c r="C721" i="6"/>
  <c r="D736" i="6"/>
  <c r="D739" i="6"/>
  <c r="E742" i="6"/>
  <c r="B744" i="6"/>
  <c r="E745" i="6"/>
  <c r="B747" i="6"/>
  <c r="B750" i="6"/>
  <c r="C753" i="6"/>
  <c r="B760" i="6"/>
  <c r="F772" i="6"/>
  <c r="E772" i="6"/>
  <c r="F780" i="6"/>
  <c r="D780" i="6"/>
  <c r="C780" i="6"/>
  <c r="B780" i="6"/>
  <c r="B790" i="6"/>
  <c r="F790" i="6"/>
  <c r="C790" i="6"/>
  <c r="B792" i="6"/>
  <c r="C802" i="6"/>
  <c r="C813" i="6"/>
  <c r="F816" i="6"/>
  <c r="E816" i="6"/>
  <c r="D816" i="6"/>
  <c r="B816" i="6"/>
  <c r="F821" i="6"/>
  <c r="D827" i="6"/>
  <c r="F827" i="6"/>
  <c r="E827" i="6"/>
  <c r="C827" i="6"/>
  <c r="B827" i="6"/>
  <c r="D843" i="6"/>
  <c r="C843" i="6"/>
  <c r="F843" i="6"/>
  <c r="E843" i="6"/>
  <c r="B843" i="6"/>
  <c r="D677" i="6"/>
  <c r="C700" i="6"/>
  <c r="C703" i="6"/>
  <c r="F704" i="6"/>
  <c r="C706" i="6"/>
  <c r="D709" i="6"/>
  <c r="D715" i="6"/>
  <c r="E718" i="6"/>
  <c r="E721" i="6"/>
  <c r="C732" i="6"/>
  <c r="C735" i="6"/>
  <c r="F736" i="6"/>
  <c r="C738" i="6"/>
  <c r="D741" i="6"/>
  <c r="D744" i="6"/>
  <c r="D747" i="6"/>
  <c r="E750" i="6"/>
  <c r="E753" i="6"/>
  <c r="C755" i="6"/>
  <c r="C764" i="6"/>
  <c r="D770" i="6"/>
  <c r="C772" i="6"/>
  <c r="F781" i="6"/>
  <c r="E781" i="6"/>
  <c r="B781" i="6"/>
  <c r="D783" i="6"/>
  <c r="E783" i="6"/>
  <c r="C783" i="6"/>
  <c r="B783" i="6"/>
  <c r="E790" i="6"/>
  <c r="D795" i="6"/>
  <c r="F795" i="6"/>
  <c r="E795" i="6"/>
  <c r="C795" i="6"/>
  <c r="F802" i="6"/>
  <c r="C653" i="6"/>
  <c r="B676" i="6"/>
  <c r="E677" i="6"/>
  <c r="B679" i="6"/>
  <c r="B682" i="6"/>
  <c r="C685" i="6"/>
  <c r="D700" i="6"/>
  <c r="D703" i="6"/>
  <c r="E706" i="6"/>
  <c r="B708" i="6"/>
  <c r="E709" i="6"/>
  <c r="B711" i="6"/>
  <c r="B714" i="6"/>
  <c r="E715" i="6"/>
  <c r="C717" i="6"/>
  <c r="F718" i="6"/>
  <c r="F721" i="6"/>
  <c r="D732" i="6"/>
  <c r="D735" i="6"/>
  <c r="E738" i="6"/>
  <c r="B740" i="6"/>
  <c r="E741" i="6"/>
  <c r="B743" i="6"/>
  <c r="E744" i="6"/>
  <c r="B746" i="6"/>
  <c r="E747" i="6"/>
  <c r="C749" i="6"/>
  <c r="F750" i="6"/>
  <c r="F753" i="6"/>
  <c r="E755" i="6"/>
  <c r="B761" i="6"/>
  <c r="D764" i="6"/>
  <c r="E770" i="6"/>
  <c r="D772" i="6"/>
  <c r="C781" i="6"/>
  <c r="F783" i="6"/>
  <c r="B795" i="6"/>
  <c r="B798" i="6"/>
  <c r="F798" i="6"/>
  <c r="E798" i="6"/>
  <c r="D798" i="6"/>
  <c r="C676" i="6"/>
  <c r="F677" i="6"/>
  <c r="E700" i="6"/>
  <c r="E703" i="6"/>
  <c r="F706" i="6"/>
  <c r="C708" i="6"/>
  <c r="F709" i="6"/>
  <c r="E732" i="6"/>
  <c r="E735" i="6"/>
  <c r="F738" i="6"/>
  <c r="C740" i="6"/>
  <c r="F741" i="6"/>
  <c r="B754" i="6"/>
  <c r="E754" i="6"/>
  <c r="F755" i="6"/>
  <c r="E764" i="6"/>
  <c r="F769" i="6"/>
  <c r="E769" i="6"/>
  <c r="F770" i="6"/>
  <c r="D781" i="6"/>
  <c r="F784" i="6"/>
  <c r="E784" i="6"/>
  <c r="B784" i="6"/>
  <c r="B786" i="6"/>
  <c r="E786" i="6"/>
  <c r="D786" i="6"/>
  <c r="C786" i="6"/>
  <c r="F796" i="6"/>
  <c r="C796" i="6"/>
  <c r="C798" i="6"/>
  <c r="F756" i="6"/>
  <c r="B756" i="6"/>
  <c r="D763" i="6"/>
  <c r="F763" i="6"/>
  <c r="E763" i="6"/>
  <c r="C765" i="6"/>
  <c r="B765" i="6"/>
  <c r="D771" i="6"/>
  <c r="C771" i="6"/>
  <c r="B771" i="6"/>
  <c r="D775" i="6"/>
  <c r="F775" i="6"/>
  <c r="E775" i="6"/>
  <c r="D777" i="6"/>
  <c r="C777" i="6"/>
  <c r="B777" i="6"/>
  <c r="C784" i="6"/>
  <c r="E789" i="6"/>
  <c r="D789" i="6"/>
  <c r="C789" i="6"/>
  <c r="D799" i="6"/>
  <c r="C799" i="6"/>
  <c r="D635" i="6"/>
  <c r="E638" i="6"/>
  <c r="F653" i="6"/>
  <c r="C658" i="6"/>
  <c r="D661" i="6"/>
  <c r="D667" i="6"/>
  <c r="E670" i="6"/>
  <c r="E679" i="6"/>
  <c r="C681" i="6"/>
  <c r="F682" i="6"/>
  <c r="F685" i="6"/>
  <c r="C687" i="6"/>
  <c r="C690" i="6"/>
  <c r="D693" i="6"/>
  <c r="D699" i="6"/>
  <c r="E702" i="6"/>
  <c r="B707" i="6"/>
  <c r="B710" i="6"/>
  <c r="E711" i="6"/>
  <c r="C713" i="6"/>
  <c r="F714" i="6"/>
  <c r="F717" i="6"/>
  <c r="C719" i="6"/>
  <c r="C722" i="6"/>
  <c r="D725" i="6"/>
  <c r="D731" i="6"/>
  <c r="E734" i="6"/>
  <c r="E737" i="6"/>
  <c r="B739" i="6"/>
  <c r="B742" i="6"/>
  <c r="E743" i="6"/>
  <c r="C745" i="6"/>
  <c r="F746" i="6"/>
  <c r="F749" i="6"/>
  <c r="C751" i="6"/>
  <c r="D754" i="6"/>
  <c r="C756" i="6"/>
  <c r="B763" i="6"/>
  <c r="D765" i="6"/>
  <c r="C767" i="6"/>
  <c r="C769" i="6"/>
  <c r="E771" i="6"/>
  <c r="B775" i="6"/>
  <c r="E777" i="6"/>
  <c r="D784" i="6"/>
  <c r="D787" i="6"/>
  <c r="F787" i="6"/>
  <c r="B787" i="6"/>
  <c r="B789" i="6"/>
  <c r="D796" i="6"/>
  <c r="B799" i="6"/>
  <c r="F797" i="6"/>
  <c r="C825" i="6"/>
  <c r="C828" i="6"/>
  <c r="F829" i="6"/>
  <c r="C833" i="6"/>
  <c r="E825" i="6"/>
  <c r="E828" i="6"/>
  <c r="F832" i="6"/>
  <c r="E832" i="6"/>
  <c r="E833" i="6"/>
  <c r="D835" i="6"/>
  <c r="C835" i="6"/>
  <c r="F841" i="6"/>
  <c r="F856" i="6"/>
  <c r="D856" i="6"/>
  <c r="C856" i="6"/>
  <c r="B856" i="6"/>
  <c r="F869" i="6"/>
  <c r="E869" i="6"/>
  <c r="D869" i="6"/>
  <c r="C869" i="6"/>
  <c r="B869" i="6"/>
  <c r="E778" i="6"/>
  <c r="D801" i="6"/>
  <c r="D804" i="6"/>
  <c r="E807" i="6"/>
  <c r="B809" i="6"/>
  <c r="E810" i="6"/>
  <c r="B812" i="6"/>
  <c r="B815" i="6"/>
  <c r="C818" i="6"/>
  <c r="B832" i="6"/>
  <c r="B835" i="6"/>
  <c r="D853" i="6"/>
  <c r="C853" i="6"/>
  <c r="B853" i="6"/>
  <c r="F853" i="6"/>
  <c r="D875" i="6"/>
  <c r="F875" i="6"/>
  <c r="E875" i="6"/>
  <c r="C875" i="6"/>
  <c r="B875" i="6"/>
  <c r="D894" i="6"/>
  <c r="E894" i="6"/>
  <c r="F894" i="6"/>
  <c r="C894" i="6"/>
  <c r="B894" i="6"/>
  <c r="F911" i="6"/>
  <c r="C911" i="6"/>
  <c r="B911" i="6"/>
  <c r="E911" i="6"/>
  <c r="D911" i="6"/>
  <c r="C774" i="6"/>
  <c r="F778" i="6"/>
  <c r="B797" i="6"/>
  <c r="B800" i="6"/>
  <c r="E801" i="6"/>
  <c r="B803" i="6"/>
  <c r="E804" i="6"/>
  <c r="C806" i="6"/>
  <c r="F807" i="6"/>
  <c r="C809" i="6"/>
  <c r="F810" i="6"/>
  <c r="C812" i="6"/>
  <c r="C815" i="6"/>
  <c r="D818" i="6"/>
  <c r="B829" i="6"/>
  <c r="C832" i="6"/>
  <c r="E835" i="6"/>
  <c r="C837" i="6"/>
  <c r="D845" i="6"/>
  <c r="E853" i="6"/>
  <c r="B759" i="6"/>
  <c r="D774" i="6"/>
  <c r="B788" i="6"/>
  <c r="B791" i="6"/>
  <c r="C800" i="6"/>
  <c r="C803" i="6"/>
  <c r="D806" i="6"/>
  <c r="D812" i="6"/>
  <c r="E815" i="6"/>
  <c r="E818" i="6"/>
  <c r="B820" i="6"/>
  <c r="B823" i="6"/>
  <c r="D832" i="6"/>
  <c r="F835" i="6"/>
  <c r="E845" i="6"/>
  <c r="E896" i="6"/>
  <c r="B896" i="6"/>
  <c r="F896" i="6"/>
  <c r="D896" i="6"/>
  <c r="C896" i="6"/>
  <c r="D831" i="6"/>
  <c r="C831" i="6"/>
  <c r="F836" i="6"/>
  <c r="E836" i="6"/>
  <c r="D839" i="6"/>
  <c r="C839" i="6"/>
  <c r="F845" i="6"/>
  <c r="E849" i="6"/>
  <c r="C849" i="6"/>
  <c r="C852" i="6"/>
  <c r="C855" i="6"/>
  <c r="D858" i="6"/>
  <c r="D861" i="6"/>
  <c r="D864" i="6"/>
  <c r="E867" i="6"/>
  <c r="E870" i="6"/>
  <c r="E876" i="6"/>
  <c r="C881" i="6"/>
  <c r="C884" i="6"/>
  <c r="F885" i="6"/>
  <c r="D892" i="6"/>
  <c r="E904" i="6"/>
  <c r="B909" i="6"/>
  <c r="F909" i="6"/>
  <c r="E909" i="6"/>
  <c r="E920" i="6"/>
  <c r="D920" i="6"/>
  <c r="C920" i="6"/>
  <c r="D852" i="6"/>
  <c r="E861" i="6"/>
  <c r="E864" i="6"/>
  <c r="F904" i="6"/>
  <c r="F907" i="6"/>
  <c r="C907" i="6"/>
  <c r="C909" i="6"/>
  <c r="F940" i="6"/>
  <c r="E940" i="6"/>
  <c r="D940" i="6"/>
  <c r="C940" i="6"/>
  <c r="B940" i="6"/>
  <c r="F961" i="6"/>
  <c r="B961" i="6"/>
  <c r="E961" i="6"/>
  <c r="D961" i="6"/>
  <c r="C961" i="6"/>
  <c r="B851" i="6"/>
  <c r="E852" i="6"/>
  <c r="C854" i="6"/>
  <c r="F855" i="6"/>
  <c r="F861" i="6"/>
  <c r="B877" i="6"/>
  <c r="B880" i="6"/>
  <c r="B883" i="6"/>
  <c r="E884" i="6"/>
  <c r="C886" i="6"/>
  <c r="B891" i="6"/>
  <c r="F892" i="6"/>
  <c r="F903" i="6"/>
  <c r="E903" i="6"/>
  <c r="D903" i="6"/>
  <c r="B907" i="6"/>
  <c r="D909" i="6"/>
  <c r="D914" i="6"/>
  <c r="E914" i="6"/>
  <c r="C914" i="6"/>
  <c r="B914" i="6"/>
  <c r="F920" i="6"/>
  <c r="B990" i="6"/>
  <c r="D990" i="6"/>
  <c r="F990" i="6"/>
  <c r="E990" i="6"/>
  <c r="C990" i="6"/>
  <c r="C877" i="6"/>
  <c r="F895" i="6"/>
  <c r="B895" i="6"/>
  <c r="B897" i="6"/>
  <c r="E897" i="6"/>
  <c r="F899" i="6"/>
  <c r="E899" i="6"/>
  <c r="B899" i="6"/>
  <c r="B901" i="6"/>
  <c r="C901" i="6"/>
  <c r="D907" i="6"/>
  <c r="D910" i="6"/>
  <c r="C910" i="6"/>
  <c r="F945" i="6"/>
  <c r="B945" i="6"/>
  <c r="E945" i="6"/>
  <c r="D945" i="6"/>
  <c r="C945" i="6"/>
  <c r="D986" i="6"/>
  <c r="F986" i="6"/>
  <c r="E986" i="6"/>
  <c r="C986" i="6"/>
  <c r="B986" i="6"/>
  <c r="E840" i="6"/>
  <c r="C847" i="6"/>
  <c r="E851" i="6"/>
  <c r="E854" i="6"/>
  <c r="B859" i="6"/>
  <c r="E860" i="6"/>
  <c r="C862" i="6"/>
  <c r="F863" i="6"/>
  <c r="C865" i="6"/>
  <c r="C868" i="6"/>
  <c r="C871" i="6"/>
  <c r="D874" i="6"/>
  <c r="D877" i="6"/>
  <c r="D880" i="6"/>
  <c r="E883" i="6"/>
  <c r="B885" i="6"/>
  <c r="E886" i="6"/>
  <c r="C888" i="6"/>
  <c r="D891" i="6"/>
  <c r="C895" i="6"/>
  <c r="C897" i="6"/>
  <c r="C899" i="6"/>
  <c r="D901" i="6"/>
  <c r="C903" i="6"/>
  <c r="E907" i="6"/>
  <c r="B910" i="6"/>
  <c r="F851" i="6"/>
  <c r="F854" i="6"/>
  <c r="C859" i="6"/>
  <c r="D862" i="6"/>
  <c r="D865" i="6"/>
  <c r="D868" i="6"/>
  <c r="E871" i="6"/>
  <c r="E877" i="6"/>
  <c r="E880" i="6"/>
  <c r="F883" i="6"/>
  <c r="C885" i="6"/>
  <c r="F886" i="6"/>
  <c r="D890" i="6"/>
  <c r="E890" i="6"/>
  <c r="D895" i="6"/>
  <c r="D897" i="6"/>
  <c r="D899" i="6"/>
  <c r="F908" i="6"/>
  <c r="C908" i="6"/>
  <c r="B908" i="6"/>
  <c r="E910" i="6"/>
  <c r="B917" i="6"/>
  <c r="E917" i="6"/>
  <c r="D917" i="6"/>
  <c r="C917" i="6"/>
  <c r="D970" i="6"/>
  <c r="F970" i="6"/>
  <c r="E970" i="6"/>
  <c r="C970" i="6"/>
  <c r="B970" i="6"/>
  <c r="E859" i="6"/>
  <c r="E862" i="6"/>
  <c r="B864" i="6"/>
  <c r="B867" i="6"/>
  <c r="E868" i="6"/>
  <c r="C870" i="6"/>
  <c r="F887" i="6"/>
  <c r="D887" i="6"/>
  <c r="B890" i="6"/>
  <c r="E895" i="6"/>
  <c r="F897" i="6"/>
  <c r="F901" i="6"/>
  <c r="B904" i="6"/>
  <c r="D906" i="6"/>
  <c r="F906" i="6"/>
  <c r="E906" i="6"/>
  <c r="D908" i="6"/>
  <c r="F910" i="6"/>
  <c r="F917" i="6"/>
  <c r="C923" i="6"/>
  <c r="F924" i="6"/>
  <c r="C926" i="6"/>
  <c r="D929" i="6"/>
  <c r="D932" i="6"/>
  <c r="D935" i="6"/>
  <c r="E938" i="6"/>
  <c r="D943" i="6"/>
  <c r="B947" i="6"/>
  <c r="F947" i="6"/>
  <c r="F948" i="6"/>
  <c r="E950" i="6"/>
  <c r="C952" i="6"/>
  <c r="D959" i="6"/>
  <c r="B963" i="6"/>
  <c r="F963" i="6"/>
  <c r="F964" i="6"/>
  <c r="E966" i="6"/>
  <c r="C968" i="6"/>
  <c r="D975" i="6"/>
  <c r="B979" i="6"/>
  <c r="F979" i="6"/>
  <c r="F980" i="6"/>
  <c r="E982" i="6"/>
  <c r="C984" i="6"/>
  <c r="C992" i="6"/>
  <c r="B902" i="6"/>
  <c r="D923" i="6"/>
  <c r="E926" i="6"/>
  <c r="B928" i="6"/>
  <c r="E929" i="6"/>
  <c r="B931" i="6"/>
  <c r="E932" i="6"/>
  <c r="B934" i="6"/>
  <c r="E935" i="6"/>
  <c r="F938" i="6"/>
  <c r="F949" i="6"/>
  <c r="B949" i="6"/>
  <c r="F950" i="6"/>
  <c r="E952" i="6"/>
  <c r="F965" i="6"/>
  <c r="B965" i="6"/>
  <c r="F966" i="6"/>
  <c r="E968" i="6"/>
  <c r="F981" i="6"/>
  <c r="B981" i="6"/>
  <c r="F982" i="6"/>
  <c r="E984" i="6"/>
  <c r="F997" i="6"/>
  <c r="B997" i="6"/>
  <c r="B916" i="6"/>
  <c r="E923" i="6"/>
  <c r="F932" i="6"/>
  <c r="B951" i="6"/>
  <c r="F951" i="6"/>
  <c r="F952" i="6"/>
  <c r="B967" i="6"/>
  <c r="F967" i="6"/>
  <c r="F968" i="6"/>
  <c r="B983" i="6"/>
  <c r="F983" i="6"/>
  <c r="F984" i="6"/>
  <c r="F993" i="6"/>
  <c r="B993" i="6"/>
  <c r="D995" i="6"/>
  <c r="B995" i="6"/>
  <c r="F995" i="6"/>
  <c r="C997" i="6"/>
  <c r="B936" i="6"/>
  <c r="B939" i="6"/>
  <c r="B944" i="6"/>
  <c r="C951" i="6"/>
  <c r="F953" i="6"/>
  <c r="B953" i="6"/>
  <c r="B960" i="6"/>
  <c r="C967" i="6"/>
  <c r="F969" i="6"/>
  <c r="B969" i="6"/>
  <c r="B976" i="6"/>
  <c r="C983" i="6"/>
  <c r="F985" i="6"/>
  <c r="B985" i="6"/>
  <c r="F989" i="6"/>
  <c r="B989" i="6"/>
  <c r="D991" i="6"/>
  <c r="B991" i="6"/>
  <c r="F991" i="6"/>
  <c r="C993" i="6"/>
  <c r="C995" i="6"/>
  <c r="D997" i="6"/>
  <c r="E893" i="6"/>
  <c r="F902" i="6"/>
  <c r="F905" i="6"/>
  <c r="D913" i="6"/>
  <c r="D919" i="6"/>
  <c r="E922" i="6"/>
  <c r="B924" i="6"/>
  <c r="E925" i="6"/>
  <c r="B927" i="6"/>
  <c r="B930" i="6"/>
  <c r="E931" i="6"/>
  <c r="C933" i="6"/>
  <c r="F934" i="6"/>
  <c r="C936" i="6"/>
  <c r="F937" i="6"/>
  <c r="C939" i="6"/>
  <c r="E942" i="6"/>
  <c r="C944" i="6"/>
  <c r="B946" i="6"/>
  <c r="E949" i="6"/>
  <c r="D951" i="6"/>
  <c r="C953" i="6"/>
  <c r="B955" i="6"/>
  <c r="F955" i="6"/>
  <c r="F956" i="6"/>
  <c r="E958" i="6"/>
  <c r="C960" i="6"/>
  <c r="B962" i="6"/>
  <c r="E965" i="6"/>
  <c r="D967" i="6"/>
  <c r="C969" i="6"/>
  <c r="B971" i="6"/>
  <c r="F971" i="6"/>
  <c r="F972" i="6"/>
  <c r="E974" i="6"/>
  <c r="C976" i="6"/>
  <c r="B978" i="6"/>
  <c r="E981" i="6"/>
  <c r="D983" i="6"/>
  <c r="C985" i="6"/>
  <c r="D987" i="6"/>
  <c r="B987" i="6"/>
  <c r="F987" i="6"/>
  <c r="C989" i="6"/>
  <c r="C991" i="6"/>
  <c r="D993" i="6"/>
  <c r="E995" i="6"/>
  <c r="E997" i="6"/>
  <c r="E913" i="6"/>
  <c r="C924" i="6"/>
  <c r="C927" i="6"/>
  <c r="D936" i="6"/>
  <c r="D939" i="6"/>
  <c r="F941" i="6"/>
  <c r="B941" i="6"/>
  <c r="E944" i="6"/>
  <c r="C946" i="6"/>
  <c r="E951" i="6"/>
  <c r="D953" i="6"/>
  <c r="F957" i="6"/>
  <c r="B957" i="6"/>
  <c r="E960" i="6"/>
  <c r="C962" i="6"/>
  <c r="E967" i="6"/>
  <c r="D969" i="6"/>
  <c r="F973" i="6"/>
  <c r="B973" i="6"/>
  <c r="E976" i="6"/>
  <c r="C978" i="6"/>
  <c r="E983" i="6"/>
  <c r="D985" i="6"/>
  <c r="E993" i="6"/>
  <c r="F996" i="6"/>
  <c r="D996" i="6"/>
  <c r="B998" i="6"/>
  <c r="D998" i="6"/>
  <c r="D927" i="6"/>
  <c r="E930" i="6"/>
  <c r="E933" i="6"/>
  <c r="B935" i="6"/>
  <c r="B938" i="6"/>
  <c r="E939" i="6"/>
  <c r="C941" i="6"/>
  <c r="B943" i="6"/>
  <c r="F943" i="6"/>
  <c r="F944" i="6"/>
  <c r="E946" i="6"/>
  <c r="B950" i="6"/>
  <c r="E953" i="6"/>
  <c r="C957" i="6"/>
  <c r="B959" i="6"/>
  <c r="F959" i="6"/>
  <c r="F960" i="6"/>
  <c r="E962" i="6"/>
  <c r="B966" i="6"/>
  <c r="E969" i="6"/>
  <c r="C973" i="6"/>
  <c r="B975" i="6"/>
  <c r="F975" i="6"/>
  <c r="F976" i="6"/>
  <c r="E978" i="6"/>
  <c r="B982" i="6"/>
  <c r="E985" i="6"/>
  <c r="E989" i="6"/>
  <c r="F992" i="6"/>
  <c r="D992" i="6"/>
  <c r="B994" i="6"/>
  <c r="D994" i="6"/>
  <c r="B996" i="6"/>
  <c r="C998" i="6"/>
  <c r="F999" i="6"/>
  <c r="C1000" i="6"/>
  <c r="B999" i="6"/>
  <c r="D1000" i="6"/>
  <c r="K31" i="2"/>
  <c r="D19" i="4"/>
  <c r="L11" i="2"/>
  <c r="K30" i="2"/>
  <c r="M30" i="2" s="1"/>
  <c r="K39" i="2"/>
  <c r="M39" i="2" s="1"/>
  <c r="T39" i="2" s="1"/>
  <c r="L53" i="2"/>
  <c r="K55" i="2"/>
  <c r="M55" i="2" s="1"/>
  <c r="T55" i="2" s="1"/>
  <c r="K20" i="2"/>
  <c r="G8" i="3"/>
  <c r="L27" i="2"/>
  <c r="K15" i="2"/>
  <c r="D14" i="4"/>
  <c r="L10" i="2"/>
  <c r="U10" i="2" s="1"/>
  <c r="V10" i="2" s="1"/>
  <c r="G14" i="3"/>
  <c r="H14" i="3" s="1"/>
  <c r="D13" i="4"/>
  <c r="G10" i="3"/>
  <c r="H10" i="3" s="1"/>
  <c r="D12" i="4"/>
  <c r="K13" i="2"/>
  <c r="M13" i="2" s="1"/>
  <c r="G9" i="3"/>
  <c r="H9" i="3" s="1"/>
  <c r="L43" i="2"/>
  <c r="D7" i="4"/>
  <c r="K47" i="2"/>
  <c r="K28" i="2"/>
  <c r="M28" i="2" s="1"/>
  <c r="T28" i="2" s="1"/>
  <c r="E17" i="3"/>
  <c r="D22" i="4"/>
  <c r="F9" i="4"/>
  <c r="G9" i="4" s="1"/>
  <c r="L18" i="2"/>
  <c r="M18" i="2" s="1"/>
  <c r="K46" i="2"/>
  <c r="M46" i="2" s="1"/>
  <c r="P46" i="2" s="1"/>
  <c r="K23" i="2"/>
  <c r="M23" i="2" s="1"/>
  <c r="T23" i="2" s="1"/>
  <c r="G17" i="3"/>
  <c r="L50" i="2"/>
  <c r="U50" i="2" s="1"/>
  <c r="V50" i="2" s="1"/>
  <c r="K14" i="2"/>
  <c r="F12" i="4"/>
  <c r="G12" i="4" s="1"/>
  <c r="F19" i="4"/>
  <c r="G19" i="4" s="1"/>
  <c r="L21" i="2"/>
  <c r="E8" i="3"/>
  <c r="F11" i="4"/>
  <c r="G11" i="4" s="1"/>
  <c r="L41" i="2"/>
  <c r="U41" i="2" s="1"/>
  <c r="V41" i="2" s="1"/>
  <c r="F24" i="4"/>
  <c r="G24" i="4" s="1"/>
  <c r="AB15" i="1" s="1"/>
  <c r="U39" i="2"/>
  <c r="V39" i="2" s="1"/>
  <c r="E9" i="3"/>
  <c r="D20" i="4"/>
  <c r="F8" i="4"/>
  <c r="G8" i="4" s="1"/>
  <c r="L36" i="2"/>
  <c r="M36" i="2" s="1"/>
  <c r="T36" i="2" s="1"/>
  <c r="D22" i="3"/>
  <c r="E16" i="3"/>
  <c r="F26" i="4"/>
  <c r="G26" i="4" s="1"/>
  <c r="D13" i="3"/>
  <c r="G24" i="3"/>
  <c r="H24" i="3" s="1"/>
  <c r="G16" i="3"/>
  <c r="H16" i="3" s="1"/>
  <c r="L51" i="2"/>
  <c r="U51" i="2" s="1"/>
  <c r="V51" i="2" s="1"/>
  <c r="L19" i="2"/>
  <c r="U19" i="2" s="1"/>
  <c r="V19" i="2" s="1"/>
  <c r="D20" i="3"/>
  <c r="G23" i="3"/>
  <c r="E21" i="3"/>
  <c r="G22" i="3"/>
  <c r="H22" i="3" s="1"/>
  <c r="D18" i="4"/>
  <c r="D10" i="4"/>
  <c r="F15" i="4"/>
  <c r="G15" i="4" s="1"/>
  <c r="L7" i="2"/>
  <c r="U7" i="2" s="1"/>
  <c r="V7" i="2" s="1"/>
  <c r="L49" i="2"/>
  <c r="U49" i="2" s="1"/>
  <c r="V49" i="2" s="1"/>
  <c r="K35" i="2"/>
  <c r="M35" i="2" s="1"/>
  <c r="D18" i="3"/>
  <c r="D10" i="3"/>
  <c r="E20" i="3"/>
  <c r="E12" i="3"/>
  <c r="G21" i="3"/>
  <c r="H21" i="3" s="1"/>
  <c r="G13" i="3"/>
  <c r="H13" i="3" s="1"/>
  <c r="D25" i="4"/>
  <c r="D17" i="4"/>
  <c r="D9" i="4"/>
  <c r="F22" i="4"/>
  <c r="G22" i="4" s="1"/>
  <c r="F14" i="4"/>
  <c r="G14" i="4" s="1"/>
  <c r="L56" i="2"/>
  <c r="M56" i="2" s="1"/>
  <c r="L48" i="2"/>
  <c r="L40" i="2"/>
  <c r="L32" i="2"/>
  <c r="L24" i="2"/>
  <c r="L16" i="2"/>
  <c r="M16" i="2" s="1"/>
  <c r="L8" i="2"/>
  <c r="K42" i="2"/>
  <c r="M42" i="2" s="1"/>
  <c r="K26" i="2"/>
  <c r="M26" i="2" s="1"/>
  <c r="D23" i="3"/>
  <c r="E24" i="3"/>
  <c r="D21" i="4"/>
  <c r="L44" i="2"/>
  <c r="M44" i="2" s="1"/>
  <c r="P44" i="2" s="1"/>
  <c r="K54" i="2"/>
  <c r="M54" i="2" s="1"/>
  <c r="T54" i="2" s="1"/>
  <c r="E23" i="3"/>
  <c r="F17" i="4"/>
  <c r="G17" i="4" s="1"/>
  <c r="E22" i="3"/>
  <c r="G15" i="3"/>
  <c r="D11" i="4"/>
  <c r="F16" i="4"/>
  <c r="G16" i="4" s="1"/>
  <c r="K12" i="2"/>
  <c r="M12" i="2" s="1"/>
  <c r="P12" i="2" s="1"/>
  <c r="D11" i="3"/>
  <c r="E13" i="3"/>
  <c r="D26" i="4"/>
  <c r="F23" i="4"/>
  <c r="G23" i="4" s="1"/>
  <c r="L33" i="2"/>
  <c r="M33" i="2" s="1"/>
  <c r="L25" i="2"/>
  <c r="U25" i="2" s="1"/>
  <c r="V25" i="2" s="1"/>
  <c r="L17" i="2"/>
  <c r="M17" i="2" s="1"/>
  <c r="L9" i="2"/>
  <c r="U9" i="2" s="1"/>
  <c r="V9" i="2" s="1"/>
  <c r="D7" i="3"/>
  <c r="D17" i="3"/>
  <c r="D9" i="3"/>
  <c r="E19" i="3"/>
  <c r="E11" i="3"/>
  <c r="G20" i="3"/>
  <c r="H20" i="3" s="1"/>
  <c r="G12" i="3"/>
  <c r="H12" i="3" s="1"/>
  <c r="D24" i="4"/>
  <c r="D16" i="4"/>
  <c r="D8" i="4"/>
  <c r="F21" i="4"/>
  <c r="G21" i="4" s="1"/>
  <c r="F13" i="4"/>
  <c r="G13" i="4" s="1"/>
  <c r="K7" i="2"/>
  <c r="K9" i="2"/>
  <c r="D15" i="3"/>
  <c r="F27" i="4"/>
  <c r="G27" i="4" s="1"/>
  <c r="D14" i="3"/>
  <c r="F18" i="4"/>
  <c r="G18" i="4" s="1"/>
  <c r="F10" i="4"/>
  <c r="G10" i="4" s="1"/>
  <c r="U28" i="2"/>
  <c r="V28" i="2" s="1"/>
  <c r="K22" i="2"/>
  <c r="M22" i="2" s="1"/>
  <c r="T22" i="2" s="1"/>
  <c r="D21" i="3"/>
  <c r="E15" i="3"/>
  <c r="F25" i="4"/>
  <c r="G25" i="4" s="1"/>
  <c r="D12" i="3"/>
  <c r="E14" i="3"/>
  <c r="D27" i="4"/>
  <c r="D19" i="3"/>
  <c r="D24" i="3"/>
  <c r="D16" i="3"/>
  <c r="D8" i="3"/>
  <c r="E18" i="3"/>
  <c r="E10" i="3"/>
  <c r="G19" i="3"/>
  <c r="H19" i="3" s="1"/>
  <c r="G11" i="3"/>
  <c r="H11" i="3" s="1"/>
  <c r="D23" i="4"/>
  <c r="D15" i="4"/>
  <c r="F7" i="4"/>
  <c r="G7" i="4" s="1"/>
  <c r="F20" i="4"/>
  <c r="G20" i="4" s="1"/>
  <c r="H18" i="3"/>
  <c r="H8" i="3"/>
  <c r="H7" i="3"/>
  <c r="M31" i="2"/>
  <c r="T31" i="2" s="1"/>
  <c r="M38" i="2"/>
  <c r="T38" i="2" s="1"/>
  <c r="M49" i="2"/>
  <c r="T49" i="2" s="1"/>
  <c r="U26" i="2"/>
  <c r="V26" i="2" s="1"/>
  <c r="M20" i="2"/>
  <c r="T20" i="2" s="1"/>
  <c r="U42" i="2"/>
  <c r="V42" i="2" s="1"/>
  <c r="M47" i="2"/>
  <c r="P47" i="2" s="1"/>
  <c r="M11" i="2"/>
  <c r="P11" i="2" s="1"/>
  <c r="M14" i="2"/>
  <c r="T14" i="2" s="1"/>
  <c r="M52" i="2"/>
  <c r="T52" i="2" s="1"/>
  <c r="H23" i="3"/>
  <c r="H15" i="3"/>
  <c r="U15" i="2"/>
  <c r="V15" i="2" s="1"/>
  <c r="U35" i="2"/>
  <c r="V35" i="2" s="1"/>
  <c r="A7" i="1"/>
  <c r="U11" i="2"/>
  <c r="V11" i="2" s="1"/>
  <c r="M15" i="2"/>
  <c r="U23" i="2"/>
  <c r="V23" i="2" s="1"/>
  <c r="U27" i="2"/>
  <c r="V27" i="2" s="1"/>
  <c r="U43" i="2"/>
  <c r="V43" i="2" s="1"/>
  <c r="U52" i="2"/>
  <c r="V52" i="2" s="1"/>
  <c r="U14" i="2"/>
  <c r="V14" i="2" s="1"/>
  <c r="U20" i="2"/>
  <c r="V20" i="2" s="1"/>
  <c r="M34" i="2"/>
  <c r="U47" i="2"/>
  <c r="V47" i="2" s="1"/>
  <c r="A7" i="6"/>
  <c r="U33" i="2"/>
  <c r="V33" i="2" s="1"/>
  <c r="M50" i="2"/>
  <c r="U30" i="2"/>
  <c r="V30" i="2" s="1"/>
  <c r="U31" i="2"/>
  <c r="V31" i="2" s="1"/>
  <c r="U22" i="2"/>
  <c r="V22" i="2" s="1"/>
  <c r="U55" i="2"/>
  <c r="V55" i="2" s="1"/>
  <c r="M8" i="2"/>
  <c r="M10" i="2"/>
  <c r="U12" i="2"/>
  <c r="V12" i="2" s="1"/>
  <c r="M27" i="2"/>
  <c r="U34" i="2"/>
  <c r="V34" i="2" s="1"/>
  <c r="M37" i="2"/>
  <c r="U38" i="2"/>
  <c r="V38" i="2" s="1"/>
  <c r="U46" i="2"/>
  <c r="V46" i="2" s="1"/>
  <c r="U54" i="2"/>
  <c r="V54" i="2" s="1"/>
  <c r="H17" i="3"/>
  <c r="M43" i="2"/>
  <c r="U44" i="2" l="1"/>
  <c r="V44" i="2" s="1"/>
  <c r="M41" i="2"/>
  <c r="U36" i="2"/>
  <c r="V36" i="2" s="1"/>
  <c r="AB12" i="1"/>
  <c r="AB14" i="1"/>
  <c r="M9" i="2"/>
  <c r="P9" i="2" s="1"/>
  <c r="U18" i="2"/>
  <c r="V18" i="2" s="1"/>
  <c r="Q7" i="1"/>
  <c r="M7" i="2"/>
  <c r="T7" i="2" s="1"/>
  <c r="AB13" i="1"/>
  <c r="AB11" i="1"/>
  <c r="M19" i="2"/>
  <c r="P28" i="2"/>
  <c r="M51" i="2"/>
  <c r="P51" i="2" s="1"/>
  <c r="P38" i="2"/>
  <c r="M25" i="2"/>
  <c r="T25" i="2" s="1"/>
  <c r="P49" i="2"/>
  <c r="P31" i="2"/>
  <c r="T12" i="2"/>
  <c r="T47" i="2"/>
  <c r="P55" i="2"/>
  <c r="P20" i="2"/>
  <c r="P22" i="2"/>
  <c r="P23" i="2"/>
  <c r="T44" i="2"/>
  <c r="P39" i="2"/>
  <c r="P54" i="2"/>
  <c r="P36" i="2"/>
  <c r="M21" i="2"/>
  <c r="P21" i="2" s="1"/>
  <c r="M32" i="2"/>
  <c r="P32" i="2" s="1"/>
  <c r="T46" i="2"/>
  <c r="T11" i="2"/>
  <c r="M53" i="2"/>
  <c r="P53" i="2" s="1"/>
  <c r="P52" i="2"/>
  <c r="P14" i="2"/>
  <c r="M48" i="2"/>
  <c r="P48" i="2" s="1"/>
  <c r="P8" i="2"/>
  <c r="T8" i="2"/>
  <c r="T17" i="2"/>
  <c r="P17" i="2"/>
  <c r="T42" i="2"/>
  <c r="P42" i="2"/>
  <c r="U53" i="2"/>
  <c r="V53" i="2" s="1"/>
  <c r="T33" i="2"/>
  <c r="P33" i="2"/>
  <c r="T10" i="2"/>
  <c r="P10" i="2"/>
  <c r="U21" i="2"/>
  <c r="V21" i="2" s="1"/>
  <c r="P34" i="2"/>
  <c r="T34" i="2"/>
  <c r="M40" i="2"/>
  <c r="T18" i="2"/>
  <c r="P18" i="2"/>
  <c r="U37" i="2"/>
  <c r="V37" i="2" s="1"/>
  <c r="M24" i="2"/>
  <c r="T50" i="2"/>
  <c r="P50" i="2"/>
  <c r="U40" i="2"/>
  <c r="V40" i="2" s="1"/>
  <c r="U17" i="2"/>
  <c r="V17" i="2" s="1"/>
  <c r="U45" i="2"/>
  <c r="V45" i="2" s="1"/>
  <c r="T30" i="2"/>
  <c r="P30" i="2"/>
  <c r="P27" i="2"/>
  <c r="T27" i="2"/>
  <c r="T35" i="2"/>
  <c r="P35" i="2"/>
  <c r="P26" i="2"/>
  <c r="T26" i="2"/>
  <c r="P13" i="2"/>
  <c r="T13" i="2"/>
  <c r="U32" i="2"/>
  <c r="V32" i="2" s="1"/>
  <c r="M29" i="2"/>
  <c r="U16" i="2"/>
  <c r="V16" i="2" s="1"/>
  <c r="U8" i="2"/>
  <c r="V8" i="2" s="1"/>
  <c r="P56" i="2"/>
  <c r="T56" i="2"/>
  <c r="T16" i="2"/>
  <c r="P16" i="2"/>
  <c r="T51" i="2"/>
  <c r="P37" i="2"/>
  <c r="T37" i="2"/>
  <c r="U56" i="2"/>
  <c r="V56" i="2" s="1"/>
  <c r="T43" i="2"/>
  <c r="P43" i="2"/>
  <c r="U24" i="2"/>
  <c r="V24" i="2" s="1"/>
  <c r="U48" i="2"/>
  <c r="V48" i="2" s="1"/>
  <c r="M45" i="2"/>
  <c r="U13" i="2"/>
  <c r="V13" i="2" s="1"/>
  <c r="U29" i="2"/>
  <c r="V29" i="2" s="1"/>
  <c r="T15" i="2"/>
  <c r="P15" i="2"/>
  <c r="P41" i="2" l="1"/>
  <c r="T41" i="2"/>
  <c r="T9" i="2"/>
  <c r="P7" i="2"/>
  <c r="P19" i="2"/>
  <c r="T19" i="2"/>
  <c r="P25" i="2"/>
  <c r="T21" i="2"/>
  <c r="T32" i="2"/>
  <c r="T53" i="2"/>
  <c r="T48" i="2"/>
  <c r="Y15" i="1" s="1"/>
  <c r="P40" i="2"/>
  <c r="T40" i="2"/>
  <c r="P45" i="2"/>
  <c r="T45" i="2"/>
  <c r="P29" i="2"/>
  <c r="T29" i="2"/>
  <c r="Y13" i="1" s="1"/>
  <c r="T24" i="2"/>
  <c r="P24" i="2"/>
  <c r="Y11" i="1"/>
  <c r="F7" i="6" l="1"/>
  <c r="K7" i="6" s="1"/>
  <c r="P7" i="6" s="1"/>
  <c r="Y12" i="1"/>
  <c r="Y14" i="1"/>
  <c r="M7" i="1"/>
  <c r="I7" i="1"/>
  <c r="E7" i="1"/>
</calcChain>
</file>

<file path=xl/sharedStrings.xml><?xml version="1.0" encoding="utf-8"?>
<sst xmlns="http://schemas.openxmlformats.org/spreadsheetml/2006/main" count="546" uniqueCount="232">
  <si>
    <t>STORE INVENTORY &amp; SALES PERFORMANCE DASHBOARD</t>
  </si>
  <si>
    <t>TOTAL PRODUCTS REGISTRIES</t>
  </si>
  <si>
    <t>TOTAL INVENTORY VALUATION</t>
  </si>
  <si>
    <t>LOW STOCK ALERTS</t>
  </si>
  <si>
    <t>OUT OF STOCK ITEMS</t>
  </si>
  <si>
    <t>MONTHLY TOTAL REVENUE</t>
  </si>
  <si>
    <t>Category</t>
  </si>
  <si>
    <t>Stock Value</t>
  </si>
  <si>
    <t>Month</t>
  </si>
  <si>
    <t>Sales Value</t>
  </si>
  <si>
    <t>Electronics</t>
  </si>
  <si>
    <t>Jan</t>
  </si>
  <si>
    <t>Apparel</t>
  </si>
  <si>
    <t>Feb</t>
  </si>
  <si>
    <t>Grocery</t>
  </si>
  <si>
    <t>Mar</t>
  </si>
  <si>
    <t>Pharmacy</t>
  </si>
  <si>
    <t>Apr</t>
  </si>
  <si>
    <t>Home &amp; Kitchen</t>
  </si>
  <si>
    <t>May</t>
  </si>
  <si>
    <t>CRITICAL LOW STOCK ALERTS</t>
  </si>
  <si>
    <t>TOP 5 SELLING PRODUCTS</t>
  </si>
  <si>
    <t>Product ID</t>
  </si>
  <si>
    <t>Product Name</t>
  </si>
  <si>
    <t>Current Stock</t>
  </si>
  <si>
    <t>Reorder Level</t>
  </si>
  <si>
    <t>Status</t>
  </si>
  <si>
    <t>Margin %</t>
  </si>
  <si>
    <t>PRODUCT MASTER REGISTRY</t>
  </si>
  <si>
    <t>Brand</t>
  </si>
  <si>
    <t>Supplier</t>
  </si>
  <si>
    <t>Unit of Measure</t>
  </si>
  <si>
    <t>Unit Price</t>
  </si>
  <si>
    <t>Cost Price</t>
  </si>
  <si>
    <t>Selling Price</t>
  </si>
  <si>
    <t>Initial Stock</t>
  </si>
  <si>
    <t>Purchases Qty</t>
  </si>
  <si>
    <t>Sales Qty</t>
  </si>
  <si>
    <t>Storage Location</t>
  </si>
  <si>
    <t>Warranty Period</t>
  </si>
  <si>
    <t>Quantity per Set</t>
  </si>
  <si>
    <t>Set Price</t>
  </si>
  <si>
    <t>Total Sales Value</t>
  </si>
  <si>
    <t>Sony WH-1000XM4 Headphones</t>
  </si>
  <si>
    <t>Sony</t>
  </si>
  <si>
    <t>Apex Distributors</t>
  </si>
  <si>
    <t>pcs</t>
  </si>
  <si>
    <t>Aisle A</t>
  </si>
  <si>
    <t>12 Months</t>
  </si>
  <si>
    <t>Samsung 27" Curved Monitor</t>
  </si>
  <si>
    <t>Samsung</t>
  </si>
  <si>
    <t>24 Months</t>
  </si>
  <si>
    <t>Apple iPad Air (64GB)</t>
  </si>
  <si>
    <t>Apple</t>
  </si>
  <si>
    <t>Global Trade Co.</t>
  </si>
  <si>
    <t>Dell Wireless Keyboard Combo</t>
  </si>
  <si>
    <t>Dell</t>
  </si>
  <si>
    <t>Logitech C920 HD Pro Webcam</t>
  </si>
  <si>
    <t>Logitech</t>
  </si>
  <si>
    <t>SanDisk Extreme 128GB USB-C</t>
  </si>
  <si>
    <t>SanDisk</t>
  </si>
  <si>
    <t>Summit Wholesale</t>
  </si>
  <si>
    <t>60 Months</t>
  </si>
  <si>
    <t>Anker PowerCore 26800mAh</t>
  </si>
  <si>
    <t>Anker</t>
  </si>
  <si>
    <t>18 Months</t>
  </si>
  <si>
    <t>HP LaserJet Pro Printer</t>
  </si>
  <si>
    <t>HP</t>
  </si>
  <si>
    <t>Prime Logistics</t>
  </si>
  <si>
    <t>Warehouse</t>
  </si>
  <si>
    <t>ASUS ZenBook 14 Laptop</t>
  </si>
  <si>
    <t>ASUS</t>
  </si>
  <si>
    <t>Belkin 12-Outlet Surge Protector</t>
  </si>
  <si>
    <t>Belkin</t>
  </si>
  <si>
    <t>Lifetime</t>
  </si>
  <si>
    <t>Nike Air Max Sneakers</t>
  </si>
  <si>
    <t>Nike</t>
  </si>
  <si>
    <t>Aisle B</t>
  </si>
  <si>
    <t>0 Months</t>
  </si>
  <si>
    <t>Adidas Essentials Hoodie</t>
  </si>
  <si>
    <t>Adidas</t>
  </si>
  <si>
    <t>Levi's 501 Original Jeans</t>
  </si>
  <si>
    <t>Levi's</t>
  </si>
  <si>
    <t>Zara Wool Blend Coat</t>
  </si>
  <si>
    <t>Zara</t>
  </si>
  <si>
    <t>H&amp;M Basic Crewneck T-Shirt</t>
  </si>
  <si>
    <t>H&amp;M</t>
  </si>
  <si>
    <t>pack</t>
  </si>
  <si>
    <t>Puma Classic Suede Shoes</t>
  </si>
  <si>
    <t>Puma</t>
  </si>
  <si>
    <t>Under Armour Tech Polo</t>
  </si>
  <si>
    <t>Under Armour</t>
  </si>
  <si>
    <t>Champion Reverse Weave Sweatshirt</t>
  </si>
  <si>
    <t>Champion</t>
  </si>
  <si>
    <t>Columbia Fleece Jacket</t>
  </si>
  <si>
    <t>Columbia</t>
  </si>
  <si>
    <t>Calvin Klein Cotton Boxer Briefs</t>
  </si>
  <si>
    <t>Calvin Klein</t>
  </si>
  <si>
    <t>Nestlé Pure Life Water (24pk)</t>
  </si>
  <si>
    <t>Nestlé</t>
  </si>
  <si>
    <t>Aisle C</t>
  </si>
  <si>
    <t>Kraft Macaroni &amp; Cheese</t>
  </si>
  <si>
    <t>Kraft</t>
  </si>
  <si>
    <t>6 Months</t>
  </si>
  <si>
    <t>Kellogg's Frosted Flakes</t>
  </si>
  <si>
    <t>Kellogg's</t>
  </si>
  <si>
    <t>Dole Canned Pineapple Slices</t>
  </si>
  <si>
    <t>Dole</t>
  </si>
  <si>
    <t>Heinz Tomato Ketchup (32oz)</t>
  </si>
  <si>
    <t>Heinz</t>
  </si>
  <si>
    <t>Campbell's Chicken Noodle Soup</t>
  </si>
  <si>
    <t>Campbell's</t>
  </si>
  <si>
    <t>Quaker Oats Old Fashioned 18oz</t>
  </si>
  <si>
    <t>Quaker</t>
  </si>
  <si>
    <t>Folgers Classic Roast Coffee</t>
  </si>
  <si>
    <t>Folgers</t>
  </si>
  <si>
    <t>15 Months</t>
  </si>
  <si>
    <t>Skippy Creamy Peanut Butter</t>
  </si>
  <si>
    <t>Skippy</t>
  </si>
  <si>
    <t>Barilla Spaghetti Pasta 1lb</t>
  </si>
  <si>
    <t>Barilla</t>
  </si>
  <si>
    <t>Pfizer Advil Pain Reliever (100ct)</t>
  </si>
  <si>
    <t>Pfizer</t>
  </si>
  <si>
    <t>BioPharma Supplies</t>
  </si>
  <si>
    <t>Aisle D</t>
  </si>
  <si>
    <t>Bayer Aspirin 81mg (120ct)</t>
  </si>
  <si>
    <t>Bayer</t>
  </si>
  <si>
    <t>GSK Sensodyne Toothpaste</t>
  </si>
  <si>
    <t>GSK</t>
  </si>
  <si>
    <t>J&amp;J Band-Aid Variety Pack</t>
  </si>
  <si>
    <t>J&amp;J</t>
  </si>
  <si>
    <t>36 Months</t>
  </si>
  <si>
    <t>Roche Accu-Chek Test Strips</t>
  </si>
  <si>
    <t>Roche</t>
  </si>
  <si>
    <t>Tylenol Extra Strength 500mg</t>
  </si>
  <si>
    <t>Tylenol</t>
  </si>
  <si>
    <t>Vicks VapoRub Ointment 3.5oz</t>
  </si>
  <si>
    <t>Vicks</t>
  </si>
  <si>
    <t>Centrum Adult Multivitamin</t>
  </si>
  <si>
    <t>Centrum</t>
  </si>
  <si>
    <t>Claritin 24hr Allergy Relief</t>
  </si>
  <si>
    <t>Claritin</t>
  </si>
  <si>
    <t>Neosporin Antiseptic Ointment</t>
  </si>
  <si>
    <t>Neosporin</t>
  </si>
  <si>
    <t>Dyson V11 Cordless Vacuum</t>
  </si>
  <si>
    <t>Dyson</t>
  </si>
  <si>
    <t>Keurig K-Classic Coffee Maker</t>
  </si>
  <si>
    <t>Keurig</t>
  </si>
  <si>
    <t>Aisle E</t>
  </si>
  <si>
    <t>Instant Pot Duo 7-in-1 (6qt)</t>
  </si>
  <si>
    <t>Instant Pot</t>
  </si>
  <si>
    <t>Pyrex Glass Food Storage Set</t>
  </si>
  <si>
    <t>Pyrex</t>
  </si>
  <si>
    <t>set</t>
  </si>
  <si>
    <t>Philips Sonicare Toothbrush</t>
  </si>
  <si>
    <t>Philips</t>
  </si>
  <si>
    <t>Brita Everyday Water Pitcher</t>
  </si>
  <si>
    <t>Brita</t>
  </si>
  <si>
    <t>Lodge Cast Iron Skillet 10.25"</t>
  </si>
  <si>
    <t>Lodge</t>
  </si>
  <si>
    <t>T-fal Nonstick Cookware Set</t>
  </si>
  <si>
    <t>T-fal</t>
  </si>
  <si>
    <t>Cuisinart 14-Cup Food Processor</t>
  </si>
  <si>
    <t>Cuisinart</t>
  </si>
  <si>
    <t>Hamilton Beach Electric Kettle</t>
  </si>
  <si>
    <t>Hamilton Beach</t>
  </si>
  <si>
    <t>PURCHASE ENTRY LEDGER</t>
  </si>
  <si>
    <t>Purchase ID</t>
  </si>
  <si>
    <t>Date</t>
  </si>
  <si>
    <t>Supplier Name</t>
  </si>
  <si>
    <t>Quantity Purchased</t>
  </si>
  <si>
    <t>Total Cost</t>
  </si>
  <si>
    <t>PRD-00001</t>
  </si>
  <si>
    <t>PRD-00002</t>
  </si>
  <si>
    <t>PRD-00003</t>
  </si>
  <si>
    <t>PRD-00006</t>
  </si>
  <si>
    <t>PRD-00011</t>
  </si>
  <si>
    <t>PRD-00015</t>
  </si>
  <si>
    <t>PRD-00021</t>
  </si>
  <si>
    <t>PRD-00031</t>
  </si>
  <si>
    <t>PRD-00041</t>
  </si>
  <si>
    <t>SALES LEDGER LOG</t>
  </si>
  <si>
    <t>Sales ID</t>
  </si>
  <si>
    <t>Quantity Sold</t>
  </si>
  <si>
    <t>Total Amount</t>
  </si>
  <si>
    <t>Payment Method</t>
  </si>
  <si>
    <t>Cash</t>
  </si>
  <si>
    <t>Credit Card</t>
  </si>
  <si>
    <t>Debit Card</t>
  </si>
  <si>
    <t>Mobile Wallet</t>
  </si>
  <si>
    <t>Bank Transfer</t>
  </si>
  <si>
    <t>SUPPLIER DIRECTORY</t>
  </si>
  <si>
    <t>Supplier ID</t>
  </si>
  <si>
    <t>Contact Person</t>
  </si>
  <si>
    <t>Phone</t>
  </si>
  <si>
    <t>Email</t>
  </si>
  <si>
    <t>Address</t>
  </si>
  <si>
    <t>SPL-0001</t>
  </si>
  <si>
    <t>John Smith</t>
  </si>
  <si>
    <t>555-0101</t>
  </si>
  <si>
    <t>sales@apex.com</t>
  </si>
  <si>
    <t>123 Industrial Pkwy, New York, NY</t>
  </si>
  <si>
    <t>SPL-0002</t>
  </si>
  <si>
    <t>Sarah Connor</t>
  </si>
  <si>
    <t>555-0102</t>
  </si>
  <si>
    <t>contact@summit.com</t>
  </si>
  <si>
    <t>456 Commerce Blvd, Los Angeles, CA</t>
  </si>
  <si>
    <t>SPL-0003</t>
  </si>
  <si>
    <t>David Miller</t>
  </si>
  <si>
    <t>555-0103</t>
  </si>
  <si>
    <t>logistics@prime.com</t>
  </si>
  <si>
    <t>789 Supply Rd, Chicago, IL</t>
  </si>
  <si>
    <t>SPL-0004</t>
  </si>
  <si>
    <t>Elena Rostova</t>
  </si>
  <si>
    <t>555-0104</t>
  </si>
  <si>
    <t>trade@global.com</t>
  </si>
  <si>
    <t>101 Port Way, Miami, FL</t>
  </si>
  <si>
    <t>SPL-0005</t>
  </si>
  <si>
    <t>Alan Grant</t>
  </si>
  <si>
    <t>555-0105</t>
  </si>
  <si>
    <t>supplies@biopharma.com</t>
  </si>
  <si>
    <t>202 Lab Circle, Boston, MA</t>
  </si>
  <si>
    <t>AUTOMATED REPORTS SUMMARY</t>
  </si>
  <si>
    <t>COST OF GOODS SOLD (COGS)</t>
  </si>
  <si>
    <t>AVERAGE INVENTORY VALUE</t>
  </si>
  <si>
    <t>INVENTORY TURNOVER RATIO</t>
  </si>
  <si>
    <t>DAYS SALES OF INVENTORY (DSI)</t>
  </si>
  <si>
    <t>CRITICAL LOW STOCK REPORT (Dynamic FILTER)</t>
  </si>
  <si>
    <t>Categories</t>
  </si>
  <si>
    <t>Locations</t>
  </si>
  <si>
    <t>Payment Methods</t>
  </si>
  <si>
    <t>DEAD STOCK REPORT (Auto-updating)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</si>
</sst>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%"/>
    <numFmt numFmtId="166" formatCode="yyyy\-mm\-dd"/>
    <numFmt numFmtId="167" formatCode="0.0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0"/>
      <color rgb="FF0F172A"/>
      <name val="Segoe UI"/>
    </font>
    <font>
      <b/>
      <sz val="10"/>
      <color rgb="FFFFFFFF"/>
      <name val="Segoe UI"/>
    </font>
    <font>
      <sz val="10"/>
      <name val="Segoe UI"/>
    </font>
    <font>
      <b/>
      <sz val="8"/>
      <color rgb="FF64748B"/>
      <name val="Segoe UI"/>
    </font>
    <font>
      <b/>
      <sz val="14"/>
      <color rgb="FF1E293B"/>
      <name val="Segoe UI"/>
    </font>
    <font>
      <b/>
      <sz val="10"/>
      <name val="Segoe UI"/>
    </font>
    <font>
      <b/>
      <sz val="9"/>
      <color rgb="FF64748B"/>
      <name val="Segoe UI"/>
    </font>
    <font>
      <b/>
      <sz val="20"/>
      <color rgb="FF1E293B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7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9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8" fillId="4" borderId="1" xfId="0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7" fontId="6" fillId="4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7" fillId="0" borderId="2" xfId="0" applyFont="1" applyBorder="1"/>
    <xf numFmtId="0" fontId="0" fillId="0" borderId="2" xfId="0" applyBorder="1"/>
    <xf numFmtId="0" fontId="4" fillId="0" borderId="2" xfId="0" applyFont="1" applyBorder="1"/>
    <xf numFmtId="164" fontId="0" fillId="0" borderId="2" xfId="0" applyNumberFormat="1" applyBorder="1"/>
  </cellXfs>
  <cellStyles count="1">
    <cellStyle name="Normal" xfId="0" builtinId="0"/>
  </cellStyles>
  <dxfs count="9">
    <dxf>
      <font>
        <b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color rgb="FF065F46"/>
        <name val="Segoe UI"/>
      </font>
      <fill>
        <patternFill patternType="solid">
          <fgColor rgb="FFD1FAE5"/>
          <bgColor rgb="FFD1FAE5"/>
        </patternFill>
      </fill>
    </dxf>
    <dxf>
      <font>
        <b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color rgb="FF065F46"/>
        <name val="Segoe UI"/>
      </font>
      <fill>
        <patternFill patternType="solid">
          <fgColor rgb="FFD1FAE5"/>
          <bgColor rgb="FFD1FAE5"/>
        </patternFill>
      </fill>
    </dxf>
    <dxf>
      <font>
        <b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color rgb="FF065F46"/>
        <name val="Segoe UI"/>
      </font>
      <fill>
        <patternFill patternType="solid">
          <fgColor rgb="FFD1FAE5"/>
          <b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Inventory Value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Dashboard!$Y$10</c:f>
              <c:strCache>
                <c:ptCount val="1"/>
                <c:pt idx="0">
                  <c:v>Stock 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Dashboard!$X$11:$X$15</c:f>
              <c:strCache>
                <c:ptCount val="5"/>
                <c:pt idx="0">
                  <c:v>Electronics</c:v>
                </c:pt>
                <c:pt idx="1">
                  <c:v>Apparel</c:v>
                </c:pt>
                <c:pt idx="2">
                  <c:v>Grocery</c:v>
                </c:pt>
                <c:pt idx="3">
                  <c:v>Pharmacy</c:v>
                </c:pt>
                <c:pt idx="4">
                  <c:v>Home &amp; Kitchen</c:v>
                </c:pt>
              </c:strCache>
            </c:strRef>
          </c:cat>
          <c:val>
            <c:numRef>
              <c:f>Dashboard!$Y$11:$Y$15</c:f>
              <c:numCache>
                <c:formatCode>\$#,##0.00</c:formatCode>
                <c:ptCount val="5"/>
                <c:pt idx="0">
                  <c:v>21485</c:v>
                </c:pt>
                <c:pt idx="1">
                  <c:v>7424</c:v>
                </c:pt>
                <c:pt idx="2">
                  <c:v>1613</c:v>
                </c:pt>
                <c:pt idx="3">
                  <c:v>2542.5</c:v>
                </c:pt>
                <c:pt idx="4">
                  <c:v>3681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1-4ADD-9CC9-9AFDC2253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Sales Revenue Trends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Dashboard!$AB$10</c:f>
              <c:strCache>
                <c:ptCount val="1"/>
                <c:pt idx="0">
                  <c:v>Sales 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Dashboard!$AA$11:$AA$15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Dashboard!$AB$11:$AB$15</c:f>
              <c:numCache>
                <c:formatCode>\$#,##0.00</c:formatCode>
                <c:ptCount val="5"/>
                <c:pt idx="0">
                  <c:v>2930</c:v>
                </c:pt>
                <c:pt idx="1">
                  <c:v>2547.9700000000003</c:v>
                </c:pt>
                <c:pt idx="2">
                  <c:v>2098.06</c:v>
                </c:pt>
                <c:pt idx="3">
                  <c:v>4945.92</c:v>
                </c:pt>
                <c:pt idx="4">
                  <c:v>6193.2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DE-4256-91AC-E77F3C655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9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Master" displayName="ProductMaster" ref="A6:V56">
  <autoFilter ref="A6:V56" xr:uid="{00000000-0009-0000-0100-000001000000}"/>
  <tableColumns count="22">
    <tableColumn id="1" xr3:uid="{00000000-0010-0000-0000-000001000000}" name="Product ID"/>
    <tableColumn id="2" xr3:uid="{00000000-0010-0000-0000-000002000000}" name="Product Name"/>
    <tableColumn id="3" xr3:uid="{00000000-0010-0000-0000-000003000000}" name="Category"/>
    <tableColumn id="4" xr3:uid="{00000000-0010-0000-0000-000004000000}" name="Brand"/>
    <tableColumn id="5" xr3:uid="{00000000-0010-0000-0000-000005000000}" name="Supplier"/>
    <tableColumn id="6" xr3:uid="{00000000-0010-0000-0000-000006000000}" name="Unit of Measure"/>
    <tableColumn id="7" xr3:uid="{00000000-0010-0000-0000-000007000000}" name="Unit Price"/>
    <tableColumn id="8" xr3:uid="{00000000-0010-0000-0000-000008000000}" name="Cost Price"/>
    <tableColumn id="9" xr3:uid="{00000000-0010-0000-0000-000009000000}" name="Selling Price"/>
    <tableColumn id="10" xr3:uid="{00000000-0010-0000-0000-00000A000000}" name="Initial Stock"/>
    <tableColumn id="11" xr3:uid="{00000000-0010-0000-0000-00000B000000}" name="Purchases Qty">
      <calculatedColumnFormula>SUMIF('Purchase Entry'!$C:$C, $A7, 'Purchase Entry'!$F:$F)</calculatedColumnFormula>
    </tableColumn>
    <tableColumn id="12" xr3:uid="{00000000-0010-0000-0000-00000C000000}" name="Sales Qty">
      <calculatedColumnFormula>SUMIF('Sales Entry'!$C:$C, $A7, 'Sales Entry'!$E:$E)</calculatedColumnFormula>
    </tableColumn>
    <tableColumn id="13" xr3:uid="{00000000-0010-0000-0000-00000D000000}" name="Current Stock"/>
    <tableColumn id="14" xr3:uid="{00000000-0010-0000-0000-00000E000000}" name="Reorder Level"/>
    <tableColumn id="15" xr3:uid="{00000000-0010-0000-0000-00000F000000}" name="Storage Location"/>
    <tableColumn id="16" xr3:uid="{00000000-0010-0000-0000-000010000000}" name="Status"/>
    <tableColumn id="17" xr3:uid="{00000000-0010-0000-0000-000011000000}" name="Warranty Period"/>
    <tableColumn id="18" xr3:uid="{00000000-0010-0000-0000-000012000000}" name="Quantity per Set"/>
    <tableColumn id="19" xr3:uid="{00000000-0010-0000-0000-000013000000}" name="Set Price"/>
    <tableColumn id="20" xr3:uid="{00000000-0010-0000-0000-000014000000}" name="Stock Value"/>
    <tableColumn id="21" xr3:uid="{00000000-0010-0000-0000-000015000000}" name="Total Sales Value"/>
    <tableColumn id="23" xr3:uid="{00000000-0010-0000-0000-000017000000}" name="Margin %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urchaseEntry" displayName="PurchaseEntry" ref="A6:H24">
  <autoFilter ref="A6:H24" xr:uid="{00000000-0009-0000-0100-000002000000}"/>
  <tableColumns count="8">
    <tableColumn id="1" xr3:uid="{00000000-0010-0000-0100-000001000000}" name="Purchase ID"/>
    <tableColumn id="2" xr3:uid="{00000000-0010-0000-0100-000002000000}" name="Date"/>
    <tableColumn id="3" xr3:uid="{00000000-0010-0000-0100-000003000000}" name="Product ID"/>
    <tableColumn id="4" xr3:uid="{00000000-0010-0000-0100-000004000000}" name="Product Name">
      <calculatedColumnFormula>IF(C7="", "", VLOOKUP(C7, 'Product Master'!$A:$H, 2, FALSE))</calculatedColumnFormula>
    </tableColumn>
    <tableColumn id="5" xr3:uid="{00000000-0010-0000-0100-000005000000}" name="Supplier Name"/>
    <tableColumn id="6" xr3:uid="{00000000-0010-0000-0100-000006000000}" name="Quantity Purchased"/>
    <tableColumn id="7" xr3:uid="{00000000-0010-0000-0100-000007000000}" name="Cost Price"/>
    <tableColumn id="8" xr3:uid="{00000000-0010-0000-0100-000008000000}" name="Total Cos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lesEntry" displayName="SalesEntry" ref="A6:H27">
  <autoFilter ref="A6:H27" xr:uid="{00000000-0009-0000-0100-000003000000}"/>
  <tableColumns count="8">
    <tableColumn id="1" xr3:uid="{00000000-0010-0000-0200-000001000000}" name="Sales ID"/>
    <tableColumn id="2" xr3:uid="{00000000-0010-0000-0200-000002000000}" name="Date"/>
    <tableColumn id="3" xr3:uid="{00000000-0010-0000-0200-000003000000}" name="Product ID"/>
    <tableColumn id="4" xr3:uid="{00000000-0010-0000-0200-000004000000}" name="Product Name">
      <calculatedColumnFormula>IF(C7="", "", VLOOKUP(C7, 'Product Master'!$A:$I, 2, FALSE))</calculatedColumnFormula>
    </tableColumn>
    <tableColumn id="5" xr3:uid="{00000000-0010-0000-0200-000005000000}" name="Quantity Sold"/>
    <tableColumn id="6" xr3:uid="{00000000-0010-0000-0200-000006000000}" name="Selling Price">
      <calculatedColumnFormula>IF(C7="", "", VLOOKUP(C7, 'Product Master'!$A:$I, 7, FALSE))</calculatedColumnFormula>
    </tableColumn>
    <tableColumn id="7" xr3:uid="{00000000-0010-0000-0200-000007000000}" name="Total Amount"/>
    <tableColumn id="8" xr3:uid="{00000000-0010-0000-0200-000008000000}" name="Payment Metho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upplierMaster" displayName="SupplierMaster" ref="A6:F11">
  <autoFilter ref="A6:F11" xr:uid="{00000000-0009-0000-0100-000004000000}"/>
  <tableColumns count="6">
    <tableColumn id="1" xr3:uid="{00000000-0010-0000-0300-000001000000}" name="Supplier ID"/>
    <tableColumn id="2" xr3:uid="{00000000-0010-0000-0300-000002000000}" name="Supplier Name"/>
    <tableColumn id="3" xr3:uid="{00000000-0010-0000-0300-000003000000}" name="Contact Person"/>
    <tableColumn id="4" xr3:uid="{00000000-0010-0000-0300-000004000000}" name="Phone"/>
    <tableColumn id="5" xr3:uid="{00000000-0010-0000-0300-000005000000}" name="Email"/>
    <tableColumn id="6" xr3:uid="{00000000-0010-0000-0300-000006000000}" name="Addres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C6A38A-8F59-4452-ACB5-BC1929236FFF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VVz0fwIGVWyb5Jp8iN84w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zoomScale="50" workbookViewId="0">
      <pane ySplit="4" topLeftCell="A5" activePane="bottomLeft" state="frozen"/>
      <selection pane="bottomLeft" activeCell="W35" sqref="W35"/>
    </sheetView>
  </sheetViews>
  <sheetFormatPr defaultRowHeight="14.4" x14ac:dyDescent="0.3"/>
  <cols>
    <col min="1" max="1" width="48" customWidth="1"/>
    <col min="2" max="2" width="15" customWidth="1"/>
    <col min="3" max="4" width="16" customWidth="1"/>
    <col min="5" max="5" width="28" customWidth="1"/>
    <col min="6" max="7" width="11" customWidth="1"/>
    <col min="8" max="8" width="13" customWidth="1"/>
    <col min="9" max="9" width="25" customWidth="1"/>
    <col min="10" max="10" width="15" customWidth="1"/>
    <col min="11" max="11" width="11" customWidth="1"/>
    <col min="12" max="12" width="14" customWidth="1"/>
    <col min="13" max="13" width="21" customWidth="1"/>
    <col min="14" max="14" width="11" customWidth="1"/>
    <col min="15" max="15" width="13" customWidth="1"/>
    <col min="16" max="16" width="11" customWidth="1"/>
    <col min="17" max="17" width="24" customWidth="1"/>
    <col min="18" max="18" width="13" customWidth="1"/>
    <col min="19" max="20" width="11" customWidth="1"/>
    <col min="21" max="21" width="13" customWidth="1"/>
    <col min="22" max="23" width="11" customWidth="1"/>
    <col min="24" max="24" width="17" customWidth="1"/>
    <col min="25" max="25" width="18" customWidth="1"/>
    <col min="26" max="27" width="11" customWidth="1"/>
    <col min="28" max="28" width="15" customWidth="1"/>
  </cols>
  <sheetData>
    <row r="1" spans="1:28" ht="19.9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8" ht="19.95" customHeight="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8" ht="10.050000000000001" customHeight="1" x14ac:dyDescent="0.3"/>
    <row r="4" spans="1:28" ht="25.05" customHeight="1" x14ac:dyDescent="0.3">
      <c r="A4" s="1" t="str">
        <f>HYPERLINK("#'Dashboard'!A1", "📊 Dashboard")</f>
        <v>📊 Dashboard</v>
      </c>
      <c r="B4" s="2"/>
      <c r="C4" s="2"/>
      <c r="D4" s="1" t="str">
        <f>HYPERLINK("#'Product Master'!A1", "📦 Product Master")</f>
        <v>📦 Product Master</v>
      </c>
      <c r="E4" s="2"/>
      <c r="F4" s="2"/>
      <c r="G4" s="2"/>
      <c r="H4" s="1" t="str">
        <f>HYPERLINK("#'Purchase Entry'!A1", "📥 Purchase Entry")</f>
        <v>📥 Purchase Entry</v>
      </c>
      <c r="I4" s="2"/>
      <c r="J4" s="2"/>
      <c r="K4" s="2"/>
      <c r="L4" s="1" t="str">
        <f>HYPERLINK("#'Sales Entry'!A1", "📤 Sales Entry")</f>
        <v>📤 Sales Entry</v>
      </c>
      <c r="M4" s="2"/>
      <c r="N4" s="2"/>
      <c r="O4" s="1" t="str">
        <f>HYPERLINK("#'Supplier Management'!A1", "🤝 Suppliers")</f>
        <v>🤝 Suppliers</v>
      </c>
      <c r="P4" s="2"/>
      <c r="Q4" s="2"/>
      <c r="R4" s="1" t="str">
        <f>HYPERLINK("#'Reports'!A1", "📈 Reports")</f>
        <v>📈 Reports</v>
      </c>
      <c r="S4" s="2"/>
      <c r="T4" s="2"/>
      <c r="U4" s="1"/>
      <c r="V4" s="2"/>
      <c r="W4" s="2"/>
    </row>
    <row r="5" spans="1:28" ht="15" customHeight="1" x14ac:dyDescent="0.3"/>
    <row r="6" spans="1:28" x14ac:dyDescent="0.3">
      <c r="A6" s="21" t="s">
        <v>1</v>
      </c>
      <c r="B6" s="20"/>
      <c r="C6" s="20"/>
      <c r="E6" s="21" t="s">
        <v>2</v>
      </c>
      <c r="F6" s="20"/>
      <c r="G6" s="20"/>
      <c r="I6" s="21" t="s">
        <v>3</v>
      </c>
      <c r="J6" s="20"/>
      <c r="K6" s="20"/>
      <c r="M6" s="21" t="s">
        <v>4</v>
      </c>
      <c r="N6" s="20"/>
      <c r="O6" s="20"/>
      <c r="Q6" s="21" t="s">
        <v>5</v>
      </c>
      <c r="R6" s="20"/>
      <c r="S6" s="20"/>
    </row>
    <row r="7" spans="1:28" x14ac:dyDescent="0.3">
      <c r="A7" s="19">
        <f>COUNTA(ProductMaster[Product ID])</f>
        <v>50</v>
      </c>
      <c r="B7" s="20"/>
      <c r="C7" s="20"/>
      <c r="E7" s="22">
        <f>SUM(ProductMaster[Stock Value])</f>
        <v>36745.5</v>
      </c>
      <c r="F7" s="20"/>
      <c r="G7" s="20"/>
      <c r="I7" s="19">
        <f>COUNTIF(ProductMaster[Status], "Low Stock")</f>
        <v>8</v>
      </c>
      <c r="J7" s="20"/>
      <c r="K7" s="20"/>
      <c r="M7" s="19">
        <f>COUNTIF(ProductMaster[Status], "Out of Stock")</f>
        <v>1</v>
      </c>
      <c r="N7" s="20"/>
      <c r="O7" s="20"/>
      <c r="Q7" s="22">
        <f>SUM(SalesEntry[Total Amount])</f>
        <v>18715.150000000001</v>
      </c>
      <c r="R7" s="20"/>
      <c r="S7" s="20"/>
    </row>
    <row r="8" spans="1:28" x14ac:dyDescent="0.3">
      <c r="A8" s="20"/>
      <c r="B8" s="20"/>
      <c r="C8" s="20"/>
      <c r="E8" s="20"/>
      <c r="F8" s="20"/>
      <c r="G8" s="20"/>
      <c r="I8" s="20"/>
      <c r="J8" s="20"/>
      <c r="K8" s="20"/>
      <c r="M8" s="20"/>
      <c r="N8" s="20"/>
      <c r="O8" s="20"/>
      <c r="Q8" s="20"/>
      <c r="R8" s="20"/>
      <c r="S8" s="20"/>
    </row>
    <row r="10" spans="1:28" ht="15" x14ac:dyDescent="0.35">
      <c r="X10" s="27" t="s">
        <v>6</v>
      </c>
      <c r="Y10" s="27" t="s">
        <v>7</v>
      </c>
      <c r="Z10" s="28"/>
      <c r="AA10" s="27" t="s">
        <v>8</v>
      </c>
      <c r="AB10" s="27" t="s">
        <v>9</v>
      </c>
    </row>
    <row r="11" spans="1:28" ht="15" x14ac:dyDescent="0.35">
      <c r="X11" s="29" t="s">
        <v>10</v>
      </c>
      <c r="Y11" s="30">
        <f>SUMIF(ProductMaster[Category], X11, ProductMaster[Stock Value])</f>
        <v>21485</v>
      </c>
      <c r="Z11" s="28"/>
      <c r="AA11" s="29" t="s">
        <v>11</v>
      </c>
      <c r="AB11" s="30">
        <f>SUMIFS(SalesEntry[Total Amount], SalesEntry[Date], "&gt;=2026-01-01", SalesEntry[Date], "&lt;=2026-01-31")</f>
        <v>2930</v>
      </c>
    </row>
    <row r="12" spans="1:28" ht="15" x14ac:dyDescent="0.35">
      <c r="X12" s="29" t="s">
        <v>12</v>
      </c>
      <c r="Y12" s="30">
        <f>SUMIF(ProductMaster[Category], X12, ProductMaster[Stock Value])</f>
        <v>7424</v>
      </c>
      <c r="Z12" s="28"/>
      <c r="AA12" s="29" t="s">
        <v>13</v>
      </c>
      <c r="AB12" s="30">
        <f>SUMIFS(SalesEntry[Total Amount], SalesEntry[Date], "&gt;=2026-02-01", SalesEntry[Date], "&lt;=2026-02-28")</f>
        <v>2547.9700000000003</v>
      </c>
    </row>
    <row r="13" spans="1:28" ht="15" x14ac:dyDescent="0.35">
      <c r="X13" s="29" t="s">
        <v>14</v>
      </c>
      <c r="Y13" s="30">
        <f>SUMIF(ProductMaster[Category], X13, ProductMaster[Stock Value])</f>
        <v>1613</v>
      </c>
      <c r="Z13" s="28"/>
      <c r="AA13" s="29" t="s">
        <v>15</v>
      </c>
      <c r="AB13" s="30">
        <f>SUMIFS(SalesEntry[Total Amount], SalesEntry[Date], "&gt;=2026-03-01", SalesEntry[Date], "&lt;=2026-03-31")</f>
        <v>2098.06</v>
      </c>
    </row>
    <row r="14" spans="1:28" ht="15" x14ac:dyDescent="0.35">
      <c r="X14" s="29" t="s">
        <v>16</v>
      </c>
      <c r="Y14" s="30">
        <f>SUMIF(ProductMaster[Category], X14, ProductMaster[Stock Value])</f>
        <v>2542.5</v>
      </c>
      <c r="Z14" s="28"/>
      <c r="AA14" s="29" t="s">
        <v>17</v>
      </c>
      <c r="AB14" s="30">
        <f>SUMIFS(SalesEntry[Total Amount], SalesEntry[Date], "&gt;=2026-04-01", SalesEntry[Date], "&lt;=2026-04-30")</f>
        <v>4945.92</v>
      </c>
    </row>
    <row r="15" spans="1:28" ht="15" x14ac:dyDescent="0.35">
      <c r="X15" s="29" t="s">
        <v>18</v>
      </c>
      <c r="Y15" s="30">
        <f>SUMIF(ProductMaster[Category], X15, ProductMaster[Stock Value])</f>
        <v>3681</v>
      </c>
      <c r="Z15" s="28"/>
      <c r="AA15" s="29" t="s">
        <v>19</v>
      </c>
      <c r="AB15" s="30">
        <f>SUMIFS(SalesEntry[Total Amount], SalesEntry[Date], "&gt;=2026-05-01", SalesEntry[Date], "&lt;=2026-05-31")</f>
        <v>6193.2</v>
      </c>
    </row>
    <row r="21" spans="1:13" ht="15" x14ac:dyDescent="0.35">
      <c r="A21" s="3" t="s">
        <v>20</v>
      </c>
      <c r="I21" s="3" t="s">
        <v>21</v>
      </c>
    </row>
    <row r="23" spans="1:13" ht="15" x14ac:dyDescent="0.35">
      <c r="A23" s="5"/>
      <c r="B23" s="6"/>
      <c r="C23" s="7"/>
      <c r="D23" s="7"/>
      <c r="E23" s="5"/>
      <c r="I23" s="5"/>
      <c r="J23" s="6"/>
      <c r="K23" s="7"/>
      <c r="L23" s="8"/>
      <c r="M23" s="9"/>
    </row>
    <row r="24" spans="1:13" ht="15" x14ac:dyDescent="0.35">
      <c r="A24" s="5"/>
      <c r="B24" s="6"/>
      <c r="C24" s="7"/>
      <c r="D24" s="7"/>
      <c r="E24" s="5"/>
      <c r="I24" s="5"/>
      <c r="J24" s="6"/>
      <c r="K24" s="7"/>
      <c r="L24" s="8"/>
      <c r="M24" s="9"/>
    </row>
    <row r="25" spans="1:13" ht="15" x14ac:dyDescent="0.35">
      <c r="A25" s="5"/>
      <c r="B25" s="6"/>
      <c r="C25" s="7"/>
      <c r="D25" s="7"/>
      <c r="E25" s="5"/>
      <c r="I25" s="5"/>
      <c r="J25" s="6"/>
      <c r="K25" s="7"/>
      <c r="L25" s="8"/>
      <c r="M25" s="9"/>
    </row>
    <row r="26" spans="1:13" ht="15" x14ac:dyDescent="0.35">
      <c r="A26" s="5"/>
      <c r="B26" s="6"/>
      <c r="C26" s="7"/>
      <c r="D26" s="7"/>
      <c r="E26" s="5"/>
      <c r="I26" s="5"/>
      <c r="J26" s="6"/>
      <c r="K26" s="7"/>
      <c r="L26" s="8"/>
      <c r="M26" s="9"/>
    </row>
    <row r="27" spans="1:13" ht="15" x14ac:dyDescent="0.35">
      <c r="A27" s="5"/>
      <c r="B27" s="6"/>
      <c r="C27" s="7"/>
      <c r="D27" s="7"/>
      <c r="E27" s="5"/>
      <c r="I27" s="5"/>
      <c r="J27" s="6"/>
      <c r="K27" s="7"/>
      <c r="L27" s="8"/>
      <c r="M27" s="9"/>
    </row>
    <row r="28" spans="1:13" ht="15" x14ac:dyDescent="0.35">
      <c r="A28" s="5"/>
      <c r="B28" s="6"/>
      <c r="C28" s="7"/>
      <c r="D28" s="7"/>
      <c r="E28" s="5"/>
      <c r="I28" s="5"/>
      <c r="J28" s="6"/>
      <c r="K28" s="7"/>
      <c r="L28" s="8"/>
      <c r="M28" s="9"/>
    </row>
  </sheetData>
  <mergeCells count="11">
    <mergeCell ref="I7:K8"/>
    <mergeCell ref="Q6:S6"/>
    <mergeCell ref="M7:O8"/>
    <mergeCell ref="A1:W2"/>
    <mergeCell ref="Q7:S8"/>
    <mergeCell ref="A6:C6"/>
    <mergeCell ref="M6:O6"/>
    <mergeCell ref="A7:C8"/>
    <mergeCell ref="E6:G6"/>
    <mergeCell ref="E7:G8"/>
    <mergeCell ref="I6:K6"/>
  </mergeCells>
  <conditionalFormatting sqref="E23:E30">
    <cfRule type="cellIs" dxfId="8" priority="1" stopIfTrue="1" operator="equal">
      <formula>"In Stock"</formula>
    </cfRule>
    <cfRule type="cellIs" dxfId="7" priority="2" stopIfTrue="1" operator="equal">
      <formula>"Low Stock"</formula>
    </cfRule>
    <cfRule type="cellIs" dxfId="6" priority="3" stopIfTrue="1" operator="equal">
      <formula>"Out of Stock"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000"/>
  <sheetViews>
    <sheetView topLeftCell="A4" zoomScale="69" workbookViewId="0">
      <selection activeCell="L24" sqref="L24"/>
    </sheetView>
  </sheetViews>
  <sheetFormatPr defaultRowHeight="14.4" x14ac:dyDescent="0.3"/>
  <cols>
    <col min="1" max="1" width="45.44140625" bestFit="1" customWidth="1"/>
    <col min="2" max="2" width="28.109375" bestFit="1" customWidth="1"/>
    <col min="3" max="3" width="10" bestFit="1" customWidth="1"/>
    <col min="4" max="4" width="18.21875" bestFit="1" customWidth="1"/>
    <col min="5" max="5" width="13.6640625" bestFit="1" customWidth="1"/>
    <col min="6" max="6" width="9" bestFit="1" customWidth="1"/>
    <col min="7" max="7" width="11" customWidth="1"/>
    <col min="8" max="8" width="13" customWidth="1"/>
    <col min="9" max="9" width="37.33203125" bestFit="1" customWidth="1"/>
    <col min="10" max="10" width="32.77734375" bestFit="1" customWidth="1"/>
    <col min="11" max="11" width="14.44140625" bestFit="1" customWidth="1"/>
    <col min="12" max="12" width="14" bestFit="1" customWidth="1"/>
    <col min="13" max="13" width="13.6640625" bestFit="1" customWidth="1"/>
    <col min="14" max="14" width="11" customWidth="1"/>
    <col min="15" max="15" width="13" customWidth="1"/>
    <col min="16" max="16" width="32" customWidth="1"/>
    <col min="17" max="17" width="11" customWidth="1"/>
    <col min="18" max="18" width="13" customWidth="1"/>
    <col min="19" max="20" width="11" customWidth="1"/>
    <col min="21" max="21" width="13" customWidth="1"/>
    <col min="22" max="23" width="11" customWidth="1"/>
  </cols>
  <sheetData>
    <row r="1" spans="1:23" ht="19.95" customHeight="1" x14ac:dyDescent="0.3">
      <c r="A1" s="17" t="s">
        <v>222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ht="19.95" customHeight="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10.050000000000001" customHeight="1" x14ac:dyDescent="0.3"/>
    <row r="4" spans="1:23" ht="25.05" customHeight="1" x14ac:dyDescent="0.3">
      <c r="A4" s="1" t="str">
        <f>HYPERLINK("#'Dashboard'!A1", "📊 Dashboard")</f>
        <v>📊 Dashboard</v>
      </c>
      <c r="B4" s="2"/>
      <c r="C4" s="2"/>
      <c r="D4" s="1" t="str">
        <f>HYPERLINK("#'Product Master'!A1", "📦 Product Master")</f>
        <v>📦 Product Master</v>
      </c>
      <c r="E4" s="2"/>
      <c r="F4" s="2"/>
      <c r="G4" s="2"/>
      <c r="H4" s="1" t="str">
        <f>HYPERLINK("#'Purchase Entry'!A1", "📥 Purchase Entry")</f>
        <v>📥 Purchase Entry</v>
      </c>
      <c r="I4" s="2"/>
      <c r="J4" s="2"/>
      <c r="K4" s="2"/>
      <c r="L4" s="1" t="str">
        <f>HYPERLINK("#'Sales Entry'!A1", "📤 Sales Entry")</f>
        <v>📤 Sales Entry</v>
      </c>
      <c r="M4" s="2"/>
      <c r="N4" s="2"/>
      <c r="O4" s="1" t="str">
        <f>HYPERLINK("#'Supplier Management'!A1", "🤝 Suppliers")</f>
        <v>🤝 Suppliers</v>
      </c>
      <c r="P4" s="2"/>
      <c r="Q4" s="2"/>
      <c r="R4" s="1" t="str">
        <f>HYPERLINK("#'Reports'!A1", "📈 Reports")</f>
        <v>📈 Reports</v>
      </c>
      <c r="S4" s="2"/>
      <c r="T4" s="2"/>
      <c r="U4" s="1"/>
      <c r="V4" s="2"/>
      <c r="W4" s="2"/>
    </row>
    <row r="5" spans="1:23" ht="15" customHeight="1" x14ac:dyDescent="0.3"/>
    <row r="6" spans="1:23" x14ac:dyDescent="0.3">
      <c r="A6" s="23" t="s">
        <v>223</v>
      </c>
      <c r="B6" s="20"/>
      <c r="C6" s="20"/>
      <c r="D6" s="20"/>
      <c r="F6" s="23" t="s">
        <v>224</v>
      </c>
      <c r="G6" s="20"/>
      <c r="H6" s="20"/>
      <c r="I6" s="20"/>
      <c r="K6" s="23" t="s">
        <v>225</v>
      </c>
      <c r="L6" s="20"/>
      <c r="M6" s="20"/>
      <c r="N6" s="20"/>
      <c r="P6" s="23" t="s">
        <v>226</v>
      </c>
      <c r="Q6" s="20"/>
      <c r="R6" s="20"/>
      <c r="S6" s="20"/>
    </row>
    <row r="7" spans="1:23" ht="20.399999999999999" x14ac:dyDescent="0.3">
      <c r="A7" s="24">
        <f>SUMPRODUCT(SalesEntry[Quantity Sold], SUMIF(ProductMaster[Product ID], SalesEntry[Product ID], ProductMaster[Cost Price]))</f>
        <v>12854</v>
      </c>
      <c r="B7" s="20"/>
      <c r="C7" s="20"/>
      <c r="D7" s="20"/>
      <c r="F7" s="24">
        <f>(SUMPRODUCT(ProductMaster[Initial Stock], ProductMaster[Cost Price]) + SUM(ProductMaster[Stock Value])) / 2</f>
        <v>33071.25</v>
      </c>
      <c r="G7" s="20"/>
      <c r="H7" s="20"/>
      <c r="I7" s="20"/>
      <c r="K7" s="26">
        <f>IF(F7&gt;0, A7/F7, 0)</f>
        <v>0.3886759647730279</v>
      </c>
      <c r="L7" s="20"/>
      <c r="M7" s="20"/>
      <c r="N7" s="20"/>
      <c r="P7" s="25">
        <f>IF(K7&gt;0, 365/K7, 0)</f>
        <v>939.08559592344807</v>
      </c>
      <c r="Q7" s="20"/>
      <c r="R7" s="20"/>
      <c r="S7" s="20"/>
    </row>
    <row r="10" spans="1:23" ht="15" x14ac:dyDescent="0.35">
      <c r="A10" s="3" t="s">
        <v>227</v>
      </c>
      <c r="I10" s="3" t="s">
        <v>231</v>
      </c>
    </row>
    <row r="11" spans="1:23" ht="15" x14ac:dyDescent="0.3">
      <c r="A11" s="4" t="s">
        <v>22</v>
      </c>
      <c r="B11" s="4" t="s">
        <v>23</v>
      </c>
      <c r="C11" s="4" t="s">
        <v>6</v>
      </c>
      <c r="D11" s="4" t="s">
        <v>24</v>
      </c>
      <c r="E11" s="4" t="s">
        <v>25</v>
      </c>
      <c r="F11" s="4" t="s">
        <v>26</v>
      </c>
      <c r="I11" s="4" t="s">
        <v>22</v>
      </c>
      <c r="J11" s="4" t="s">
        <v>23</v>
      </c>
      <c r="K11" s="4" t="s">
        <v>6</v>
      </c>
      <c r="L11" s="4" t="s">
        <v>24</v>
      </c>
      <c r="M11" s="4" t="s">
        <v>25</v>
      </c>
    </row>
    <row r="12" spans="1:23" ht="15" x14ac:dyDescent="0.35">
      <c r="A12" t="str">
        <f>IFERROR(INDEX('Product Master'!$A$7:$A$1000,_xlfn.AGGREGATE(15,6,(ROW('Product Master'!$A$7:$A$1000)-ROW('Product Master'!$A$7)+1)/(('Product Master'!$A$7:$A$1000&lt;&gt;"")*('Product Master'!$P$7:$P$1000="Low Stock")),ROWS($A$12:A12))),"")</f>
        <v>PRD-00003</v>
      </c>
      <c r="B12" t="str">
        <f>IF($A12="","",INDEX('Product Master'!$B$7:$B$1000,MATCH($A12,'Product Master'!$A$7:$A$1000,0)))</f>
        <v>Apple iPad Air (64GB)</v>
      </c>
      <c r="C12" s="5" t="str">
        <f>IF($A12="","",INDEX('Product Master'!$C$7:$C$1000,MATCH($A12,'Product Master'!$A$7:$A$1000,0)))</f>
        <v>Electronics</v>
      </c>
      <c r="D12" s="7">
        <f>IF($A12="","",INDEX('Product Master'!$M$7:$M$1000,MATCH($A12,'Product Master'!$A$7:$A$1000,0)))</f>
        <v>17</v>
      </c>
      <c r="E12" s="7">
        <f>IF($A12="","",INDEX('Product Master'!$N$7:$N$1000,MATCH($A12,'Product Master'!$A$7:$A$1000,0)))</f>
        <v>20</v>
      </c>
      <c r="F12" s="5" t="str">
        <f>IF($A12="","",INDEX('Product Master'!$P$7:$P$1000,MATCH($A12,'Product Master'!$A$7:$A$1000,0)))</f>
        <v>Low Stock</v>
      </c>
      <c r="I12" s="5" t="str">
        <f>IFERROR(INDEX('Product Master'!$A$7:$A$1000,_xlfn.AGGREGATE(15,6,(ROW('Product Master'!$A$7:$A$1000)-ROW('Product Master'!$A$7)+1)/(('Product Master'!$A$7:$A$1000&lt;&gt;"")*('Product Master'!$P$7:$P$1000="Out of Stock")),ROWS($I$12:I12))),"")</f>
        <v>PRD-00041</v>
      </c>
      <c r="J12" s="6" t="str">
        <f>IF($I12="","",INDEX('Product Master'!$B$7:$B$1000,MATCH($I12,'Product Master'!$A$7:$A$1000,0)))</f>
        <v>Dyson V11 Cordless Vacuum</v>
      </c>
      <c r="K12" s="5" t="str">
        <f>IF($I12="","",INDEX('Product Master'!$C$7:$C$1000,MATCH($I12,'Product Master'!$A$7:$A$1000,0)))</f>
        <v>Home &amp; Kitchen</v>
      </c>
      <c r="L12" s="7">
        <f>IF($I12="","",INDEX('Product Master'!$M$7:$M$1000,MATCH($I12,'Product Master'!$A$7:$A$1000,0)))</f>
        <v>0</v>
      </c>
      <c r="M12" s="7">
        <f>IF($I12="","",INDEX('Product Master'!$N$7:$N$1000,MATCH($I12,'Product Master'!$A$7:$A$1000,0)))</f>
        <v>2</v>
      </c>
    </row>
    <row r="13" spans="1:23" ht="15" x14ac:dyDescent="0.35">
      <c r="A13" t="str">
        <f>IFERROR(INDEX('Product Master'!$A$7:$A$1000,_xlfn.AGGREGATE(15,6,(ROW('Product Master'!$A$7:$A$1000)-ROW('Product Master'!$A$7)+1)/(('Product Master'!$A$7:$A$1000&lt;&gt;"")*('Product Master'!$P$7:$P$1000="Low Stock")),ROWS($A$12:A13))),"")</f>
        <v>PRD-00005</v>
      </c>
      <c r="B13" s="6" t="str">
        <f>IF($A13="","",INDEX('Product Master'!$B$7:$B$1000,MATCH($A13,'Product Master'!$A$7:$A$1000,0)))</f>
        <v>Logitech C920 HD Pro Webcam</v>
      </c>
      <c r="C13" s="5" t="str">
        <f>IF($A13="","",INDEX('Product Master'!$C$7:$C$1000,MATCH($A13,'Product Master'!$A$7:$A$1000,0)))</f>
        <v>Electronics</v>
      </c>
      <c r="D13" s="7">
        <f>IF($A13="","",INDEX('Product Master'!$M$7:$M$1000,MATCH($A13,'Product Master'!$A$7:$A$1000,0)))</f>
        <v>12</v>
      </c>
      <c r="E13" s="7">
        <f>IF($A13="","",INDEX('Product Master'!$N$7:$N$1000,MATCH($A13,'Product Master'!$A$7:$A$1000,0)))</f>
        <v>20</v>
      </c>
      <c r="F13" s="5" t="str">
        <f>IF($A13="","",INDEX('Product Master'!$P$7:$P$1000,MATCH($A13,'Product Master'!$A$7:$A$1000,0)))</f>
        <v>Low Stock</v>
      </c>
      <c r="I13" s="5" t="str">
        <f>IFERROR(INDEX('Product Master'!$A$7:$A$1000,_xlfn.AGGREGATE(15,6,(ROW('Product Master'!$A$7:$A$1000)-ROW('Product Master'!$A$7)+1)/(('Product Master'!$A$7:$A$1000&lt;&gt;"")*('Product Master'!$P$7:$P$1000="Out of Stock")),ROWS($I$12:I13))),"")</f>
        <v/>
      </c>
      <c r="J13" s="6" t="str">
        <f>IF($I13="","",INDEX('Product Master'!$B$7:$B$1000,MATCH($I13,'Product Master'!$A$7:$A$1000,0)))</f>
        <v/>
      </c>
      <c r="K13" s="5" t="str">
        <f>IF($I13="","",INDEX('Product Master'!$C$7:$C$1000,MATCH($I13,'Product Master'!$A$7:$A$1000,0)))</f>
        <v/>
      </c>
      <c r="L13" s="7" t="str">
        <f>IF($I13="","",INDEX('Product Master'!$M$7:$M$1000,MATCH($I13,'Product Master'!$A$7:$A$1000,0)))</f>
        <v/>
      </c>
      <c r="M13" s="7" t="str">
        <f>IF($I13="","",INDEX('Product Master'!$N$7:$N$1000,MATCH($I13,'Product Master'!$A$7:$A$1000,0)))</f>
        <v/>
      </c>
    </row>
    <row r="14" spans="1:23" ht="15" x14ac:dyDescent="0.35">
      <c r="A14" t="str">
        <f>IFERROR(INDEX('Product Master'!$A$7:$A$1000,_xlfn.AGGREGATE(15,6,(ROW('Product Master'!$A$7:$A$1000)-ROW('Product Master'!$A$7)+1)/(('Product Master'!$A$7:$A$1000&lt;&gt;"")*('Product Master'!$P$7:$P$1000="Low Stock")),ROWS($A$12:A14))),"")</f>
        <v>PRD-00007</v>
      </c>
      <c r="B14" s="6" t="str">
        <f>IF($A14="","",INDEX('Product Master'!$B$7:$B$1000,MATCH($A14,'Product Master'!$A$7:$A$1000,0)))</f>
        <v>Anker PowerCore 26800mAh</v>
      </c>
      <c r="C14" s="5" t="str">
        <f>IF($A14="","",INDEX('Product Master'!$C$7:$C$1000,MATCH($A14,'Product Master'!$A$7:$A$1000,0)))</f>
        <v>Electronics</v>
      </c>
      <c r="D14" s="7">
        <f>IF($A14="","",INDEX('Product Master'!$M$7:$M$1000,MATCH($A14,'Product Master'!$A$7:$A$1000,0)))</f>
        <v>18</v>
      </c>
      <c r="E14" s="7">
        <f>IF($A14="","",INDEX('Product Master'!$N$7:$N$1000,MATCH($A14,'Product Master'!$A$7:$A$1000,0)))</f>
        <v>20</v>
      </c>
      <c r="F14" s="5" t="str">
        <f>IF($A14="","",INDEX('Product Master'!$P$7:$P$1000,MATCH($A14,'Product Master'!$A$7:$A$1000,0)))</f>
        <v>Low Stock</v>
      </c>
      <c r="I14" s="5" t="str">
        <f>IFERROR(INDEX('Product Master'!$A$7:$A$1000,_xlfn.AGGREGATE(15,6,(ROW('Product Master'!$A$7:$A$1000)-ROW('Product Master'!$A$7)+1)/(('Product Master'!$A$7:$A$1000&lt;&gt;"")*('Product Master'!$P$7:$P$1000="Out of Stock")),ROWS($I$12:I14))),"")</f>
        <v/>
      </c>
      <c r="J14" s="6" t="str">
        <f>IF($I14="","",INDEX('Product Master'!$B$7:$B$1000,MATCH($I14,'Product Master'!$A$7:$A$1000,0)))</f>
        <v/>
      </c>
      <c r="K14" s="5" t="str">
        <f>IF($I14="","",INDEX('Product Master'!$C$7:$C$1000,MATCH($I14,'Product Master'!$A$7:$A$1000,0)))</f>
        <v/>
      </c>
      <c r="L14" s="7" t="str">
        <f>IF($I14="","",INDEX('Product Master'!$M$7:$M$1000,MATCH($I14,'Product Master'!$A$7:$A$1000,0)))</f>
        <v/>
      </c>
      <c r="M14" s="7" t="str">
        <f>IF($I14="","",INDEX('Product Master'!$N$7:$N$1000,MATCH($I14,'Product Master'!$A$7:$A$1000,0)))</f>
        <v/>
      </c>
    </row>
    <row r="15" spans="1:23" ht="15" x14ac:dyDescent="0.35">
      <c r="A15" t="str">
        <f>IFERROR(INDEX('Product Master'!$A$7:$A$1000,_xlfn.AGGREGATE(15,6,(ROW('Product Master'!$A$7:$A$1000)-ROW('Product Master'!$A$7)+1)/(('Product Master'!$A$7:$A$1000&lt;&gt;"")*('Product Master'!$P$7:$P$1000="Low Stock")),ROWS($A$12:A15))),"")</f>
        <v>PRD-00008</v>
      </c>
      <c r="B15" s="6" t="str">
        <f>IF($A15="","",INDEX('Product Master'!$B$7:$B$1000,MATCH($A15,'Product Master'!$A$7:$A$1000,0)))</f>
        <v>HP LaserJet Pro Printer</v>
      </c>
      <c r="C15" s="5" t="str">
        <f>IF($A15="","",INDEX('Product Master'!$C$7:$C$1000,MATCH($A15,'Product Master'!$A$7:$A$1000,0)))</f>
        <v>Electronics</v>
      </c>
      <c r="D15" s="7">
        <f>IF($A15="","",INDEX('Product Master'!$M$7:$M$1000,MATCH($A15,'Product Master'!$A$7:$A$1000,0)))</f>
        <v>6</v>
      </c>
      <c r="E15" s="7">
        <f>IF($A15="","",INDEX('Product Master'!$N$7:$N$1000,MATCH($A15,'Product Master'!$A$7:$A$1000,0)))</f>
        <v>20</v>
      </c>
      <c r="F15" s="5" t="str">
        <f>IF($A15="","",INDEX('Product Master'!$P$7:$P$1000,MATCH($A15,'Product Master'!$A$7:$A$1000,0)))</f>
        <v>Low Stock</v>
      </c>
      <c r="I15" s="5" t="str">
        <f>IFERROR(INDEX('Product Master'!$A$7:$A$1000,_xlfn.AGGREGATE(15,6,(ROW('Product Master'!$A$7:$A$1000)-ROW('Product Master'!$A$7)+1)/(('Product Master'!$A$7:$A$1000&lt;&gt;"")*('Product Master'!$P$7:$P$1000="Out of Stock")),ROWS($I$12:I15))),"")</f>
        <v/>
      </c>
      <c r="J15" s="6" t="str">
        <f>IF($I15="","",INDEX('Product Master'!$B$7:$B$1000,MATCH($I15,'Product Master'!$A$7:$A$1000,0)))</f>
        <v/>
      </c>
      <c r="K15" s="5" t="str">
        <f>IF($I15="","",INDEX('Product Master'!$C$7:$C$1000,MATCH($I15,'Product Master'!$A$7:$A$1000,0)))</f>
        <v/>
      </c>
      <c r="L15" s="7" t="str">
        <f>IF($I15="","",INDEX('Product Master'!$M$7:$M$1000,MATCH($I15,'Product Master'!$A$7:$A$1000,0)))</f>
        <v/>
      </c>
      <c r="M15" s="7" t="str">
        <f>IF($I15="","",INDEX('Product Master'!$N$7:$N$1000,MATCH($I15,'Product Master'!$A$7:$A$1000,0)))</f>
        <v/>
      </c>
    </row>
    <row r="16" spans="1:23" ht="15" x14ac:dyDescent="0.35">
      <c r="A16" t="str">
        <f>IFERROR(INDEX('Product Master'!$A$7:$A$1000,_xlfn.AGGREGATE(15,6,(ROW('Product Master'!$A$7:$A$1000)-ROW('Product Master'!$A$7)+1)/(('Product Master'!$A$7:$A$1000&lt;&gt;"")*('Product Master'!$P$7:$P$1000="Low Stock")),ROWS($A$12:A16))),"")</f>
        <v>PRD-00009</v>
      </c>
      <c r="B16" s="6" t="str">
        <f>IF($A16="","",INDEX('Product Master'!$B$7:$B$1000,MATCH($A16,'Product Master'!$A$7:$A$1000,0)))</f>
        <v>ASUS ZenBook 14 Laptop</v>
      </c>
      <c r="C16" s="5" t="str">
        <f>IF($A16="","",INDEX('Product Master'!$C$7:$C$1000,MATCH($A16,'Product Master'!$A$7:$A$1000,0)))</f>
        <v>Electronics</v>
      </c>
      <c r="D16" s="7">
        <f>IF($A16="","",INDEX('Product Master'!$M$7:$M$1000,MATCH($A16,'Product Master'!$A$7:$A$1000,0)))</f>
        <v>5</v>
      </c>
      <c r="E16" s="7">
        <f>IF($A16="","",INDEX('Product Master'!$N$7:$N$1000,MATCH($A16,'Product Master'!$A$7:$A$1000,0)))</f>
        <v>20</v>
      </c>
      <c r="F16" s="5" t="str">
        <f>IF($A16="","",INDEX('Product Master'!$P$7:$P$1000,MATCH($A16,'Product Master'!$A$7:$A$1000,0)))</f>
        <v>Low Stock</v>
      </c>
      <c r="I16" s="5" t="str">
        <f>IFERROR(INDEX('Product Master'!$A$7:$A$1000,_xlfn.AGGREGATE(15,6,(ROW('Product Master'!$A$7:$A$1000)-ROW('Product Master'!$A$7)+1)/(('Product Master'!$A$7:$A$1000&lt;&gt;"")*('Product Master'!$P$7:$P$1000="Out of Stock")),ROWS($I$12:I16))),"")</f>
        <v/>
      </c>
      <c r="J16" s="6" t="str">
        <f>IF($I16="","",INDEX('Product Master'!$B$7:$B$1000,MATCH($I16,'Product Master'!$A$7:$A$1000,0)))</f>
        <v/>
      </c>
      <c r="K16" s="5" t="str">
        <f>IF($I16="","",INDEX('Product Master'!$C$7:$C$1000,MATCH($I16,'Product Master'!$A$7:$A$1000,0)))</f>
        <v/>
      </c>
      <c r="L16" s="7" t="str">
        <f>IF($I16="","",INDEX('Product Master'!$M$7:$M$1000,MATCH($I16,'Product Master'!$A$7:$A$1000,0)))</f>
        <v/>
      </c>
      <c r="M16" s="7" t="str">
        <f>IF($I16="","",INDEX('Product Master'!$N$7:$N$1000,MATCH($I16,'Product Master'!$A$7:$A$1000,0)))</f>
        <v/>
      </c>
    </row>
    <row r="17" spans="1:13" ht="15" x14ac:dyDescent="0.35">
      <c r="A17" t="str">
        <f>IFERROR(INDEX('Product Master'!$A$7:$A$1000,_xlfn.AGGREGATE(15,6,(ROW('Product Master'!$A$7:$A$1000)-ROW('Product Master'!$A$7)+1)/(('Product Master'!$A$7:$A$1000&lt;&gt;"")*('Product Master'!$P$7:$P$1000="Low Stock")),ROWS($A$12:A17))),"")</f>
        <v>PRD-00014</v>
      </c>
      <c r="B17" s="6" t="str">
        <f>IF($A17="","",INDEX('Product Master'!$B$7:$B$1000,MATCH($A17,'Product Master'!$A$7:$A$1000,0)))</f>
        <v>Zara Wool Blend Coat</v>
      </c>
      <c r="C17" s="5" t="str">
        <f>IF($A17="","",INDEX('Product Master'!$C$7:$C$1000,MATCH($A17,'Product Master'!$A$7:$A$1000,0)))</f>
        <v>Apparel</v>
      </c>
      <c r="D17" s="7">
        <f>IF($A17="","",INDEX('Product Master'!$M$7:$M$1000,MATCH($A17,'Product Master'!$A$7:$A$1000,0)))</f>
        <v>10</v>
      </c>
      <c r="E17" s="7">
        <f>IF($A17="","",INDEX('Product Master'!$N$7:$N$1000,MATCH($A17,'Product Master'!$A$7:$A$1000,0)))</f>
        <v>20</v>
      </c>
      <c r="F17" s="5" t="str">
        <f>IF($A17="","",INDEX('Product Master'!$P$7:$P$1000,MATCH($A17,'Product Master'!$A$7:$A$1000,0)))</f>
        <v>Low Stock</v>
      </c>
      <c r="I17" s="5" t="str">
        <f>IFERROR(INDEX('Product Master'!$A$7:$A$1000,_xlfn.AGGREGATE(15,6,(ROW('Product Master'!$A$7:$A$1000)-ROW('Product Master'!$A$7)+1)/(('Product Master'!$A$7:$A$1000&lt;&gt;"")*('Product Master'!$P$7:$P$1000="Out of Stock")),ROWS($I$12:I17))),"")</f>
        <v/>
      </c>
      <c r="J17" s="6" t="str">
        <f>IF($I17="","",INDEX('Product Master'!$B$7:$B$1000,MATCH($I17,'Product Master'!$A$7:$A$1000,0)))</f>
        <v/>
      </c>
      <c r="K17" s="5" t="str">
        <f>IF($I17="","",INDEX('Product Master'!$C$7:$C$1000,MATCH($I17,'Product Master'!$A$7:$A$1000,0)))</f>
        <v/>
      </c>
      <c r="L17" s="7" t="str">
        <f>IF($I17="","",INDEX('Product Master'!$M$7:$M$1000,MATCH($I17,'Product Master'!$A$7:$A$1000,0)))</f>
        <v/>
      </c>
      <c r="M17" s="7" t="str">
        <f>IF($I17="","",INDEX('Product Master'!$N$7:$N$1000,MATCH($I17,'Product Master'!$A$7:$A$1000,0)))</f>
        <v/>
      </c>
    </row>
    <row r="18" spans="1:13" ht="15" x14ac:dyDescent="0.35">
      <c r="A18" t="str">
        <f>IFERROR(INDEX('Product Master'!$A$7:$A$1000,_xlfn.AGGREGATE(15,6,(ROW('Product Master'!$A$7:$A$1000)-ROW('Product Master'!$A$7)+1)/(('Product Master'!$A$7:$A$1000&lt;&gt;"")*('Product Master'!$P$7:$P$1000="Low Stock")),ROWS($A$12:A18))),"")</f>
        <v>PRD-00016</v>
      </c>
      <c r="B18" s="6" t="str">
        <f>IF($A18="","",INDEX('Product Master'!$B$7:$B$1000,MATCH($A18,'Product Master'!$A$7:$A$1000,0)))</f>
        <v>Puma Classic Suede Shoes</v>
      </c>
      <c r="C18" s="5" t="str">
        <f>IF($A18="","",INDEX('Product Master'!$C$7:$C$1000,MATCH($A18,'Product Master'!$A$7:$A$1000,0)))</f>
        <v>Apparel</v>
      </c>
      <c r="D18" s="7">
        <f>IF($A18="","",INDEX('Product Master'!$M$7:$M$1000,MATCH($A18,'Product Master'!$A$7:$A$1000,0)))</f>
        <v>15</v>
      </c>
      <c r="E18" s="7">
        <f>IF($A18="","",INDEX('Product Master'!$N$7:$N$1000,MATCH($A18,'Product Master'!$A$7:$A$1000,0)))</f>
        <v>20</v>
      </c>
      <c r="F18" s="5" t="str">
        <f>IF($A18="","",INDEX('Product Master'!$P$7:$P$1000,MATCH($A18,'Product Master'!$A$7:$A$1000,0)))</f>
        <v>Low Stock</v>
      </c>
      <c r="I18" s="5" t="str">
        <f>IFERROR(INDEX('Product Master'!$A$7:$A$1000,_xlfn.AGGREGATE(15,6,(ROW('Product Master'!$A$7:$A$1000)-ROW('Product Master'!$A$7)+1)/(('Product Master'!$A$7:$A$1000&lt;&gt;"")*('Product Master'!$P$7:$P$1000="Out of Stock")),ROWS($I$12:I18))),"")</f>
        <v/>
      </c>
      <c r="J18" s="6" t="str">
        <f>IF($I18="","",INDEX('Product Master'!$B$7:$B$1000,MATCH($I18,'Product Master'!$A$7:$A$1000,0)))</f>
        <v/>
      </c>
      <c r="K18" s="5" t="str">
        <f>IF($I18="","",INDEX('Product Master'!$C$7:$C$1000,MATCH($I18,'Product Master'!$A$7:$A$1000,0)))</f>
        <v/>
      </c>
      <c r="L18" s="7" t="str">
        <f>IF($I18="","",INDEX('Product Master'!$M$7:$M$1000,MATCH($I18,'Product Master'!$A$7:$A$1000,0)))</f>
        <v/>
      </c>
      <c r="M18" s="7" t="str">
        <f>IF($I18="","",INDEX('Product Master'!$N$7:$N$1000,MATCH($I18,'Product Master'!$A$7:$A$1000,0)))</f>
        <v/>
      </c>
    </row>
    <row r="19" spans="1:13" ht="15" x14ac:dyDescent="0.35">
      <c r="A19" t="str">
        <f>IFERROR(INDEX('Product Master'!$A$7:$A$1000,_xlfn.AGGREGATE(15,6,(ROW('Product Master'!$A$7:$A$1000)-ROW('Product Master'!$A$7)+1)/(('Product Master'!$A$7:$A$1000&lt;&gt;"")*('Product Master'!$P$7:$P$1000="Low Stock")),ROWS($A$12:A19))),"")</f>
        <v>PRD-00019</v>
      </c>
      <c r="B19" s="6" t="str">
        <f>IF($A19="","",INDEX('Product Master'!$B$7:$B$1000,MATCH($A19,'Product Master'!$A$7:$A$1000,0)))</f>
        <v>Columbia Fleece Jacket</v>
      </c>
      <c r="C19" s="5" t="str">
        <f>IF($A19="","",INDEX('Product Master'!$C$7:$C$1000,MATCH($A19,'Product Master'!$A$7:$A$1000,0)))</f>
        <v>Apparel</v>
      </c>
      <c r="D19" s="7">
        <f>IF($A19="","",INDEX('Product Master'!$M$7:$M$1000,MATCH($A19,'Product Master'!$A$7:$A$1000,0)))</f>
        <v>12</v>
      </c>
      <c r="E19" s="7">
        <f>IF($A19="","",INDEX('Product Master'!$N$7:$N$1000,MATCH($A19,'Product Master'!$A$7:$A$1000,0)))</f>
        <v>20</v>
      </c>
      <c r="F19" s="5" t="str">
        <f>IF($A19="","",INDEX('Product Master'!$P$7:$P$1000,MATCH($A19,'Product Master'!$A$7:$A$1000,0)))</f>
        <v>Low Stock</v>
      </c>
      <c r="I19" s="5" t="str">
        <f>IFERROR(INDEX('Product Master'!$A$7:$A$1000,_xlfn.AGGREGATE(15,6,(ROW('Product Master'!$A$7:$A$1000)-ROW('Product Master'!$A$7)+1)/(('Product Master'!$A$7:$A$1000&lt;&gt;"")*('Product Master'!$P$7:$P$1000="Out of Stock")),ROWS($I$12:I19))),"")</f>
        <v/>
      </c>
      <c r="J19" s="6" t="str">
        <f>IF($I19="","",INDEX('Product Master'!$B$7:$B$1000,MATCH($I19,'Product Master'!$A$7:$A$1000,0)))</f>
        <v/>
      </c>
      <c r="K19" s="5" t="str">
        <f>IF($I19="","",INDEX('Product Master'!$C$7:$C$1000,MATCH($I19,'Product Master'!$A$7:$A$1000,0)))</f>
        <v/>
      </c>
      <c r="L19" s="7" t="str">
        <f>IF($I19="","",INDEX('Product Master'!$M$7:$M$1000,MATCH($I19,'Product Master'!$A$7:$A$1000,0)))</f>
        <v/>
      </c>
      <c r="M19" s="7" t="str">
        <f>IF($I19="","",INDEX('Product Master'!$N$7:$N$1000,MATCH($I19,'Product Master'!$A$7:$A$1000,0)))</f>
        <v/>
      </c>
    </row>
    <row r="20" spans="1:13" ht="15" x14ac:dyDescent="0.35">
      <c r="A20" t="str">
        <f>IFERROR(INDEX('Product Master'!$A$7:$A$1000,_xlfn.AGGREGATE(15,6,(ROW('Product Master'!$A$7:$A$1000)-ROW('Product Master'!$A$7)+1)/(('Product Master'!$A$7:$A$1000&lt;&gt;"")*('Product Master'!$P$7:$P$1000="Low Stock")),ROWS($A$12:A20))),"")</f>
        <v/>
      </c>
      <c r="B20" s="6" t="str">
        <f>IF($A20="","",INDEX('Product Master'!$B$7:$B$1000,MATCH($A20,'Product Master'!$A$7:$A$1000,0)))</f>
        <v/>
      </c>
      <c r="C20" s="5" t="str">
        <f>IF($A20="","",INDEX('Product Master'!$C$7:$C$1000,MATCH($A20,'Product Master'!$A$7:$A$1000,0)))</f>
        <v/>
      </c>
      <c r="D20" s="7" t="str">
        <f>IF($A20="","",INDEX('Product Master'!$M$7:$M$1000,MATCH($A20,'Product Master'!$A$7:$A$1000,0)))</f>
        <v/>
      </c>
      <c r="E20" s="7" t="str">
        <f>IF($A20="","",INDEX('Product Master'!$N$7:$N$1000,MATCH($A20,'Product Master'!$A$7:$A$1000,0)))</f>
        <v/>
      </c>
      <c r="F20" s="5" t="str">
        <f>IF($A20="","",INDEX('Product Master'!$P$7:$P$1000,MATCH($A20,'Product Master'!$A$7:$A$1000,0)))</f>
        <v/>
      </c>
      <c r="I20" s="5" t="str">
        <f>IFERROR(INDEX('Product Master'!$A$7:$A$1000,_xlfn.AGGREGATE(15,6,(ROW('Product Master'!$A$7:$A$1000)-ROW('Product Master'!$A$7)+1)/(('Product Master'!$A$7:$A$1000&lt;&gt;"")*('Product Master'!$P$7:$P$1000="Out of Stock")),ROWS($I$12:I20))),"")</f>
        <v/>
      </c>
      <c r="J20" s="6" t="str">
        <f>IF($I20="","",INDEX('Product Master'!$B$7:$B$1000,MATCH($I20,'Product Master'!$A$7:$A$1000,0)))</f>
        <v/>
      </c>
      <c r="K20" s="5" t="str">
        <f>IF($I20="","",INDEX('Product Master'!$C$7:$C$1000,MATCH($I20,'Product Master'!$A$7:$A$1000,0)))</f>
        <v/>
      </c>
      <c r="L20" s="7" t="str">
        <f>IF($I20="","",INDEX('Product Master'!$M$7:$M$1000,MATCH($I20,'Product Master'!$A$7:$A$1000,0)))</f>
        <v/>
      </c>
      <c r="M20" s="7" t="str">
        <f>IF($I20="","",INDEX('Product Master'!$N$7:$N$1000,MATCH($I20,'Product Master'!$A$7:$A$1000,0)))</f>
        <v/>
      </c>
    </row>
    <row r="21" spans="1:13" ht="15" x14ac:dyDescent="0.35">
      <c r="A21" t="str">
        <f>IFERROR(INDEX('Product Master'!$A$7:$A$1000,_xlfn.AGGREGATE(15,6,(ROW('Product Master'!$A$7:$A$1000)-ROW('Product Master'!$A$7)+1)/(('Product Master'!$A$7:$A$1000&lt;&gt;"")*('Product Master'!$P$7:$P$1000="Low Stock")),ROWS($A$12:A21))),"")</f>
        <v/>
      </c>
      <c r="B21" s="6" t="str">
        <f>IF($A21="","",INDEX('Product Master'!$B$7:$B$1000,MATCH($A21,'Product Master'!$A$7:$A$1000,0)))</f>
        <v/>
      </c>
      <c r="C21" s="5" t="str">
        <f>IF($A21="","",INDEX('Product Master'!$C$7:$C$1000,MATCH($A21,'Product Master'!$A$7:$A$1000,0)))</f>
        <v/>
      </c>
      <c r="D21" s="7" t="str">
        <f>IF($A21="","",INDEX('Product Master'!$M$7:$M$1000,MATCH($A21,'Product Master'!$A$7:$A$1000,0)))</f>
        <v/>
      </c>
      <c r="E21" s="7" t="str">
        <f>IF($A21="","",INDEX('Product Master'!$N$7:$N$1000,MATCH($A21,'Product Master'!$A$7:$A$1000,0)))</f>
        <v/>
      </c>
      <c r="F21" s="5" t="str">
        <f>IF($A21="","",INDEX('Product Master'!$P$7:$P$1000,MATCH($A21,'Product Master'!$A$7:$A$1000,0)))</f>
        <v/>
      </c>
      <c r="I21" s="5" t="str">
        <f>IFERROR(INDEX('Product Master'!$A$7:$A$1000,_xlfn.AGGREGATE(15,6,(ROW('Product Master'!$A$7:$A$1000)-ROW('Product Master'!$A$7)+1)/(('Product Master'!$A$7:$A$1000&lt;&gt;"")*('Product Master'!$P$7:$P$1000="Out of Stock")),ROWS($I$12:I21))),"")</f>
        <v/>
      </c>
      <c r="J21" s="6" t="str">
        <f>IF($I21="","",INDEX('Product Master'!$B$7:$B$1000,MATCH($I21,'Product Master'!$A$7:$A$1000,0)))</f>
        <v/>
      </c>
      <c r="K21" s="5" t="str">
        <f>IF($I21="","",INDEX('Product Master'!$C$7:$C$1000,MATCH($I21,'Product Master'!$A$7:$A$1000,0)))</f>
        <v/>
      </c>
      <c r="L21" s="7" t="str">
        <f>IF($I21="","",INDEX('Product Master'!$M$7:$M$1000,MATCH($I21,'Product Master'!$A$7:$A$1000,0)))</f>
        <v/>
      </c>
      <c r="M21" s="7" t="str">
        <f>IF($I21="","",INDEX('Product Master'!$N$7:$N$1000,MATCH($I21,'Product Master'!$A$7:$A$1000,0)))</f>
        <v/>
      </c>
    </row>
    <row r="22" spans="1:13" ht="15" x14ac:dyDescent="0.35">
      <c r="A22" t="str">
        <f>IFERROR(INDEX('Product Master'!$A$7:$A$1000,_xlfn.AGGREGATE(15,6,(ROW('Product Master'!$A$7:$A$1000)-ROW('Product Master'!$A$7)+1)/(('Product Master'!$A$7:$A$1000&lt;&gt;"")*('Product Master'!$P$7:$P$1000="Low Stock")),ROWS($A$12:A22))),"")</f>
        <v/>
      </c>
      <c r="B22" s="6" t="str">
        <f>IF($A22="","",INDEX('Product Master'!$B$7:$B$1000,MATCH($A22,'Product Master'!$A$7:$A$1000,0)))</f>
        <v/>
      </c>
      <c r="C22" s="5" t="str">
        <f>IF($A22="","",INDEX('Product Master'!$C$7:$C$1000,MATCH($A22,'Product Master'!$A$7:$A$1000,0)))</f>
        <v/>
      </c>
      <c r="D22" s="7" t="str">
        <f>IF($A22="","",INDEX('Product Master'!$M$7:$M$1000,MATCH($A22,'Product Master'!$A$7:$A$1000,0)))</f>
        <v/>
      </c>
      <c r="E22" s="7" t="str">
        <f>IF($A22="","",INDEX('Product Master'!$N$7:$N$1000,MATCH($A22,'Product Master'!$A$7:$A$1000,0)))</f>
        <v/>
      </c>
      <c r="F22" s="5" t="str">
        <f>IF($A22="","",INDEX('Product Master'!$P$7:$P$1000,MATCH($A22,'Product Master'!$A$7:$A$1000,0)))</f>
        <v/>
      </c>
      <c r="I22" s="5" t="str">
        <f>IFERROR(INDEX('Product Master'!$A$7:$A$1000,_xlfn.AGGREGATE(15,6,(ROW('Product Master'!$A$7:$A$1000)-ROW('Product Master'!$A$7)+1)/(('Product Master'!$A$7:$A$1000&lt;&gt;"")*('Product Master'!$P$7:$P$1000="Out of Stock")),ROWS($I$12:I22))),"")</f>
        <v/>
      </c>
      <c r="J22" s="6" t="str">
        <f>IF($I22="","",INDEX('Product Master'!$B$7:$B$1000,MATCH($I22,'Product Master'!$A$7:$A$1000,0)))</f>
        <v/>
      </c>
      <c r="K22" s="5" t="str">
        <f>IF($I22="","",INDEX('Product Master'!$C$7:$C$1000,MATCH($I22,'Product Master'!$A$7:$A$1000,0)))</f>
        <v/>
      </c>
      <c r="L22" s="7" t="str">
        <f>IF($I22="","",INDEX('Product Master'!$M$7:$M$1000,MATCH($I22,'Product Master'!$A$7:$A$1000,0)))</f>
        <v/>
      </c>
      <c r="M22" s="7" t="str">
        <f>IF($I22="","",INDEX('Product Master'!$N$7:$N$1000,MATCH($I22,'Product Master'!$A$7:$A$1000,0)))</f>
        <v/>
      </c>
    </row>
    <row r="23" spans="1:13" ht="15" x14ac:dyDescent="0.35">
      <c r="A23" t="str">
        <f>IFERROR(INDEX('Product Master'!$A$7:$A$1000,_xlfn.AGGREGATE(15,6,(ROW('Product Master'!$A$7:$A$1000)-ROW('Product Master'!$A$7)+1)/(('Product Master'!$A$7:$A$1000&lt;&gt;"")*('Product Master'!$P$7:$P$1000="Low Stock")),ROWS($A$12:A23))),"")</f>
        <v/>
      </c>
      <c r="B23" s="6" t="str">
        <f>IF($A23="","",INDEX('Product Master'!$B$7:$B$1000,MATCH($A23,'Product Master'!$A$7:$A$1000,0)))</f>
        <v/>
      </c>
      <c r="C23" s="5" t="str">
        <f>IF($A23="","",INDEX('Product Master'!$C$7:$C$1000,MATCH($A23,'Product Master'!$A$7:$A$1000,0)))</f>
        <v/>
      </c>
      <c r="D23" s="7" t="str">
        <f>IF($A23="","",INDEX('Product Master'!$M$7:$M$1000,MATCH($A23,'Product Master'!$A$7:$A$1000,0)))</f>
        <v/>
      </c>
      <c r="E23" s="7" t="str">
        <f>IF($A23="","",INDEX('Product Master'!$N$7:$N$1000,MATCH($A23,'Product Master'!$A$7:$A$1000,0)))</f>
        <v/>
      </c>
      <c r="F23" s="5" t="str">
        <f>IF($A23="","",INDEX('Product Master'!$P$7:$P$1000,MATCH($A23,'Product Master'!$A$7:$A$1000,0)))</f>
        <v/>
      </c>
      <c r="I23" s="5" t="str">
        <f>IFERROR(INDEX('Product Master'!$A$7:$A$1000,_xlfn.AGGREGATE(15,6,(ROW('Product Master'!$A$7:$A$1000)-ROW('Product Master'!$A$7)+1)/(('Product Master'!$A$7:$A$1000&lt;&gt;"")*('Product Master'!$P$7:$P$1000="Out of Stock")),ROWS($I$12:I23))),"")</f>
        <v/>
      </c>
      <c r="J23" s="6" t="str">
        <f>IF($I23="","",INDEX('Product Master'!$B$7:$B$1000,MATCH($I23,'Product Master'!$A$7:$A$1000,0)))</f>
        <v/>
      </c>
      <c r="K23" s="5" t="str">
        <f>IF($I23="","",INDEX('Product Master'!$C$7:$C$1000,MATCH($I23,'Product Master'!$A$7:$A$1000,0)))</f>
        <v/>
      </c>
      <c r="L23" s="7" t="str">
        <f>IF($I23="","",INDEX('Product Master'!$M$7:$M$1000,MATCH($I23,'Product Master'!$A$7:$A$1000,0)))</f>
        <v/>
      </c>
      <c r="M23" s="7" t="str">
        <f>IF($I23="","",INDEX('Product Master'!$N$7:$N$1000,MATCH($I23,'Product Master'!$A$7:$A$1000,0)))</f>
        <v/>
      </c>
    </row>
    <row r="24" spans="1:13" ht="15" x14ac:dyDescent="0.35">
      <c r="A24" t="str">
        <f>IFERROR(INDEX('Product Master'!$A$7:$A$1000,_xlfn.AGGREGATE(15,6,(ROW('Product Master'!$A$7:$A$1000)-ROW('Product Master'!$A$7)+1)/(('Product Master'!$A$7:$A$1000&lt;&gt;"")*('Product Master'!$P$7:$P$1000="Low Stock")),ROWS($A$12:A24))),"")</f>
        <v/>
      </c>
      <c r="B24" s="6" t="str">
        <f>IF($A24="","",INDEX('Product Master'!$B$7:$B$1000,MATCH($A24,'Product Master'!$A$7:$A$1000,0)))</f>
        <v/>
      </c>
      <c r="C24" s="5" t="str">
        <f>IF($A24="","",INDEX('Product Master'!$C$7:$C$1000,MATCH($A24,'Product Master'!$A$7:$A$1000,0)))</f>
        <v/>
      </c>
      <c r="D24" s="7" t="str">
        <f>IF($A24="","",INDEX('Product Master'!$M$7:$M$1000,MATCH($A24,'Product Master'!$A$7:$A$1000,0)))</f>
        <v/>
      </c>
      <c r="E24" s="7" t="str">
        <f>IF($A24="","",INDEX('Product Master'!$N$7:$N$1000,MATCH($A24,'Product Master'!$A$7:$A$1000,0)))</f>
        <v/>
      </c>
      <c r="F24" s="5" t="str">
        <f>IF($A24="","",INDEX('Product Master'!$P$7:$P$1000,MATCH($A24,'Product Master'!$A$7:$A$1000,0)))</f>
        <v/>
      </c>
      <c r="I24" s="5" t="str">
        <f>IFERROR(INDEX('Product Master'!$A$7:$A$1000,_xlfn.AGGREGATE(15,6,(ROW('Product Master'!$A$7:$A$1000)-ROW('Product Master'!$A$7)+1)/(('Product Master'!$A$7:$A$1000&lt;&gt;"")*('Product Master'!$P$7:$P$1000="Out of Stock")),ROWS($I$12:I24))),"")</f>
        <v/>
      </c>
      <c r="J24" s="6" t="str">
        <f>IF($I24="","",INDEX('Product Master'!$B$7:$B$1000,MATCH($I24,'Product Master'!$A$7:$A$1000,0)))</f>
        <v/>
      </c>
      <c r="K24" s="5" t="str">
        <f>IF($I24="","",INDEX('Product Master'!$C$7:$C$1000,MATCH($I24,'Product Master'!$A$7:$A$1000,0)))</f>
        <v/>
      </c>
      <c r="L24" s="7" t="str">
        <f>IF($I24="","",INDEX('Product Master'!$M$7:$M$1000,MATCH($I24,'Product Master'!$A$7:$A$1000,0)))</f>
        <v/>
      </c>
      <c r="M24" s="7" t="str">
        <f>IF($I24="","",INDEX('Product Master'!$N$7:$N$1000,MATCH($I24,'Product Master'!$A$7:$A$1000,0)))</f>
        <v/>
      </c>
    </row>
    <row r="25" spans="1:13" ht="15" x14ac:dyDescent="0.35">
      <c r="A25" t="str">
        <f>IFERROR(INDEX('Product Master'!$A$7:$A$1000,_xlfn.AGGREGATE(15,6,(ROW('Product Master'!$A$7:$A$1000)-ROW('Product Master'!$A$7)+1)/(('Product Master'!$A$7:$A$1000&lt;&gt;"")*('Product Master'!$P$7:$P$1000="Low Stock")),ROWS($A$12:A25))),"")</f>
        <v/>
      </c>
      <c r="B25" s="6" t="str">
        <f>IF($A25="","",INDEX('Product Master'!$B$7:$B$1000,MATCH($A25,'Product Master'!$A$7:$A$1000,0)))</f>
        <v/>
      </c>
      <c r="C25" s="5" t="str">
        <f>IF($A25="","",INDEX('Product Master'!$C$7:$C$1000,MATCH($A25,'Product Master'!$A$7:$A$1000,0)))</f>
        <v/>
      </c>
      <c r="D25" s="7" t="str">
        <f>IF($A25="","",INDEX('Product Master'!$M$7:$M$1000,MATCH($A25,'Product Master'!$A$7:$A$1000,0)))</f>
        <v/>
      </c>
      <c r="E25" s="7" t="str">
        <f>IF($A25="","",INDEX('Product Master'!$N$7:$N$1000,MATCH($A25,'Product Master'!$A$7:$A$1000,0)))</f>
        <v/>
      </c>
      <c r="F25" s="5" t="str">
        <f>IF($A25="","",INDEX('Product Master'!$P$7:$P$1000,MATCH($A25,'Product Master'!$A$7:$A$1000,0)))</f>
        <v/>
      </c>
      <c r="I25" s="5" t="str">
        <f>IFERROR(INDEX('Product Master'!$A$7:$A$1000,_xlfn.AGGREGATE(15,6,(ROW('Product Master'!$A$7:$A$1000)-ROW('Product Master'!$A$7)+1)/(('Product Master'!$A$7:$A$1000&lt;&gt;"")*('Product Master'!$P$7:$P$1000="Out of Stock")),ROWS($I$12:I25))),"")</f>
        <v/>
      </c>
      <c r="J25" s="6" t="str">
        <f>IF($I25="","",INDEX('Product Master'!$B$7:$B$1000,MATCH($I25,'Product Master'!$A$7:$A$1000,0)))</f>
        <v/>
      </c>
      <c r="K25" s="5" t="str">
        <f>IF($I25="","",INDEX('Product Master'!$C$7:$C$1000,MATCH($I25,'Product Master'!$A$7:$A$1000,0)))</f>
        <v/>
      </c>
      <c r="L25" s="7" t="str">
        <f>IF($I25="","",INDEX('Product Master'!$M$7:$M$1000,MATCH($I25,'Product Master'!$A$7:$A$1000,0)))</f>
        <v/>
      </c>
      <c r="M25" s="7" t="str">
        <f>IF($I25="","",INDEX('Product Master'!$N$7:$N$1000,MATCH($I25,'Product Master'!$A$7:$A$1000,0)))</f>
        <v/>
      </c>
    </row>
    <row r="26" spans="1:13" ht="15" x14ac:dyDescent="0.35">
      <c r="A26" t="str">
        <f>IFERROR(INDEX('Product Master'!$A$7:$A$1000,_xlfn.AGGREGATE(15,6,(ROW('Product Master'!$A$7:$A$1000)-ROW('Product Master'!$A$7)+1)/(('Product Master'!$A$7:$A$1000&lt;&gt;"")*('Product Master'!$P$7:$P$1000="Low Stock")),ROWS($A$12:A26))),"")</f>
        <v/>
      </c>
      <c r="B26" s="6" t="str">
        <f>IF($A26="","",INDEX('Product Master'!$B$7:$B$1000,MATCH($A26,'Product Master'!$A$7:$A$1000,0)))</f>
        <v/>
      </c>
      <c r="C26" s="5" t="str">
        <f>IF($A26="","",INDEX('Product Master'!$C$7:$C$1000,MATCH($A26,'Product Master'!$A$7:$A$1000,0)))</f>
        <v/>
      </c>
      <c r="D26" s="7" t="str">
        <f>IF($A26="","",INDEX('Product Master'!$M$7:$M$1000,MATCH($A26,'Product Master'!$A$7:$A$1000,0)))</f>
        <v/>
      </c>
      <c r="E26" s="7" t="str">
        <f>IF($A26="","",INDEX('Product Master'!$N$7:$N$1000,MATCH($A26,'Product Master'!$A$7:$A$1000,0)))</f>
        <v/>
      </c>
      <c r="F26" s="5" t="str">
        <f>IF($A26="","",INDEX('Product Master'!$P$7:$P$1000,MATCH($A26,'Product Master'!$A$7:$A$1000,0)))</f>
        <v/>
      </c>
      <c r="I26" s="5" t="str">
        <f>IFERROR(INDEX('Product Master'!$A$7:$A$1000,_xlfn.AGGREGATE(15,6,(ROW('Product Master'!$A$7:$A$1000)-ROW('Product Master'!$A$7)+1)/(('Product Master'!$A$7:$A$1000&lt;&gt;"")*('Product Master'!$P$7:$P$1000="Out of Stock")),ROWS($I$12:I26))),"")</f>
        <v/>
      </c>
      <c r="J26" s="6" t="str">
        <f>IF($I26="","",INDEX('Product Master'!$B$7:$B$1000,MATCH($I26,'Product Master'!$A$7:$A$1000,0)))</f>
        <v/>
      </c>
      <c r="K26" s="5" t="str">
        <f>IF($I26="","",INDEX('Product Master'!$C$7:$C$1000,MATCH($I26,'Product Master'!$A$7:$A$1000,0)))</f>
        <v/>
      </c>
      <c r="L26" s="7" t="str">
        <f>IF($I26="","",INDEX('Product Master'!$M$7:$M$1000,MATCH($I26,'Product Master'!$A$7:$A$1000,0)))</f>
        <v/>
      </c>
      <c r="M26" s="7" t="str">
        <f>IF($I26="","",INDEX('Product Master'!$N$7:$N$1000,MATCH($I26,'Product Master'!$A$7:$A$1000,0)))</f>
        <v/>
      </c>
    </row>
    <row r="27" spans="1:13" ht="15" x14ac:dyDescent="0.35">
      <c r="A27" t="str">
        <f>IFERROR(INDEX('Product Master'!$A$7:$A$1000,_xlfn.AGGREGATE(15,6,(ROW('Product Master'!$A$7:$A$1000)-ROW('Product Master'!$A$7)+1)/(('Product Master'!$A$7:$A$1000&lt;&gt;"")*('Product Master'!$P$7:$P$1000="Low Stock")),ROWS($A$12:A27))),"")</f>
        <v/>
      </c>
      <c r="B27" s="6" t="str">
        <f>IF($A27="","",INDEX('Product Master'!$B$7:$B$1000,MATCH($A27,'Product Master'!$A$7:$A$1000,0)))</f>
        <v/>
      </c>
      <c r="C27" s="5" t="str">
        <f>IF($A27="","",INDEX('Product Master'!$C$7:$C$1000,MATCH($A27,'Product Master'!$A$7:$A$1000,0)))</f>
        <v/>
      </c>
      <c r="D27" s="7" t="str">
        <f>IF($A27="","",INDEX('Product Master'!$M$7:$M$1000,MATCH($A27,'Product Master'!$A$7:$A$1000,0)))</f>
        <v/>
      </c>
      <c r="E27" s="7" t="str">
        <f>IF($A27="","",INDEX('Product Master'!$N$7:$N$1000,MATCH($A27,'Product Master'!$A$7:$A$1000,0)))</f>
        <v/>
      </c>
      <c r="F27" s="5" t="str">
        <f>IF($A27="","",INDEX('Product Master'!$P$7:$P$1000,MATCH($A27,'Product Master'!$A$7:$A$1000,0)))</f>
        <v/>
      </c>
      <c r="I27" s="5" t="str">
        <f>IFERROR(INDEX('Product Master'!$A$7:$A$1000,_xlfn.AGGREGATE(15,6,(ROW('Product Master'!$A$7:$A$1000)-ROW('Product Master'!$A$7)+1)/(('Product Master'!$A$7:$A$1000&lt;&gt;"")*('Product Master'!$P$7:$P$1000="Out of Stock")),ROWS($I$12:I27))),"")</f>
        <v/>
      </c>
      <c r="J27" s="6" t="str">
        <f>IF($I27="","",INDEX('Product Master'!$B$7:$B$1000,MATCH($I27,'Product Master'!$A$7:$A$1000,0)))</f>
        <v/>
      </c>
      <c r="K27" s="5" t="str">
        <f>IF($I27="","",INDEX('Product Master'!$C$7:$C$1000,MATCH($I27,'Product Master'!$A$7:$A$1000,0)))</f>
        <v/>
      </c>
      <c r="L27" s="7" t="str">
        <f>IF($I27="","",INDEX('Product Master'!$M$7:$M$1000,MATCH($I27,'Product Master'!$A$7:$A$1000,0)))</f>
        <v/>
      </c>
      <c r="M27" s="7" t="str">
        <f>IF($I27="","",INDEX('Product Master'!$N$7:$N$1000,MATCH($I27,'Product Master'!$A$7:$A$1000,0)))</f>
        <v/>
      </c>
    </row>
    <row r="28" spans="1:13" ht="15" x14ac:dyDescent="0.35">
      <c r="A28" t="str">
        <f>IFERROR(INDEX('Product Master'!$A$7:$A$1000,_xlfn.AGGREGATE(15,6,(ROW('Product Master'!$A$7:$A$1000)-ROW('Product Master'!$A$7)+1)/(('Product Master'!$A$7:$A$1000&lt;&gt;"")*('Product Master'!$P$7:$P$1000="Low Stock")),ROWS($A$12:A28))),"")</f>
        <v/>
      </c>
      <c r="B28" s="6" t="str">
        <f>IF($A28="","",INDEX('Product Master'!$B$7:$B$1000,MATCH($A28,'Product Master'!$A$7:$A$1000,0)))</f>
        <v/>
      </c>
      <c r="C28" s="5" t="str">
        <f>IF($A28="","",INDEX('Product Master'!$C$7:$C$1000,MATCH($A28,'Product Master'!$A$7:$A$1000,0)))</f>
        <v/>
      </c>
      <c r="D28" s="7" t="str">
        <f>IF($A28="","",INDEX('Product Master'!$M$7:$M$1000,MATCH($A28,'Product Master'!$A$7:$A$1000,0)))</f>
        <v/>
      </c>
      <c r="E28" s="7" t="str">
        <f>IF($A28="","",INDEX('Product Master'!$N$7:$N$1000,MATCH($A28,'Product Master'!$A$7:$A$1000,0)))</f>
        <v/>
      </c>
      <c r="F28" s="5" t="str">
        <f>IF($A28="","",INDEX('Product Master'!$P$7:$P$1000,MATCH($A28,'Product Master'!$A$7:$A$1000,0)))</f>
        <v/>
      </c>
      <c r="I28" s="5" t="str">
        <f>IFERROR(INDEX('Product Master'!$A$7:$A$1000,_xlfn.AGGREGATE(15,6,(ROW('Product Master'!$A$7:$A$1000)-ROW('Product Master'!$A$7)+1)/(('Product Master'!$A$7:$A$1000&lt;&gt;"")*('Product Master'!$P$7:$P$1000="Out of Stock")),ROWS($I$12:I28))),"")</f>
        <v/>
      </c>
      <c r="J28" s="6" t="str">
        <f>IF($I28="","",INDEX('Product Master'!$B$7:$B$1000,MATCH($I28,'Product Master'!$A$7:$A$1000,0)))</f>
        <v/>
      </c>
      <c r="K28" s="5" t="str">
        <f>IF($I28="","",INDEX('Product Master'!$C$7:$C$1000,MATCH($I28,'Product Master'!$A$7:$A$1000,0)))</f>
        <v/>
      </c>
      <c r="L28" s="7" t="str">
        <f>IF($I28="","",INDEX('Product Master'!$M$7:$M$1000,MATCH($I28,'Product Master'!$A$7:$A$1000,0)))</f>
        <v/>
      </c>
      <c r="M28" s="7" t="str">
        <f>IF($I28="","",INDEX('Product Master'!$N$7:$N$1000,MATCH($I28,'Product Master'!$A$7:$A$1000,0)))</f>
        <v/>
      </c>
    </row>
    <row r="29" spans="1:13" ht="15" x14ac:dyDescent="0.35">
      <c r="A29" s="5" t="str">
        <f>IFERROR(INDEX('Product Master'!$A$7:$A$1000,_xlfn.AGGREGATE(15,6,(ROW('Product Master'!$A$7:$A$1000)-ROW('Product Master'!$A$7)+1)/(('Product Master'!$A$7:$A$1000&lt;&gt;"")*('Product Master'!$P$7:$P$1000="Low Stock")),ROWS($A$12:A29))),"")</f>
        <v/>
      </c>
      <c r="B29" s="6" t="str">
        <f>IF($A29="","",INDEX('Product Master'!$B$7:$B$1000,MATCH($A29,'Product Master'!$A$7:$A$1000,0)))</f>
        <v/>
      </c>
      <c r="C29" s="5" t="str">
        <f>IF($A29="","",INDEX('Product Master'!$C$7:$C$1000,MATCH($A29,'Product Master'!$A$7:$A$1000,0)))</f>
        <v/>
      </c>
      <c r="D29" s="7" t="str">
        <f>IF($A29="","",INDEX('Product Master'!$M$7:$M$1000,MATCH($A29,'Product Master'!$A$7:$A$1000,0)))</f>
        <v/>
      </c>
      <c r="E29" s="7" t="str">
        <f>IF($A29="","",INDEX('Product Master'!$N$7:$N$1000,MATCH($A29,'Product Master'!$A$7:$A$1000,0)))</f>
        <v/>
      </c>
      <c r="F29" s="5" t="str">
        <f>IF($A29="","",INDEX('Product Master'!$P$7:$P$1000,MATCH($A29,'Product Master'!$A$7:$A$1000,0)))</f>
        <v/>
      </c>
      <c r="I29" s="5" t="str">
        <f>IFERROR(INDEX('Product Master'!$A$7:$A$1000,_xlfn.AGGREGATE(15,6,(ROW('Product Master'!$A$7:$A$1000)-ROW('Product Master'!$A$7)+1)/(('Product Master'!$A$7:$A$1000&lt;&gt;"")*('Product Master'!$P$7:$P$1000="Out of Stock")),ROWS($I$12:I29))),"")</f>
        <v/>
      </c>
      <c r="J29" s="6" t="str">
        <f>IF($I29="","",INDEX('Product Master'!$B$7:$B$1000,MATCH($I29,'Product Master'!$A$7:$A$1000,0)))</f>
        <v/>
      </c>
      <c r="K29" s="5" t="str">
        <f>IF($I29="","",INDEX('Product Master'!$C$7:$C$1000,MATCH($I29,'Product Master'!$A$7:$A$1000,0)))</f>
        <v/>
      </c>
      <c r="L29" s="7" t="str">
        <f>IF($I29="","",INDEX('Product Master'!$M$7:$M$1000,MATCH($I29,'Product Master'!$A$7:$A$1000,0)))</f>
        <v/>
      </c>
      <c r="M29" s="7" t="str">
        <f>IF($I29="","",INDEX('Product Master'!$N$7:$N$1000,MATCH($I29,'Product Master'!$A$7:$A$1000,0)))</f>
        <v/>
      </c>
    </row>
    <row r="30" spans="1:13" ht="15" x14ac:dyDescent="0.35">
      <c r="A30" s="5" t="str">
        <f>IFERROR(INDEX('Product Master'!$A$7:$A$1000,_xlfn.AGGREGATE(15,6,(ROW('Product Master'!$A$7:$A$1000)-ROW('Product Master'!$A$7)+1)/(('Product Master'!$A$7:$A$1000&lt;&gt;"")*('Product Master'!$P$7:$P$1000="Low Stock")),ROWS($A$12:A30))),"")</f>
        <v/>
      </c>
      <c r="B30" s="6" t="str">
        <f>IF($A30="","",INDEX('Product Master'!$B$7:$B$1000,MATCH($A30,'Product Master'!$A$7:$A$1000,0)))</f>
        <v/>
      </c>
      <c r="C30" s="5" t="str">
        <f>IF($A30="","",INDEX('Product Master'!$C$7:$C$1000,MATCH($A30,'Product Master'!$A$7:$A$1000,0)))</f>
        <v/>
      </c>
      <c r="D30" s="7" t="str">
        <f>IF($A30="","",INDEX('Product Master'!$M$7:$M$1000,MATCH($A30,'Product Master'!$A$7:$A$1000,0)))</f>
        <v/>
      </c>
      <c r="E30" s="7" t="str">
        <f>IF($A30="","",INDEX('Product Master'!$N$7:$N$1000,MATCH($A30,'Product Master'!$A$7:$A$1000,0)))</f>
        <v/>
      </c>
      <c r="F30" s="5" t="str">
        <f>IF($A30="","",INDEX('Product Master'!$P$7:$P$1000,MATCH($A30,'Product Master'!$A$7:$A$1000,0)))</f>
        <v/>
      </c>
      <c r="I30" s="5" t="str">
        <f>IFERROR(INDEX('Product Master'!$A$7:$A$1000,_xlfn.AGGREGATE(15,6,(ROW('Product Master'!$A$7:$A$1000)-ROW('Product Master'!$A$7)+1)/(('Product Master'!$A$7:$A$1000&lt;&gt;"")*('Product Master'!$P$7:$P$1000="Out of Stock")),ROWS($I$12:I30))),"")</f>
        <v/>
      </c>
      <c r="J30" s="6" t="str">
        <f>IF($I30="","",INDEX('Product Master'!$B$7:$B$1000,MATCH($I30,'Product Master'!$A$7:$A$1000,0)))</f>
        <v/>
      </c>
      <c r="K30" s="5" t="str">
        <f>IF($I30="","",INDEX('Product Master'!$C$7:$C$1000,MATCH($I30,'Product Master'!$A$7:$A$1000,0)))</f>
        <v/>
      </c>
      <c r="L30" s="7" t="str">
        <f>IF($I30="","",INDEX('Product Master'!$M$7:$M$1000,MATCH($I30,'Product Master'!$A$7:$A$1000,0)))</f>
        <v/>
      </c>
      <c r="M30" s="7" t="str">
        <f>IF($I30="","",INDEX('Product Master'!$N$7:$N$1000,MATCH($I30,'Product Master'!$A$7:$A$1000,0)))</f>
        <v/>
      </c>
    </row>
    <row r="31" spans="1:13" x14ac:dyDescent="0.3">
      <c r="A31" t="str">
        <f>IFERROR(INDEX('Product Master'!$A$7:$A$1000,_xlfn.AGGREGATE(15,6,(ROW('Product Master'!$A$7:$A$1000)-ROW('Product Master'!$A$7)+1)/(('Product Master'!$A$7:$A$1000&lt;&gt;"")*('Product Master'!$P$7:$P$1000="Low Stock")),ROWS($A$12:A31))),"")</f>
        <v/>
      </c>
      <c r="B31" t="str">
        <f>IF($A31="","",INDEX('Product Master'!$B$7:$B$1000,MATCH($A31,'Product Master'!$A$7:$A$1000,0)))</f>
        <v/>
      </c>
      <c r="C31" t="str">
        <f>IF($A31="","",INDEX('Product Master'!$C$7:$C$1000,MATCH($A31,'Product Master'!$A$7:$A$1000,0)))</f>
        <v/>
      </c>
      <c r="D31" t="str">
        <f>IF($A31="","",INDEX('Product Master'!$M$7:$M$1000,MATCH($A31,'Product Master'!$A$7:$A$1000,0)))</f>
        <v/>
      </c>
      <c r="E31" t="str">
        <f>IF($A31="","",INDEX('Product Master'!$N$7:$N$1000,MATCH($A31,'Product Master'!$A$7:$A$1000,0)))</f>
        <v/>
      </c>
      <c r="F31" t="str">
        <f>IF($A31="","",INDEX('Product Master'!$P$7:$P$1000,MATCH($A31,'Product Master'!$A$7:$A$1000,0)))</f>
        <v/>
      </c>
      <c r="I31" t="str">
        <f>IFERROR(INDEX('Product Master'!$A$7:$A$1000,_xlfn.AGGREGATE(15,6,(ROW('Product Master'!$A$7:$A$1000)-ROW('Product Master'!$A$7)+1)/(('Product Master'!$A$7:$A$1000&lt;&gt;"")*('Product Master'!$P$7:$P$1000="Out of Stock")),ROWS($I$12:I31))),"")</f>
        <v/>
      </c>
      <c r="J31" t="str">
        <f>IF($I31="","",INDEX('Product Master'!$B$7:$B$1000,MATCH($I31,'Product Master'!$A$7:$A$1000,0)))</f>
        <v/>
      </c>
      <c r="K31" t="str">
        <f>IF($I31="","",INDEX('Product Master'!$C$7:$C$1000,MATCH($I31,'Product Master'!$A$7:$A$1000,0)))</f>
        <v/>
      </c>
      <c r="L31" t="str">
        <f>IF($I31="","",INDEX('Product Master'!$M$7:$M$1000,MATCH($I31,'Product Master'!$A$7:$A$1000,0)))</f>
        <v/>
      </c>
      <c r="M31" t="str">
        <f>IF($I31="","",INDEX('Product Master'!$N$7:$N$1000,MATCH($I31,'Product Master'!$A$7:$A$1000,0)))</f>
        <v/>
      </c>
    </row>
    <row r="32" spans="1:13" x14ac:dyDescent="0.3">
      <c r="A32" t="str">
        <f>IFERROR(INDEX('Product Master'!$A$7:$A$1000,_xlfn.AGGREGATE(15,6,(ROW('Product Master'!$A$7:$A$1000)-ROW('Product Master'!$A$7)+1)/(('Product Master'!$A$7:$A$1000&lt;&gt;"")*('Product Master'!$P$7:$P$1000="Low Stock")),ROWS($A$12:A32))),"")</f>
        <v/>
      </c>
      <c r="B32" t="str">
        <f>IF($A32="","",INDEX('Product Master'!$B$7:$B$1000,MATCH($A32,'Product Master'!$A$7:$A$1000,0)))</f>
        <v/>
      </c>
      <c r="C32" t="str">
        <f>IF($A32="","",INDEX('Product Master'!$C$7:$C$1000,MATCH($A32,'Product Master'!$A$7:$A$1000,0)))</f>
        <v/>
      </c>
      <c r="D32" t="str">
        <f>IF($A32="","",INDEX('Product Master'!$M$7:$M$1000,MATCH($A32,'Product Master'!$A$7:$A$1000,0)))</f>
        <v/>
      </c>
      <c r="E32" t="str">
        <f>IF($A32="","",INDEX('Product Master'!$N$7:$N$1000,MATCH($A32,'Product Master'!$A$7:$A$1000,0)))</f>
        <v/>
      </c>
      <c r="F32" t="str">
        <f>IF($A32="","",INDEX('Product Master'!$P$7:$P$1000,MATCH($A32,'Product Master'!$A$7:$A$1000,0)))</f>
        <v/>
      </c>
      <c r="I32" t="str">
        <f>IFERROR(INDEX('Product Master'!$A$7:$A$1000,_xlfn.AGGREGATE(15,6,(ROW('Product Master'!$A$7:$A$1000)-ROW('Product Master'!$A$7)+1)/(('Product Master'!$A$7:$A$1000&lt;&gt;"")*('Product Master'!$P$7:$P$1000="Out of Stock")),ROWS($I$12:I32))),"")</f>
        <v/>
      </c>
      <c r="J32" t="str">
        <f>IF($I32="","",INDEX('Product Master'!$B$7:$B$1000,MATCH($I32,'Product Master'!$A$7:$A$1000,0)))</f>
        <v/>
      </c>
      <c r="K32" t="str">
        <f>IF($I32="","",INDEX('Product Master'!$C$7:$C$1000,MATCH($I32,'Product Master'!$A$7:$A$1000,0)))</f>
        <v/>
      </c>
      <c r="L32" t="str">
        <f>IF($I32="","",INDEX('Product Master'!$M$7:$M$1000,MATCH($I32,'Product Master'!$A$7:$A$1000,0)))</f>
        <v/>
      </c>
      <c r="M32" t="str">
        <f>IF($I32="","",INDEX('Product Master'!$N$7:$N$1000,MATCH($I32,'Product Master'!$A$7:$A$1000,0)))</f>
        <v/>
      </c>
    </row>
    <row r="33" spans="1:13" x14ac:dyDescent="0.3">
      <c r="A33" t="str">
        <f>IFERROR(INDEX('Product Master'!$A$7:$A$1000,_xlfn.AGGREGATE(15,6,(ROW('Product Master'!$A$7:$A$1000)-ROW('Product Master'!$A$7)+1)/(('Product Master'!$A$7:$A$1000&lt;&gt;"")*('Product Master'!$P$7:$P$1000="Low Stock")),ROWS($A$12:A33))),"")</f>
        <v/>
      </c>
      <c r="B33" t="str">
        <f>IF($A33="","",INDEX('Product Master'!$B$7:$B$1000,MATCH($A33,'Product Master'!$A$7:$A$1000,0)))</f>
        <v/>
      </c>
      <c r="C33" t="str">
        <f>IF($A33="","",INDEX('Product Master'!$C$7:$C$1000,MATCH($A33,'Product Master'!$A$7:$A$1000,0)))</f>
        <v/>
      </c>
      <c r="D33" t="str">
        <f>IF($A33="","",INDEX('Product Master'!$M$7:$M$1000,MATCH($A33,'Product Master'!$A$7:$A$1000,0)))</f>
        <v/>
      </c>
      <c r="E33" t="str">
        <f>IF($A33="","",INDEX('Product Master'!$N$7:$N$1000,MATCH($A33,'Product Master'!$A$7:$A$1000,0)))</f>
        <v/>
      </c>
      <c r="F33" t="str">
        <f>IF($A33="","",INDEX('Product Master'!$P$7:$P$1000,MATCH($A33,'Product Master'!$A$7:$A$1000,0)))</f>
        <v/>
      </c>
      <c r="I33" t="str">
        <f>IFERROR(INDEX('Product Master'!$A$7:$A$1000,_xlfn.AGGREGATE(15,6,(ROW('Product Master'!$A$7:$A$1000)-ROW('Product Master'!$A$7)+1)/(('Product Master'!$A$7:$A$1000&lt;&gt;"")*('Product Master'!$P$7:$P$1000="Out of Stock")),ROWS($I$12:I33))),"")</f>
        <v/>
      </c>
      <c r="J33" t="str">
        <f>IF($I33="","",INDEX('Product Master'!$B$7:$B$1000,MATCH($I33,'Product Master'!$A$7:$A$1000,0)))</f>
        <v/>
      </c>
      <c r="K33" t="str">
        <f>IF($I33="","",INDEX('Product Master'!$C$7:$C$1000,MATCH($I33,'Product Master'!$A$7:$A$1000,0)))</f>
        <v/>
      </c>
      <c r="L33" t="str">
        <f>IF($I33="","",INDEX('Product Master'!$M$7:$M$1000,MATCH($I33,'Product Master'!$A$7:$A$1000,0)))</f>
        <v/>
      </c>
      <c r="M33" t="str">
        <f>IF($I33="","",INDEX('Product Master'!$N$7:$N$1000,MATCH($I33,'Product Master'!$A$7:$A$1000,0)))</f>
        <v/>
      </c>
    </row>
    <row r="34" spans="1:13" x14ac:dyDescent="0.3">
      <c r="A34" t="str">
        <f>IFERROR(INDEX('Product Master'!$A$7:$A$1000,_xlfn.AGGREGATE(15,6,(ROW('Product Master'!$A$7:$A$1000)-ROW('Product Master'!$A$7)+1)/(('Product Master'!$A$7:$A$1000&lt;&gt;"")*('Product Master'!$P$7:$P$1000="Low Stock")),ROWS($A$12:A34))),"")</f>
        <v/>
      </c>
      <c r="B34" t="str">
        <f>IF($A34="","",INDEX('Product Master'!$B$7:$B$1000,MATCH($A34,'Product Master'!$A$7:$A$1000,0)))</f>
        <v/>
      </c>
      <c r="C34" t="str">
        <f>IF($A34="","",INDEX('Product Master'!$C$7:$C$1000,MATCH($A34,'Product Master'!$A$7:$A$1000,0)))</f>
        <v/>
      </c>
      <c r="D34" t="str">
        <f>IF($A34="","",INDEX('Product Master'!$M$7:$M$1000,MATCH($A34,'Product Master'!$A$7:$A$1000,0)))</f>
        <v/>
      </c>
      <c r="E34" t="str">
        <f>IF($A34="","",INDEX('Product Master'!$N$7:$N$1000,MATCH($A34,'Product Master'!$A$7:$A$1000,0)))</f>
        <v/>
      </c>
      <c r="F34" t="str">
        <f>IF($A34="","",INDEX('Product Master'!$P$7:$P$1000,MATCH($A34,'Product Master'!$A$7:$A$1000,0)))</f>
        <v/>
      </c>
      <c r="I34" t="str">
        <f>IFERROR(INDEX('Product Master'!$A$7:$A$1000,_xlfn.AGGREGATE(15,6,(ROW('Product Master'!$A$7:$A$1000)-ROW('Product Master'!$A$7)+1)/(('Product Master'!$A$7:$A$1000&lt;&gt;"")*('Product Master'!$P$7:$P$1000="Out of Stock")),ROWS($I$12:I34))),"")</f>
        <v/>
      </c>
      <c r="J34" t="str">
        <f>IF($I34="","",INDEX('Product Master'!$B$7:$B$1000,MATCH($I34,'Product Master'!$A$7:$A$1000,0)))</f>
        <v/>
      </c>
      <c r="K34" t="str">
        <f>IF($I34="","",INDEX('Product Master'!$C$7:$C$1000,MATCH($I34,'Product Master'!$A$7:$A$1000,0)))</f>
        <v/>
      </c>
      <c r="L34" t="str">
        <f>IF($I34="","",INDEX('Product Master'!$M$7:$M$1000,MATCH($I34,'Product Master'!$A$7:$A$1000,0)))</f>
        <v/>
      </c>
      <c r="M34" t="str">
        <f>IF($I34="","",INDEX('Product Master'!$N$7:$N$1000,MATCH($I34,'Product Master'!$A$7:$A$1000,0)))</f>
        <v/>
      </c>
    </row>
    <row r="35" spans="1:13" x14ac:dyDescent="0.3">
      <c r="A35" t="str">
        <f>IFERROR(INDEX('Product Master'!$A$7:$A$1000,_xlfn.AGGREGATE(15,6,(ROW('Product Master'!$A$7:$A$1000)-ROW('Product Master'!$A$7)+1)/(('Product Master'!$A$7:$A$1000&lt;&gt;"")*('Product Master'!$P$7:$P$1000="Low Stock")),ROWS($A$12:A35))),"")</f>
        <v/>
      </c>
      <c r="B35" t="str">
        <f>IF($A35="","",INDEX('Product Master'!$B$7:$B$1000,MATCH($A35,'Product Master'!$A$7:$A$1000,0)))</f>
        <v/>
      </c>
      <c r="C35" t="str">
        <f>IF($A35="","",INDEX('Product Master'!$C$7:$C$1000,MATCH($A35,'Product Master'!$A$7:$A$1000,0)))</f>
        <v/>
      </c>
      <c r="D35" t="str">
        <f>IF($A35="","",INDEX('Product Master'!$M$7:$M$1000,MATCH($A35,'Product Master'!$A$7:$A$1000,0)))</f>
        <v/>
      </c>
      <c r="E35" t="str">
        <f>IF($A35="","",INDEX('Product Master'!$N$7:$N$1000,MATCH($A35,'Product Master'!$A$7:$A$1000,0)))</f>
        <v/>
      </c>
      <c r="F35" t="str">
        <f>IF($A35="","",INDEX('Product Master'!$P$7:$P$1000,MATCH($A35,'Product Master'!$A$7:$A$1000,0)))</f>
        <v/>
      </c>
      <c r="I35" t="str">
        <f>IFERROR(INDEX('Product Master'!$A$7:$A$1000,_xlfn.AGGREGATE(15,6,(ROW('Product Master'!$A$7:$A$1000)-ROW('Product Master'!$A$7)+1)/(('Product Master'!$A$7:$A$1000&lt;&gt;"")*('Product Master'!$P$7:$P$1000="Out of Stock")),ROWS($I$12:I35))),"")</f>
        <v/>
      </c>
      <c r="J35" t="str">
        <f>IF($I35="","",INDEX('Product Master'!$B$7:$B$1000,MATCH($I35,'Product Master'!$A$7:$A$1000,0)))</f>
        <v/>
      </c>
      <c r="K35" t="str">
        <f>IF($I35="","",INDEX('Product Master'!$C$7:$C$1000,MATCH($I35,'Product Master'!$A$7:$A$1000,0)))</f>
        <v/>
      </c>
      <c r="L35" t="str">
        <f>IF($I35="","",INDEX('Product Master'!$M$7:$M$1000,MATCH($I35,'Product Master'!$A$7:$A$1000,0)))</f>
        <v/>
      </c>
      <c r="M35" t="str">
        <f>IF($I35="","",INDEX('Product Master'!$N$7:$N$1000,MATCH($I35,'Product Master'!$A$7:$A$1000,0)))</f>
        <v/>
      </c>
    </row>
    <row r="36" spans="1:13" x14ac:dyDescent="0.3">
      <c r="A36" t="str">
        <f>IFERROR(INDEX('Product Master'!$A$7:$A$1000,_xlfn.AGGREGATE(15,6,(ROW('Product Master'!$A$7:$A$1000)-ROW('Product Master'!$A$7)+1)/(('Product Master'!$A$7:$A$1000&lt;&gt;"")*('Product Master'!$P$7:$P$1000="Low Stock")),ROWS($A$12:A36))),"")</f>
        <v/>
      </c>
      <c r="B36" t="str">
        <f>IF($A36="","",INDEX('Product Master'!$B$7:$B$1000,MATCH($A36,'Product Master'!$A$7:$A$1000,0)))</f>
        <v/>
      </c>
      <c r="C36" t="str">
        <f>IF($A36="","",INDEX('Product Master'!$C$7:$C$1000,MATCH($A36,'Product Master'!$A$7:$A$1000,0)))</f>
        <v/>
      </c>
      <c r="D36" t="str">
        <f>IF($A36="","",INDEX('Product Master'!$M$7:$M$1000,MATCH($A36,'Product Master'!$A$7:$A$1000,0)))</f>
        <v/>
      </c>
      <c r="E36" t="str">
        <f>IF($A36="","",INDEX('Product Master'!$N$7:$N$1000,MATCH($A36,'Product Master'!$A$7:$A$1000,0)))</f>
        <v/>
      </c>
      <c r="F36" t="str">
        <f>IF($A36="","",INDEX('Product Master'!$P$7:$P$1000,MATCH($A36,'Product Master'!$A$7:$A$1000,0)))</f>
        <v/>
      </c>
      <c r="I36" t="str">
        <f>IFERROR(INDEX('Product Master'!$A$7:$A$1000,_xlfn.AGGREGATE(15,6,(ROW('Product Master'!$A$7:$A$1000)-ROW('Product Master'!$A$7)+1)/(('Product Master'!$A$7:$A$1000&lt;&gt;"")*('Product Master'!$P$7:$P$1000="Out of Stock")),ROWS($I$12:I36))),"")</f>
        <v/>
      </c>
      <c r="J36" t="str">
        <f>IF($I36="","",INDEX('Product Master'!$B$7:$B$1000,MATCH($I36,'Product Master'!$A$7:$A$1000,0)))</f>
        <v/>
      </c>
      <c r="K36" t="str">
        <f>IF($I36="","",INDEX('Product Master'!$C$7:$C$1000,MATCH($I36,'Product Master'!$A$7:$A$1000,0)))</f>
        <v/>
      </c>
      <c r="L36" t="str">
        <f>IF($I36="","",INDEX('Product Master'!$M$7:$M$1000,MATCH($I36,'Product Master'!$A$7:$A$1000,0)))</f>
        <v/>
      </c>
      <c r="M36" t="str">
        <f>IF($I36="","",INDEX('Product Master'!$N$7:$N$1000,MATCH($I36,'Product Master'!$A$7:$A$1000,0)))</f>
        <v/>
      </c>
    </row>
    <row r="37" spans="1:13" x14ac:dyDescent="0.3">
      <c r="A37" t="str">
        <f>IFERROR(INDEX('Product Master'!$A$7:$A$1000,_xlfn.AGGREGATE(15,6,(ROW('Product Master'!$A$7:$A$1000)-ROW('Product Master'!$A$7)+1)/(('Product Master'!$A$7:$A$1000&lt;&gt;"")*('Product Master'!$P$7:$P$1000="Low Stock")),ROWS($A$12:A37))),"")</f>
        <v/>
      </c>
      <c r="B37" t="str">
        <f>IF($A37="","",INDEX('Product Master'!$B$7:$B$1000,MATCH($A37,'Product Master'!$A$7:$A$1000,0)))</f>
        <v/>
      </c>
      <c r="C37" t="str">
        <f>IF($A37="","",INDEX('Product Master'!$C$7:$C$1000,MATCH($A37,'Product Master'!$A$7:$A$1000,0)))</f>
        <v/>
      </c>
      <c r="D37" t="str">
        <f>IF($A37="","",INDEX('Product Master'!$M$7:$M$1000,MATCH($A37,'Product Master'!$A$7:$A$1000,0)))</f>
        <v/>
      </c>
      <c r="E37" t="str">
        <f>IF($A37="","",INDEX('Product Master'!$N$7:$N$1000,MATCH($A37,'Product Master'!$A$7:$A$1000,0)))</f>
        <v/>
      </c>
      <c r="F37" t="str">
        <f>IF($A37="","",INDEX('Product Master'!$P$7:$P$1000,MATCH($A37,'Product Master'!$A$7:$A$1000,0)))</f>
        <v/>
      </c>
      <c r="I37" t="str">
        <f>IFERROR(INDEX('Product Master'!$A$7:$A$1000,_xlfn.AGGREGATE(15,6,(ROW('Product Master'!$A$7:$A$1000)-ROW('Product Master'!$A$7)+1)/(('Product Master'!$A$7:$A$1000&lt;&gt;"")*('Product Master'!$P$7:$P$1000="Out of Stock")),ROWS($I$12:I37))),"")</f>
        <v/>
      </c>
      <c r="J37" t="str">
        <f>IF($I37="","",INDEX('Product Master'!$B$7:$B$1000,MATCH($I37,'Product Master'!$A$7:$A$1000,0)))</f>
        <v/>
      </c>
      <c r="K37" t="str">
        <f>IF($I37="","",INDEX('Product Master'!$C$7:$C$1000,MATCH($I37,'Product Master'!$A$7:$A$1000,0)))</f>
        <v/>
      </c>
      <c r="L37" t="str">
        <f>IF($I37="","",INDEX('Product Master'!$M$7:$M$1000,MATCH($I37,'Product Master'!$A$7:$A$1000,0)))</f>
        <v/>
      </c>
      <c r="M37" t="str">
        <f>IF($I37="","",INDEX('Product Master'!$N$7:$N$1000,MATCH($I37,'Product Master'!$A$7:$A$1000,0)))</f>
        <v/>
      </c>
    </row>
    <row r="38" spans="1:13" x14ac:dyDescent="0.3">
      <c r="A38" t="str">
        <f>IFERROR(INDEX('Product Master'!$A$7:$A$1000,_xlfn.AGGREGATE(15,6,(ROW('Product Master'!$A$7:$A$1000)-ROW('Product Master'!$A$7)+1)/(('Product Master'!$A$7:$A$1000&lt;&gt;"")*('Product Master'!$P$7:$P$1000="Low Stock")),ROWS($A$12:A38))),"")</f>
        <v/>
      </c>
      <c r="B38" t="str">
        <f>IF($A38="","",INDEX('Product Master'!$B$7:$B$1000,MATCH($A38,'Product Master'!$A$7:$A$1000,0)))</f>
        <v/>
      </c>
      <c r="C38" t="str">
        <f>IF($A38="","",INDEX('Product Master'!$C$7:$C$1000,MATCH($A38,'Product Master'!$A$7:$A$1000,0)))</f>
        <v/>
      </c>
      <c r="D38" t="str">
        <f>IF($A38="","",INDEX('Product Master'!$M$7:$M$1000,MATCH($A38,'Product Master'!$A$7:$A$1000,0)))</f>
        <v/>
      </c>
      <c r="E38" t="str">
        <f>IF($A38="","",INDEX('Product Master'!$N$7:$N$1000,MATCH($A38,'Product Master'!$A$7:$A$1000,0)))</f>
        <v/>
      </c>
      <c r="F38" t="str">
        <f>IF($A38="","",INDEX('Product Master'!$P$7:$P$1000,MATCH($A38,'Product Master'!$A$7:$A$1000,0)))</f>
        <v/>
      </c>
      <c r="I38" t="str">
        <f>IFERROR(INDEX('Product Master'!$A$7:$A$1000,_xlfn.AGGREGATE(15,6,(ROW('Product Master'!$A$7:$A$1000)-ROW('Product Master'!$A$7)+1)/(('Product Master'!$A$7:$A$1000&lt;&gt;"")*('Product Master'!$P$7:$P$1000="Out of Stock")),ROWS($I$12:I38))),"")</f>
        <v/>
      </c>
      <c r="J38" t="str">
        <f>IF($I38="","",INDEX('Product Master'!$B$7:$B$1000,MATCH($I38,'Product Master'!$A$7:$A$1000,0)))</f>
        <v/>
      </c>
      <c r="K38" t="str">
        <f>IF($I38="","",INDEX('Product Master'!$C$7:$C$1000,MATCH($I38,'Product Master'!$A$7:$A$1000,0)))</f>
        <v/>
      </c>
      <c r="L38" t="str">
        <f>IF($I38="","",INDEX('Product Master'!$M$7:$M$1000,MATCH($I38,'Product Master'!$A$7:$A$1000,0)))</f>
        <v/>
      </c>
      <c r="M38" t="str">
        <f>IF($I38="","",INDEX('Product Master'!$N$7:$N$1000,MATCH($I38,'Product Master'!$A$7:$A$1000,0)))</f>
        <v/>
      </c>
    </row>
    <row r="39" spans="1:13" x14ac:dyDescent="0.3">
      <c r="A39" t="str">
        <f>IFERROR(INDEX('Product Master'!$A$7:$A$1000,_xlfn.AGGREGATE(15,6,(ROW('Product Master'!$A$7:$A$1000)-ROW('Product Master'!$A$7)+1)/(('Product Master'!$A$7:$A$1000&lt;&gt;"")*('Product Master'!$P$7:$P$1000="Low Stock")),ROWS($A$12:A39))),"")</f>
        <v/>
      </c>
      <c r="B39" t="str">
        <f>IF($A39="","",INDEX('Product Master'!$B$7:$B$1000,MATCH($A39,'Product Master'!$A$7:$A$1000,0)))</f>
        <v/>
      </c>
      <c r="C39" t="str">
        <f>IF($A39="","",INDEX('Product Master'!$C$7:$C$1000,MATCH($A39,'Product Master'!$A$7:$A$1000,0)))</f>
        <v/>
      </c>
      <c r="D39" t="str">
        <f>IF($A39="","",INDEX('Product Master'!$M$7:$M$1000,MATCH($A39,'Product Master'!$A$7:$A$1000,0)))</f>
        <v/>
      </c>
      <c r="E39" t="str">
        <f>IF($A39="","",INDEX('Product Master'!$N$7:$N$1000,MATCH($A39,'Product Master'!$A$7:$A$1000,0)))</f>
        <v/>
      </c>
      <c r="F39" t="str">
        <f>IF($A39="","",INDEX('Product Master'!$P$7:$P$1000,MATCH($A39,'Product Master'!$A$7:$A$1000,0)))</f>
        <v/>
      </c>
      <c r="I39" t="str">
        <f>IFERROR(INDEX('Product Master'!$A$7:$A$1000,_xlfn.AGGREGATE(15,6,(ROW('Product Master'!$A$7:$A$1000)-ROW('Product Master'!$A$7)+1)/(('Product Master'!$A$7:$A$1000&lt;&gt;"")*('Product Master'!$P$7:$P$1000="Out of Stock")),ROWS($I$12:I39))),"")</f>
        <v/>
      </c>
      <c r="J39" t="str">
        <f>IF($I39="","",INDEX('Product Master'!$B$7:$B$1000,MATCH($I39,'Product Master'!$A$7:$A$1000,0)))</f>
        <v/>
      </c>
      <c r="K39" t="str">
        <f>IF($I39="","",INDEX('Product Master'!$C$7:$C$1000,MATCH($I39,'Product Master'!$A$7:$A$1000,0)))</f>
        <v/>
      </c>
      <c r="L39" t="str">
        <f>IF($I39="","",INDEX('Product Master'!$M$7:$M$1000,MATCH($I39,'Product Master'!$A$7:$A$1000,0)))</f>
        <v/>
      </c>
      <c r="M39" t="str">
        <f>IF($I39="","",INDEX('Product Master'!$N$7:$N$1000,MATCH($I39,'Product Master'!$A$7:$A$1000,0)))</f>
        <v/>
      </c>
    </row>
    <row r="40" spans="1:13" x14ac:dyDescent="0.3">
      <c r="A40" t="str">
        <f>IFERROR(INDEX('Product Master'!$A$7:$A$1000,_xlfn.AGGREGATE(15,6,(ROW('Product Master'!$A$7:$A$1000)-ROW('Product Master'!$A$7)+1)/(('Product Master'!$A$7:$A$1000&lt;&gt;"")*('Product Master'!$P$7:$P$1000="Low Stock")),ROWS($A$12:A40))),"")</f>
        <v/>
      </c>
      <c r="B40" t="str">
        <f>IF($A40="","",INDEX('Product Master'!$B$7:$B$1000,MATCH($A40,'Product Master'!$A$7:$A$1000,0)))</f>
        <v/>
      </c>
      <c r="C40" t="str">
        <f>IF($A40="","",INDEX('Product Master'!$C$7:$C$1000,MATCH($A40,'Product Master'!$A$7:$A$1000,0)))</f>
        <v/>
      </c>
      <c r="D40" t="str">
        <f>IF($A40="","",INDEX('Product Master'!$M$7:$M$1000,MATCH($A40,'Product Master'!$A$7:$A$1000,0)))</f>
        <v/>
      </c>
      <c r="E40" t="str">
        <f>IF($A40="","",INDEX('Product Master'!$N$7:$N$1000,MATCH($A40,'Product Master'!$A$7:$A$1000,0)))</f>
        <v/>
      </c>
      <c r="F40" t="str">
        <f>IF($A40="","",INDEX('Product Master'!$P$7:$P$1000,MATCH($A40,'Product Master'!$A$7:$A$1000,0)))</f>
        <v/>
      </c>
      <c r="I40" t="str">
        <f>IFERROR(INDEX('Product Master'!$A$7:$A$1000,_xlfn.AGGREGATE(15,6,(ROW('Product Master'!$A$7:$A$1000)-ROW('Product Master'!$A$7)+1)/(('Product Master'!$A$7:$A$1000&lt;&gt;"")*('Product Master'!$P$7:$P$1000="Out of Stock")),ROWS($I$12:I40))),"")</f>
        <v/>
      </c>
      <c r="J40" t="str">
        <f>IF($I40="","",INDEX('Product Master'!$B$7:$B$1000,MATCH($I40,'Product Master'!$A$7:$A$1000,0)))</f>
        <v/>
      </c>
      <c r="K40" t="str">
        <f>IF($I40="","",INDEX('Product Master'!$C$7:$C$1000,MATCH($I40,'Product Master'!$A$7:$A$1000,0)))</f>
        <v/>
      </c>
      <c r="L40" t="str">
        <f>IF($I40="","",INDEX('Product Master'!$M$7:$M$1000,MATCH($I40,'Product Master'!$A$7:$A$1000,0)))</f>
        <v/>
      </c>
      <c r="M40" t="str">
        <f>IF($I40="","",INDEX('Product Master'!$N$7:$N$1000,MATCH($I40,'Product Master'!$A$7:$A$1000,0)))</f>
        <v/>
      </c>
    </row>
    <row r="41" spans="1:13" x14ac:dyDescent="0.3">
      <c r="A41" t="str">
        <f>IFERROR(INDEX('Product Master'!$A$7:$A$1000,_xlfn.AGGREGATE(15,6,(ROW('Product Master'!$A$7:$A$1000)-ROW('Product Master'!$A$7)+1)/(('Product Master'!$A$7:$A$1000&lt;&gt;"")*('Product Master'!$P$7:$P$1000="Low Stock")),ROWS($A$12:A41))),"")</f>
        <v/>
      </c>
      <c r="B41" t="str">
        <f>IF($A41="","",INDEX('Product Master'!$B$7:$B$1000,MATCH($A41,'Product Master'!$A$7:$A$1000,0)))</f>
        <v/>
      </c>
      <c r="C41" t="str">
        <f>IF($A41="","",INDEX('Product Master'!$C$7:$C$1000,MATCH($A41,'Product Master'!$A$7:$A$1000,0)))</f>
        <v/>
      </c>
      <c r="D41" t="str">
        <f>IF($A41="","",INDEX('Product Master'!$M$7:$M$1000,MATCH($A41,'Product Master'!$A$7:$A$1000,0)))</f>
        <v/>
      </c>
      <c r="E41" t="str">
        <f>IF($A41="","",INDEX('Product Master'!$N$7:$N$1000,MATCH($A41,'Product Master'!$A$7:$A$1000,0)))</f>
        <v/>
      </c>
      <c r="F41" t="str">
        <f>IF($A41="","",INDEX('Product Master'!$P$7:$P$1000,MATCH($A41,'Product Master'!$A$7:$A$1000,0)))</f>
        <v/>
      </c>
      <c r="I41" t="str">
        <f>IFERROR(INDEX('Product Master'!$A$7:$A$1000,_xlfn.AGGREGATE(15,6,(ROW('Product Master'!$A$7:$A$1000)-ROW('Product Master'!$A$7)+1)/(('Product Master'!$A$7:$A$1000&lt;&gt;"")*('Product Master'!$P$7:$P$1000="Out of Stock")),ROWS($I$12:I41))),"")</f>
        <v/>
      </c>
      <c r="J41" t="str">
        <f>IF($I41="","",INDEX('Product Master'!$B$7:$B$1000,MATCH($I41,'Product Master'!$A$7:$A$1000,0)))</f>
        <v/>
      </c>
      <c r="K41" t="str">
        <f>IF($I41="","",INDEX('Product Master'!$C$7:$C$1000,MATCH($I41,'Product Master'!$A$7:$A$1000,0)))</f>
        <v/>
      </c>
      <c r="L41" t="str">
        <f>IF($I41="","",INDEX('Product Master'!$M$7:$M$1000,MATCH($I41,'Product Master'!$A$7:$A$1000,0)))</f>
        <v/>
      </c>
      <c r="M41" t="str">
        <f>IF($I41="","",INDEX('Product Master'!$N$7:$N$1000,MATCH($I41,'Product Master'!$A$7:$A$1000,0)))</f>
        <v/>
      </c>
    </row>
    <row r="42" spans="1:13" x14ac:dyDescent="0.3">
      <c r="A42" t="str">
        <f>IFERROR(INDEX('Product Master'!$A$7:$A$1000,_xlfn.AGGREGATE(15,6,(ROW('Product Master'!$A$7:$A$1000)-ROW('Product Master'!$A$7)+1)/(('Product Master'!$A$7:$A$1000&lt;&gt;"")*('Product Master'!$P$7:$P$1000="Low Stock")),ROWS($A$12:A42))),"")</f>
        <v/>
      </c>
      <c r="B42" t="str">
        <f>IF($A42="","",INDEX('Product Master'!$B$7:$B$1000,MATCH($A42,'Product Master'!$A$7:$A$1000,0)))</f>
        <v/>
      </c>
      <c r="C42" t="str">
        <f>IF($A42="","",INDEX('Product Master'!$C$7:$C$1000,MATCH($A42,'Product Master'!$A$7:$A$1000,0)))</f>
        <v/>
      </c>
      <c r="D42" t="str">
        <f>IF($A42="","",INDEX('Product Master'!$M$7:$M$1000,MATCH($A42,'Product Master'!$A$7:$A$1000,0)))</f>
        <v/>
      </c>
      <c r="E42" t="str">
        <f>IF($A42="","",INDEX('Product Master'!$N$7:$N$1000,MATCH($A42,'Product Master'!$A$7:$A$1000,0)))</f>
        <v/>
      </c>
      <c r="F42" t="str">
        <f>IF($A42="","",INDEX('Product Master'!$P$7:$P$1000,MATCH($A42,'Product Master'!$A$7:$A$1000,0)))</f>
        <v/>
      </c>
      <c r="I42" t="str">
        <f>IFERROR(INDEX('Product Master'!$A$7:$A$1000,_xlfn.AGGREGATE(15,6,(ROW('Product Master'!$A$7:$A$1000)-ROW('Product Master'!$A$7)+1)/(('Product Master'!$A$7:$A$1000&lt;&gt;"")*('Product Master'!$P$7:$P$1000="Out of Stock")),ROWS($I$12:I42))),"")</f>
        <v/>
      </c>
      <c r="J42" t="str">
        <f>IF($I42="","",INDEX('Product Master'!$B$7:$B$1000,MATCH($I42,'Product Master'!$A$7:$A$1000,0)))</f>
        <v/>
      </c>
      <c r="K42" t="str">
        <f>IF($I42="","",INDEX('Product Master'!$C$7:$C$1000,MATCH($I42,'Product Master'!$A$7:$A$1000,0)))</f>
        <v/>
      </c>
      <c r="L42" t="str">
        <f>IF($I42="","",INDEX('Product Master'!$M$7:$M$1000,MATCH($I42,'Product Master'!$A$7:$A$1000,0)))</f>
        <v/>
      </c>
      <c r="M42" t="str">
        <f>IF($I42="","",INDEX('Product Master'!$N$7:$N$1000,MATCH($I42,'Product Master'!$A$7:$A$1000,0)))</f>
        <v/>
      </c>
    </row>
    <row r="43" spans="1:13" x14ac:dyDescent="0.3">
      <c r="A43" t="str">
        <f>IFERROR(INDEX('Product Master'!$A$7:$A$1000,_xlfn.AGGREGATE(15,6,(ROW('Product Master'!$A$7:$A$1000)-ROW('Product Master'!$A$7)+1)/(('Product Master'!$A$7:$A$1000&lt;&gt;"")*('Product Master'!$P$7:$P$1000="Low Stock")),ROWS($A$12:A43))),"")</f>
        <v/>
      </c>
      <c r="B43" t="str">
        <f>IF($A43="","",INDEX('Product Master'!$B$7:$B$1000,MATCH($A43,'Product Master'!$A$7:$A$1000,0)))</f>
        <v/>
      </c>
      <c r="C43" t="str">
        <f>IF($A43="","",INDEX('Product Master'!$C$7:$C$1000,MATCH($A43,'Product Master'!$A$7:$A$1000,0)))</f>
        <v/>
      </c>
      <c r="D43" t="str">
        <f>IF($A43="","",INDEX('Product Master'!$M$7:$M$1000,MATCH($A43,'Product Master'!$A$7:$A$1000,0)))</f>
        <v/>
      </c>
      <c r="E43" t="str">
        <f>IF($A43="","",INDEX('Product Master'!$N$7:$N$1000,MATCH($A43,'Product Master'!$A$7:$A$1000,0)))</f>
        <v/>
      </c>
      <c r="F43" t="str">
        <f>IF($A43="","",INDEX('Product Master'!$P$7:$P$1000,MATCH($A43,'Product Master'!$A$7:$A$1000,0)))</f>
        <v/>
      </c>
      <c r="I43" t="str">
        <f>IFERROR(INDEX('Product Master'!$A$7:$A$1000,_xlfn.AGGREGATE(15,6,(ROW('Product Master'!$A$7:$A$1000)-ROW('Product Master'!$A$7)+1)/(('Product Master'!$A$7:$A$1000&lt;&gt;"")*('Product Master'!$P$7:$P$1000="Out of Stock")),ROWS($I$12:I43))),"")</f>
        <v/>
      </c>
      <c r="J43" t="str">
        <f>IF($I43="","",INDEX('Product Master'!$B$7:$B$1000,MATCH($I43,'Product Master'!$A$7:$A$1000,0)))</f>
        <v/>
      </c>
      <c r="K43" t="str">
        <f>IF($I43="","",INDEX('Product Master'!$C$7:$C$1000,MATCH($I43,'Product Master'!$A$7:$A$1000,0)))</f>
        <v/>
      </c>
      <c r="L43" t="str">
        <f>IF($I43="","",INDEX('Product Master'!$M$7:$M$1000,MATCH($I43,'Product Master'!$A$7:$A$1000,0)))</f>
        <v/>
      </c>
      <c r="M43" t="str">
        <f>IF($I43="","",INDEX('Product Master'!$N$7:$N$1000,MATCH($I43,'Product Master'!$A$7:$A$1000,0)))</f>
        <v/>
      </c>
    </row>
    <row r="44" spans="1:13" x14ac:dyDescent="0.3">
      <c r="A44" t="str">
        <f>IFERROR(INDEX('Product Master'!$A$7:$A$1000,_xlfn.AGGREGATE(15,6,(ROW('Product Master'!$A$7:$A$1000)-ROW('Product Master'!$A$7)+1)/(('Product Master'!$A$7:$A$1000&lt;&gt;"")*('Product Master'!$P$7:$P$1000="Low Stock")),ROWS($A$12:A44))),"")</f>
        <v/>
      </c>
      <c r="B44" t="str">
        <f>IF($A44="","",INDEX('Product Master'!$B$7:$B$1000,MATCH($A44,'Product Master'!$A$7:$A$1000,0)))</f>
        <v/>
      </c>
      <c r="C44" t="str">
        <f>IF($A44="","",INDEX('Product Master'!$C$7:$C$1000,MATCH($A44,'Product Master'!$A$7:$A$1000,0)))</f>
        <v/>
      </c>
      <c r="D44" t="str">
        <f>IF($A44="","",INDEX('Product Master'!$M$7:$M$1000,MATCH($A44,'Product Master'!$A$7:$A$1000,0)))</f>
        <v/>
      </c>
      <c r="E44" t="str">
        <f>IF($A44="","",INDEX('Product Master'!$N$7:$N$1000,MATCH($A44,'Product Master'!$A$7:$A$1000,0)))</f>
        <v/>
      </c>
      <c r="F44" t="str">
        <f>IF($A44="","",INDEX('Product Master'!$P$7:$P$1000,MATCH($A44,'Product Master'!$A$7:$A$1000,0)))</f>
        <v/>
      </c>
      <c r="I44" t="str">
        <f>IFERROR(INDEX('Product Master'!$A$7:$A$1000,_xlfn.AGGREGATE(15,6,(ROW('Product Master'!$A$7:$A$1000)-ROW('Product Master'!$A$7)+1)/(('Product Master'!$A$7:$A$1000&lt;&gt;"")*('Product Master'!$P$7:$P$1000="Out of Stock")),ROWS($I$12:I44))),"")</f>
        <v/>
      </c>
      <c r="J44" t="str">
        <f>IF($I44="","",INDEX('Product Master'!$B$7:$B$1000,MATCH($I44,'Product Master'!$A$7:$A$1000,0)))</f>
        <v/>
      </c>
      <c r="K44" t="str">
        <f>IF($I44="","",INDEX('Product Master'!$C$7:$C$1000,MATCH($I44,'Product Master'!$A$7:$A$1000,0)))</f>
        <v/>
      </c>
      <c r="L44" t="str">
        <f>IF($I44="","",INDEX('Product Master'!$M$7:$M$1000,MATCH($I44,'Product Master'!$A$7:$A$1000,0)))</f>
        <v/>
      </c>
      <c r="M44" t="str">
        <f>IF($I44="","",INDEX('Product Master'!$N$7:$N$1000,MATCH($I44,'Product Master'!$A$7:$A$1000,0)))</f>
        <v/>
      </c>
    </row>
    <row r="45" spans="1:13" x14ac:dyDescent="0.3">
      <c r="A45" t="str">
        <f>IFERROR(INDEX('Product Master'!$A$7:$A$1000,_xlfn.AGGREGATE(15,6,(ROW('Product Master'!$A$7:$A$1000)-ROW('Product Master'!$A$7)+1)/(('Product Master'!$A$7:$A$1000&lt;&gt;"")*('Product Master'!$P$7:$P$1000="Low Stock")),ROWS($A$12:A45))),"")</f>
        <v/>
      </c>
      <c r="B45" t="str">
        <f>IF($A45="","",INDEX('Product Master'!$B$7:$B$1000,MATCH($A45,'Product Master'!$A$7:$A$1000,0)))</f>
        <v/>
      </c>
      <c r="C45" t="str">
        <f>IF($A45="","",INDEX('Product Master'!$C$7:$C$1000,MATCH($A45,'Product Master'!$A$7:$A$1000,0)))</f>
        <v/>
      </c>
      <c r="D45" t="str">
        <f>IF($A45="","",INDEX('Product Master'!$M$7:$M$1000,MATCH($A45,'Product Master'!$A$7:$A$1000,0)))</f>
        <v/>
      </c>
      <c r="E45" t="str">
        <f>IF($A45="","",INDEX('Product Master'!$N$7:$N$1000,MATCH($A45,'Product Master'!$A$7:$A$1000,0)))</f>
        <v/>
      </c>
      <c r="F45" t="str">
        <f>IF($A45="","",INDEX('Product Master'!$P$7:$P$1000,MATCH($A45,'Product Master'!$A$7:$A$1000,0)))</f>
        <v/>
      </c>
      <c r="I45" t="str">
        <f>IFERROR(INDEX('Product Master'!$A$7:$A$1000,_xlfn.AGGREGATE(15,6,(ROW('Product Master'!$A$7:$A$1000)-ROW('Product Master'!$A$7)+1)/(('Product Master'!$A$7:$A$1000&lt;&gt;"")*('Product Master'!$P$7:$P$1000="Out of Stock")),ROWS($I$12:I45))),"")</f>
        <v/>
      </c>
      <c r="J45" t="str">
        <f>IF($I45="","",INDEX('Product Master'!$B$7:$B$1000,MATCH($I45,'Product Master'!$A$7:$A$1000,0)))</f>
        <v/>
      </c>
      <c r="K45" t="str">
        <f>IF($I45="","",INDEX('Product Master'!$C$7:$C$1000,MATCH($I45,'Product Master'!$A$7:$A$1000,0)))</f>
        <v/>
      </c>
      <c r="L45" t="str">
        <f>IF($I45="","",INDEX('Product Master'!$M$7:$M$1000,MATCH($I45,'Product Master'!$A$7:$A$1000,0)))</f>
        <v/>
      </c>
      <c r="M45" t="str">
        <f>IF($I45="","",INDEX('Product Master'!$N$7:$N$1000,MATCH($I45,'Product Master'!$A$7:$A$1000,0)))</f>
        <v/>
      </c>
    </row>
    <row r="46" spans="1:13" x14ac:dyDescent="0.3">
      <c r="A46" t="str">
        <f>IFERROR(INDEX('Product Master'!$A$7:$A$1000,_xlfn.AGGREGATE(15,6,(ROW('Product Master'!$A$7:$A$1000)-ROW('Product Master'!$A$7)+1)/(('Product Master'!$A$7:$A$1000&lt;&gt;"")*('Product Master'!$P$7:$P$1000="Low Stock")),ROWS($A$12:A46))),"")</f>
        <v/>
      </c>
      <c r="B46" t="str">
        <f>IF($A46="","",INDEX('Product Master'!$B$7:$B$1000,MATCH($A46,'Product Master'!$A$7:$A$1000,0)))</f>
        <v/>
      </c>
      <c r="C46" t="str">
        <f>IF($A46="","",INDEX('Product Master'!$C$7:$C$1000,MATCH($A46,'Product Master'!$A$7:$A$1000,0)))</f>
        <v/>
      </c>
      <c r="D46" t="str">
        <f>IF($A46="","",INDEX('Product Master'!$M$7:$M$1000,MATCH($A46,'Product Master'!$A$7:$A$1000,0)))</f>
        <v/>
      </c>
      <c r="E46" t="str">
        <f>IF($A46="","",INDEX('Product Master'!$N$7:$N$1000,MATCH($A46,'Product Master'!$A$7:$A$1000,0)))</f>
        <v/>
      </c>
      <c r="F46" t="str">
        <f>IF($A46="","",INDEX('Product Master'!$P$7:$P$1000,MATCH($A46,'Product Master'!$A$7:$A$1000,0)))</f>
        <v/>
      </c>
      <c r="I46" t="str">
        <f>IFERROR(INDEX('Product Master'!$A$7:$A$1000,_xlfn.AGGREGATE(15,6,(ROW('Product Master'!$A$7:$A$1000)-ROW('Product Master'!$A$7)+1)/(('Product Master'!$A$7:$A$1000&lt;&gt;"")*('Product Master'!$P$7:$P$1000="Out of Stock")),ROWS($I$12:I46))),"")</f>
        <v/>
      </c>
      <c r="J46" t="str">
        <f>IF($I46="","",INDEX('Product Master'!$B$7:$B$1000,MATCH($I46,'Product Master'!$A$7:$A$1000,0)))</f>
        <v/>
      </c>
      <c r="K46" t="str">
        <f>IF($I46="","",INDEX('Product Master'!$C$7:$C$1000,MATCH($I46,'Product Master'!$A$7:$A$1000,0)))</f>
        <v/>
      </c>
      <c r="L46" t="str">
        <f>IF($I46="","",INDEX('Product Master'!$M$7:$M$1000,MATCH($I46,'Product Master'!$A$7:$A$1000,0)))</f>
        <v/>
      </c>
      <c r="M46" t="str">
        <f>IF($I46="","",INDEX('Product Master'!$N$7:$N$1000,MATCH($I46,'Product Master'!$A$7:$A$1000,0)))</f>
        <v/>
      </c>
    </row>
    <row r="47" spans="1:13" x14ac:dyDescent="0.3">
      <c r="A47" t="str">
        <f>IFERROR(INDEX('Product Master'!$A$7:$A$1000,_xlfn.AGGREGATE(15,6,(ROW('Product Master'!$A$7:$A$1000)-ROW('Product Master'!$A$7)+1)/(('Product Master'!$A$7:$A$1000&lt;&gt;"")*('Product Master'!$P$7:$P$1000="Low Stock")),ROWS($A$12:A47))),"")</f>
        <v/>
      </c>
      <c r="B47" t="str">
        <f>IF($A47="","",INDEX('Product Master'!$B$7:$B$1000,MATCH($A47,'Product Master'!$A$7:$A$1000,0)))</f>
        <v/>
      </c>
      <c r="C47" t="str">
        <f>IF($A47="","",INDEX('Product Master'!$C$7:$C$1000,MATCH($A47,'Product Master'!$A$7:$A$1000,0)))</f>
        <v/>
      </c>
      <c r="D47" t="str">
        <f>IF($A47="","",INDEX('Product Master'!$M$7:$M$1000,MATCH($A47,'Product Master'!$A$7:$A$1000,0)))</f>
        <v/>
      </c>
      <c r="E47" t="str">
        <f>IF($A47="","",INDEX('Product Master'!$N$7:$N$1000,MATCH($A47,'Product Master'!$A$7:$A$1000,0)))</f>
        <v/>
      </c>
      <c r="F47" t="str">
        <f>IF($A47="","",INDEX('Product Master'!$P$7:$P$1000,MATCH($A47,'Product Master'!$A$7:$A$1000,0)))</f>
        <v/>
      </c>
      <c r="I47" t="str">
        <f>IFERROR(INDEX('Product Master'!$A$7:$A$1000,_xlfn.AGGREGATE(15,6,(ROW('Product Master'!$A$7:$A$1000)-ROW('Product Master'!$A$7)+1)/(('Product Master'!$A$7:$A$1000&lt;&gt;"")*('Product Master'!$P$7:$P$1000="Out of Stock")),ROWS($I$12:I47))),"")</f>
        <v/>
      </c>
      <c r="J47" t="str">
        <f>IF($I47="","",INDEX('Product Master'!$B$7:$B$1000,MATCH($I47,'Product Master'!$A$7:$A$1000,0)))</f>
        <v/>
      </c>
      <c r="K47" t="str">
        <f>IF($I47="","",INDEX('Product Master'!$C$7:$C$1000,MATCH($I47,'Product Master'!$A$7:$A$1000,0)))</f>
        <v/>
      </c>
      <c r="L47" t="str">
        <f>IF($I47="","",INDEX('Product Master'!$M$7:$M$1000,MATCH($I47,'Product Master'!$A$7:$A$1000,0)))</f>
        <v/>
      </c>
      <c r="M47" t="str">
        <f>IF($I47="","",INDEX('Product Master'!$N$7:$N$1000,MATCH($I47,'Product Master'!$A$7:$A$1000,0)))</f>
        <v/>
      </c>
    </row>
    <row r="48" spans="1:13" x14ac:dyDescent="0.3">
      <c r="A48" t="str">
        <f>IFERROR(INDEX('Product Master'!$A$7:$A$1000,_xlfn.AGGREGATE(15,6,(ROW('Product Master'!$A$7:$A$1000)-ROW('Product Master'!$A$7)+1)/(('Product Master'!$A$7:$A$1000&lt;&gt;"")*('Product Master'!$P$7:$P$1000="Low Stock")),ROWS($A$12:A48))),"")</f>
        <v/>
      </c>
      <c r="B48" t="str">
        <f>IF($A48="","",INDEX('Product Master'!$B$7:$B$1000,MATCH($A48,'Product Master'!$A$7:$A$1000,0)))</f>
        <v/>
      </c>
      <c r="C48" t="str">
        <f>IF($A48="","",INDEX('Product Master'!$C$7:$C$1000,MATCH($A48,'Product Master'!$A$7:$A$1000,0)))</f>
        <v/>
      </c>
      <c r="D48" t="str">
        <f>IF($A48="","",INDEX('Product Master'!$M$7:$M$1000,MATCH($A48,'Product Master'!$A$7:$A$1000,0)))</f>
        <v/>
      </c>
      <c r="E48" t="str">
        <f>IF($A48="","",INDEX('Product Master'!$N$7:$N$1000,MATCH($A48,'Product Master'!$A$7:$A$1000,0)))</f>
        <v/>
      </c>
      <c r="F48" t="str">
        <f>IF($A48="","",INDEX('Product Master'!$P$7:$P$1000,MATCH($A48,'Product Master'!$A$7:$A$1000,0)))</f>
        <v/>
      </c>
      <c r="I48" t="str">
        <f>IFERROR(INDEX('Product Master'!$A$7:$A$1000,_xlfn.AGGREGATE(15,6,(ROW('Product Master'!$A$7:$A$1000)-ROW('Product Master'!$A$7)+1)/(('Product Master'!$A$7:$A$1000&lt;&gt;"")*('Product Master'!$P$7:$P$1000="Out of Stock")),ROWS($I$12:I48))),"")</f>
        <v/>
      </c>
      <c r="J48" t="str">
        <f>IF($I48="","",INDEX('Product Master'!$B$7:$B$1000,MATCH($I48,'Product Master'!$A$7:$A$1000,0)))</f>
        <v/>
      </c>
      <c r="K48" t="str">
        <f>IF($I48="","",INDEX('Product Master'!$C$7:$C$1000,MATCH($I48,'Product Master'!$A$7:$A$1000,0)))</f>
        <v/>
      </c>
      <c r="L48" t="str">
        <f>IF($I48="","",INDEX('Product Master'!$M$7:$M$1000,MATCH($I48,'Product Master'!$A$7:$A$1000,0)))</f>
        <v/>
      </c>
      <c r="M48" t="str">
        <f>IF($I48="","",INDEX('Product Master'!$N$7:$N$1000,MATCH($I48,'Product Master'!$A$7:$A$1000,0)))</f>
        <v/>
      </c>
    </row>
    <row r="49" spans="1:13" x14ac:dyDescent="0.3">
      <c r="A49" t="str">
        <f>IFERROR(INDEX('Product Master'!$A$7:$A$1000,_xlfn.AGGREGATE(15,6,(ROW('Product Master'!$A$7:$A$1000)-ROW('Product Master'!$A$7)+1)/(('Product Master'!$A$7:$A$1000&lt;&gt;"")*('Product Master'!$P$7:$P$1000="Low Stock")),ROWS($A$12:A49))),"")</f>
        <v/>
      </c>
      <c r="B49" t="str">
        <f>IF($A49="","",INDEX('Product Master'!$B$7:$B$1000,MATCH($A49,'Product Master'!$A$7:$A$1000,0)))</f>
        <v/>
      </c>
      <c r="C49" t="str">
        <f>IF($A49="","",INDEX('Product Master'!$C$7:$C$1000,MATCH($A49,'Product Master'!$A$7:$A$1000,0)))</f>
        <v/>
      </c>
      <c r="D49" t="str">
        <f>IF($A49="","",INDEX('Product Master'!$M$7:$M$1000,MATCH($A49,'Product Master'!$A$7:$A$1000,0)))</f>
        <v/>
      </c>
      <c r="E49" t="str">
        <f>IF($A49="","",INDEX('Product Master'!$N$7:$N$1000,MATCH($A49,'Product Master'!$A$7:$A$1000,0)))</f>
        <v/>
      </c>
      <c r="F49" t="str">
        <f>IF($A49="","",INDEX('Product Master'!$P$7:$P$1000,MATCH($A49,'Product Master'!$A$7:$A$1000,0)))</f>
        <v/>
      </c>
      <c r="I49" t="str">
        <f>IFERROR(INDEX('Product Master'!$A$7:$A$1000,_xlfn.AGGREGATE(15,6,(ROW('Product Master'!$A$7:$A$1000)-ROW('Product Master'!$A$7)+1)/(('Product Master'!$A$7:$A$1000&lt;&gt;"")*('Product Master'!$P$7:$P$1000="Out of Stock")),ROWS($I$12:I49))),"")</f>
        <v/>
      </c>
      <c r="J49" t="str">
        <f>IF($I49="","",INDEX('Product Master'!$B$7:$B$1000,MATCH($I49,'Product Master'!$A$7:$A$1000,0)))</f>
        <v/>
      </c>
      <c r="K49" t="str">
        <f>IF($I49="","",INDEX('Product Master'!$C$7:$C$1000,MATCH($I49,'Product Master'!$A$7:$A$1000,0)))</f>
        <v/>
      </c>
      <c r="L49" t="str">
        <f>IF($I49="","",INDEX('Product Master'!$M$7:$M$1000,MATCH($I49,'Product Master'!$A$7:$A$1000,0)))</f>
        <v/>
      </c>
      <c r="M49" t="str">
        <f>IF($I49="","",INDEX('Product Master'!$N$7:$N$1000,MATCH($I49,'Product Master'!$A$7:$A$1000,0)))</f>
        <v/>
      </c>
    </row>
    <row r="50" spans="1:13" x14ac:dyDescent="0.3">
      <c r="A50" t="str">
        <f>IFERROR(INDEX('Product Master'!$A$7:$A$1000,_xlfn.AGGREGATE(15,6,(ROW('Product Master'!$A$7:$A$1000)-ROW('Product Master'!$A$7)+1)/(('Product Master'!$A$7:$A$1000&lt;&gt;"")*('Product Master'!$P$7:$P$1000="Low Stock")),ROWS($A$12:A50))),"")</f>
        <v/>
      </c>
      <c r="B50" t="str">
        <f>IF($A50="","",INDEX('Product Master'!$B$7:$B$1000,MATCH($A50,'Product Master'!$A$7:$A$1000,0)))</f>
        <v/>
      </c>
      <c r="C50" t="str">
        <f>IF($A50="","",INDEX('Product Master'!$C$7:$C$1000,MATCH($A50,'Product Master'!$A$7:$A$1000,0)))</f>
        <v/>
      </c>
      <c r="D50" t="str">
        <f>IF($A50="","",INDEX('Product Master'!$M$7:$M$1000,MATCH($A50,'Product Master'!$A$7:$A$1000,0)))</f>
        <v/>
      </c>
      <c r="E50" t="str">
        <f>IF($A50="","",INDEX('Product Master'!$N$7:$N$1000,MATCH($A50,'Product Master'!$A$7:$A$1000,0)))</f>
        <v/>
      </c>
      <c r="F50" t="str">
        <f>IF($A50="","",INDEX('Product Master'!$P$7:$P$1000,MATCH($A50,'Product Master'!$A$7:$A$1000,0)))</f>
        <v/>
      </c>
      <c r="I50" t="str">
        <f>IFERROR(INDEX('Product Master'!$A$7:$A$1000,_xlfn.AGGREGATE(15,6,(ROW('Product Master'!$A$7:$A$1000)-ROW('Product Master'!$A$7)+1)/(('Product Master'!$A$7:$A$1000&lt;&gt;"")*('Product Master'!$P$7:$P$1000="Out of Stock")),ROWS($I$12:I50))),"")</f>
        <v/>
      </c>
      <c r="J50" t="str">
        <f>IF($I50="","",INDEX('Product Master'!$B$7:$B$1000,MATCH($I50,'Product Master'!$A$7:$A$1000,0)))</f>
        <v/>
      </c>
      <c r="K50" t="str">
        <f>IF($I50="","",INDEX('Product Master'!$C$7:$C$1000,MATCH($I50,'Product Master'!$A$7:$A$1000,0)))</f>
        <v/>
      </c>
      <c r="L50" t="str">
        <f>IF($I50="","",INDEX('Product Master'!$M$7:$M$1000,MATCH($I50,'Product Master'!$A$7:$A$1000,0)))</f>
        <v/>
      </c>
      <c r="M50" t="str">
        <f>IF($I50="","",INDEX('Product Master'!$N$7:$N$1000,MATCH($I50,'Product Master'!$A$7:$A$1000,0)))</f>
        <v/>
      </c>
    </row>
    <row r="51" spans="1:13" x14ac:dyDescent="0.3">
      <c r="A51" t="str">
        <f>IFERROR(INDEX('Product Master'!$A$7:$A$1000,_xlfn.AGGREGATE(15,6,(ROW('Product Master'!$A$7:$A$1000)-ROW('Product Master'!$A$7)+1)/(('Product Master'!$A$7:$A$1000&lt;&gt;"")*('Product Master'!$P$7:$P$1000="Low Stock")),ROWS($A$12:A51))),"")</f>
        <v/>
      </c>
      <c r="B51" t="str">
        <f>IF($A51="","",INDEX('Product Master'!$B$7:$B$1000,MATCH($A51,'Product Master'!$A$7:$A$1000,0)))</f>
        <v/>
      </c>
      <c r="C51" t="str">
        <f>IF($A51="","",INDEX('Product Master'!$C$7:$C$1000,MATCH($A51,'Product Master'!$A$7:$A$1000,0)))</f>
        <v/>
      </c>
      <c r="D51" t="str">
        <f>IF($A51="","",INDEX('Product Master'!$M$7:$M$1000,MATCH($A51,'Product Master'!$A$7:$A$1000,0)))</f>
        <v/>
      </c>
      <c r="E51" t="str">
        <f>IF($A51="","",INDEX('Product Master'!$N$7:$N$1000,MATCH($A51,'Product Master'!$A$7:$A$1000,0)))</f>
        <v/>
      </c>
      <c r="F51" t="str">
        <f>IF($A51="","",INDEX('Product Master'!$P$7:$P$1000,MATCH($A51,'Product Master'!$A$7:$A$1000,0)))</f>
        <v/>
      </c>
      <c r="I51" t="str">
        <f>IFERROR(INDEX('Product Master'!$A$7:$A$1000,_xlfn.AGGREGATE(15,6,(ROW('Product Master'!$A$7:$A$1000)-ROW('Product Master'!$A$7)+1)/(('Product Master'!$A$7:$A$1000&lt;&gt;"")*('Product Master'!$P$7:$P$1000="Out of Stock")),ROWS($I$12:I51))),"")</f>
        <v/>
      </c>
      <c r="J51" t="str">
        <f>IF($I51="","",INDEX('Product Master'!$B$7:$B$1000,MATCH($I51,'Product Master'!$A$7:$A$1000,0)))</f>
        <v/>
      </c>
      <c r="K51" t="str">
        <f>IF($I51="","",INDEX('Product Master'!$C$7:$C$1000,MATCH($I51,'Product Master'!$A$7:$A$1000,0)))</f>
        <v/>
      </c>
      <c r="L51" t="str">
        <f>IF($I51="","",INDEX('Product Master'!$M$7:$M$1000,MATCH($I51,'Product Master'!$A$7:$A$1000,0)))</f>
        <v/>
      </c>
      <c r="M51" t="str">
        <f>IF($I51="","",INDEX('Product Master'!$N$7:$N$1000,MATCH($I51,'Product Master'!$A$7:$A$1000,0)))</f>
        <v/>
      </c>
    </row>
    <row r="52" spans="1:13" x14ac:dyDescent="0.3">
      <c r="A52" t="str">
        <f>IFERROR(INDEX('Product Master'!$A$7:$A$1000,_xlfn.AGGREGATE(15,6,(ROW('Product Master'!$A$7:$A$1000)-ROW('Product Master'!$A$7)+1)/(('Product Master'!$A$7:$A$1000&lt;&gt;"")*('Product Master'!$P$7:$P$1000="Low Stock")),ROWS($A$12:A52))),"")</f>
        <v/>
      </c>
      <c r="B52" t="str">
        <f>IF($A52="","",INDEX('Product Master'!$B$7:$B$1000,MATCH($A52,'Product Master'!$A$7:$A$1000,0)))</f>
        <v/>
      </c>
      <c r="C52" t="str">
        <f>IF($A52="","",INDEX('Product Master'!$C$7:$C$1000,MATCH($A52,'Product Master'!$A$7:$A$1000,0)))</f>
        <v/>
      </c>
      <c r="D52" t="str">
        <f>IF($A52="","",INDEX('Product Master'!$M$7:$M$1000,MATCH($A52,'Product Master'!$A$7:$A$1000,0)))</f>
        <v/>
      </c>
      <c r="E52" t="str">
        <f>IF($A52="","",INDEX('Product Master'!$N$7:$N$1000,MATCH($A52,'Product Master'!$A$7:$A$1000,0)))</f>
        <v/>
      </c>
      <c r="F52" t="str">
        <f>IF($A52="","",INDEX('Product Master'!$P$7:$P$1000,MATCH($A52,'Product Master'!$A$7:$A$1000,0)))</f>
        <v/>
      </c>
      <c r="I52" t="str">
        <f>IFERROR(INDEX('Product Master'!$A$7:$A$1000,_xlfn.AGGREGATE(15,6,(ROW('Product Master'!$A$7:$A$1000)-ROW('Product Master'!$A$7)+1)/(('Product Master'!$A$7:$A$1000&lt;&gt;"")*('Product Master'!$P$7:$P$1000="Out of Stock")),ROWS($I$12:I52))),"")</f>
        <v/>
      </c>
      <c r="J52" t="str">
        <f>IF($I52="","",INDEX('Product Master'!$B$7:$B$1000,MATCH($I52,'Product Master'!$A$7:$A$1000,0)))</f>
        <v/>
      </c>
      <c r="K52" t="str">
        <f>IF($I52="","",INDEX('Product Master'!$C$7:$C$1000,MATCH($I52,'Product Master'!$A$7:$A$1000,0)))</f>
        <v/>
      </c>
      <c r="L52" t="str">
        <f>IF($I52="","",INDEX('Product Master'!$M$7:$M$1000,MATCH($I52,'Product Master'!$A$7:$A$1000,0)))</f>
        <v/>
      </c>
      <c r="M52" t="str">
        <f>IF($I52="","",INDEX('Product Master'!$N$7:$N$1000,MATCH($I52,'Product Master'!$A$7:$A$1000,0)))</f>
        <v/>
      </c>
    </row>
    <row r="53" spans="1:13" x14ac:dyDescent="0.3">
      <c r="A53" t="str">
        <f>IFERROR(INDEX('Product Master'!$A$7:$A$1000,_xlfn.AGGREGATE(15,6,(ROW('Product Master'!$A$7:$A$1000)-ROW('Product Master'!$A$7)+1)/(('Product Master'!$A$7:$A$1000&lt;&gt;"")*('Product Master'!$P$7:$P$1000="Low Stock")),ROWS($A$12:A53))),"")</f>
        <v/>
      </c>
      <c r="B53" t="str">
        <f>IF($A53="","",INDEX('Product Master'!$B$7:$B$1000,MATCH($A53,'Product Master'!$A$7:$A$1000,0)))</f>
        <v/>
      </c>
      <c r="C53" t="str">
        <f>IF($A53="","",INDEX('Product Master'!$C$7:$C$1000,MATCH($A53,'Product Master'!$A$7:$A$1000,0)))</f>
        <v/>
      </c>
      <c r="D53" t="str">
        <f>IF($A53="","",INDEX('Product Master'!$M$7:$M$1000,MATCH($A53,'Product Master'!$A$7:$A$1000,0)))</f>
        <v/>
      </c>
      <c r="E53" t="str">
        <f>IF($A53="","",INDEX('Product Master'!$N$7:$N$1000,MATCH($A53,'Product Master'!$A$7:$A$1000,0)))</f>
        <v/>
      </c>
      <c r="F53" t="str">
        <f>IF($A53="","",INDEX('Product Master'!$P$7:$P$1000,MATCH($A53,'Product Master'!$A$7:$A$1000,0)))</f>
        <v/>
      </c>
      <c r="I53" t="str">
        <f>IFERROR(INDEX('Product Master'!$A$7:$A$1000,_xlfn.AGGREGATE(15,6,(ROW('Product Master'!$A$7:$A$1000)-ROW('Product Master'!$A$7)+1)/(('Product Master'!$A$7:$A$1000&lt;&gt;"")*('Product Master'!$P$7:$P$1000="Out of Stock")),ROWS($I$12:I53))),"")</f>
        <v/>
      </c>
      <c r="J53" t="str">
        <f>IF($I53="","",INDEX('Product Master'!$B$7:$B$1000,MATCH($I53,'Product Master'!$A$7:$A$1000,0)))</f>
        <v/>
      </c>
      <c r="K53" t="str">
        <f>IF($I53="","",INDEX('Product Master'!$C$7:$C$1000,MATCH($I53,'Product Master'!$A$7:$A$1000,0)))</f>
        <v/>
      </c>
      <c r="L53" t="str">
        <f>IF($I53="","",INDEX('Product Master'!$M$7:$M$1000,MATCH($I53,'Product Master'!$A$7:$A$1000,0)))</f>
        <v/>
      </c>
      <c r="M53" t="str">
        <f>IF($I53="","",INDEX('Product Master'!$N$7:$N$1000,MATCH($I53,'Product Master'!$A$7:$A$1000,0)))</f>
        <v/>
      </c>
    </row>
    <row r="54" spans="1:13" x14ac:dyDescent="0.3">
      <c r="A54" t="str">
        <f>IFERROR(INDEX('Product Master'!$A$7:$A$1000,_xlfn.AGGREGATE(15,6,(ROW('Product Master'!$A$7:$A$1000)-ROW('Product Master'!$A$7)+1)/(('Product Master'!$A$7:$A$1000&lt;&gt;"")*('Product Master'!$P$7:$P$1000="Low Stock")),ROWS($A$12:A54))),"")</f>
        <v/>
      </c>
      <c r="B54" t="str">
        <f>IF($A54="","",INDEX('Product Master'!$B$7:$B$1000,MATCH($A54,'Product Master'!$A$7:$A$1000,0)))</f>
        <v/>
      </c>
      <c r="C54" t="str">
        <f>IF($A54="","",INDEX('Product Master'!$C$7:$C$1000,MATCH($A54,'Product Master'!$A$7:$A$1000,0)))</f>
        <v/>
      </c>
      <c r="D54" t="str">
        <f>IF($A54="","",INDEX('Product Master'!$M$7:$M$1000,MATCH($A54,'Product Master'!$A$7:$A$1000,0)))</f>
        <v/>
      </c>
      <c r="E54" t="str">
        <f>IF($A54="","",INDEX('Product Master'!$N$7:$N$1000,MATCH($A54,'Product Master'!$A$7:$A$1000,0)))</f>
        <v/>
      </c>
      <c r="F54" t="str">
        <f>IF($A54="","",INDEX('Product Master'!$P$7:$P$1000,MATCH($A54,'Product Master'!$A$7:$A$1000,0)))</f>
        <v/>
      </c>
      <c r="I54" t="str">
        <f>IFERROR(INDEX('Product Master'!$A$7:$A$1000,_xlfn.AGGREGATE(15,6,(ROW('Product Master'!$A$7:$A$1000)-ROW('Product Master'!$A$7)+1)/(('Product Master'!$A$7:$A$1000&lt;&gt;"")*('Product Master'!$P$7:$P$1000="Out of Stock")),ROWS($I$12:I54))),"")</f>
        <v/>
      </c>
      <c r="J54" t="str">
        <f>IF($I54="","",INDEX('Product Master'!$B$7:$B$1000,MATCH($I54,'Product Master'!$A$7:$A$1000,0)))</f>
        <v/>
      </c>
      <c r="K54" t="str">
        <f>IF($I54="","",INDEX('Product Master'!$C$7:$C$1000,MATCH($I54,'Product Master'!$A$7:$A$1000,0)))</f>
        <v/>
      </c>
      <c r="L54" t="str">
        <f>IF($I54="","",INDEX('Product Master'!$M$7:$M$1000,MATCH($I54,'Product Master'!$A$7:$A$1000,0)))</f>
        <v/>
      </c>
      <c r="M54" t="str">
        <f>IF($I54="","",INDEX('Product Master'!$N$7:$N$1000,MATCH($I54,'Product Master'!$A$7:$A$1000,0)))</f>
        <v/>
      </c>
    </row>
    <row r="55" spans="1:13" x14ac:dyDescent="0.3">
      <c r="A55" t="str">
        <f>IFERROR(INDEX('Product Master'!$A$7:$A$1000,_xlfn.AGGREGATE(15,6,(ROW('Product Master'!$A$7:$A$1000)-ROW('Product Master'!$A$7)+1)/(('Product Master'!$A$7:$A$1000&lt;&gt;"")*('Product Master'!$P$7:$P$1000="Low Stock")),ROWS($A$12:A55))),"")</f>
        <v/>
      </c>
      <c r="B55" t="str">
        <f>IF($A55="","",INDEX('Product Master'!$B$7:$B$1000,MATCH($A55,'Product Master'!$A$7:$A$1000,0)))</f>
        <v/>
      </c>
      <c r="C55" t="str">
        <f>IF($A55="","",INDEX('Product Master'!$C$7:$C$1000,MATCH($A55,'Product Master'!$A$7:$A$1000,0)))</f>
        <v/>
      </c>
      <c r="D55" t="str">
        <f>IF($A55="","",INDEX('Product Master'!$M$7:$M$1000,MATCH($A55,'Product Master'!$A$7:$A$1000,0)))</f>
        <v/>
      </c>
      <c r="E55" t="str">
        <f>IF($A55="","",INDEX('Product Master'!$N$7:$N$1000,MATCH($A55,'Product Master'!$A$7:$A$1000,0)))</f>
        <v/>
      </c>
      <c r="F55" t="str">
        <f>IF($A55="","",INDEX('Product Master'!$P$7:$P$1000,MATCH($A55,'Product Master'!$A$7:$A$1000,0)))</f>
        <v/>
      </c>
      <c r="I55" t="str">
        <f>IFERROR(INDEX('Product Master'!$A$7:$A$1000,_xlfn.AGGREGATE(15,6,(ROW('Product Master'!$A$7:$A$1000)-ROW('Product Master'!$A$7)+1)/(('Product Master'!$A$7:$A$1000&lt;&gt;"")*('Product Master'!$P$7:$P$1000="Out of Stock")),ROWS($I$12:I55))),"")</f>
        <v/>
      </c>
      <c r="J55" t="str">
        <f>IF($I55="","",INDEX('Product Master'!$B$7:$B$1000,MATCH($I55,'Product Master'!$A$7:$A$1000,0)))</f>
        <v/>
      </c>
      <c r="K55" t="str">
        <f>IF($I55="","",INDEX('Product Master'!$C$7:$C$1000,MATCH($I55,'Product Master'!$A$7:$A$1000,0)))</f>
        <v/>
      </c>
      <c r="L55" t="str">
        <f>IF($I55="","",INDEX('Product Master'!$M$7:$M$1000,MATCH($I55,'Product Master'!$A$7:$A$1000,0)))</f>
        <v/>
      </c>
      <c r="M55" t="str">
        <f>IF($I55="","",INDEX('Product Master'!$N$7:$N$1000,MATCH($I55,'Product Master'!$A$7:$A$1000,0)))</f>
        <v/>
      </c>
    </row>
    <row r="56" spans="1:13" x14ac:dyDescent="0.3">
      <c r="A56" t="str">
        <f>IFERROR(INDEX('Product Master'!$A$7:$A$1000,_xlfn.AGGREGATE(15,6,(ROW('Product Master'!$A$7:$A$1000)-ROW('Product Master'!$A$7)+1)/(('Product Master'!$A$7:$A$1000&lt;&gt;"")*('Product Master'!$P$7:$P$1000="Low Stock")),ROWS($A$12:A56))),"")</f>
        <v/>
      </c>
      <c r="B56" t="str">
        <f>IF($A56="","",INDEX('Product Master'!$B$7:$B$1000,MATCH($A56,'Product Master'!$A$7:$A$1000,0)))</f>
        <v/>
      </c>
      <c r="C56" t="str">
        <f>IF($A56="","",INDEX('Product Master'!$C$7:$C$1000,MATCH($A56,'Product Master'!$A$7:$A$1000,0)))</f>
        <v/>
      </c>
      <c r="D56" t="str">
        <f>IF($A56="","",INDEX('Product Master'!$M$7:$M$1000,MATCH($A56,'Product Master'!$A$7:$A$1000,0)))</f>
        <v/>
      </c>
      <c r="E56" t="str">
        <f>IF($A56="","",INDEX('Product Master'!$N$7:$N$1000,MATCH($A56,'Product Master'!$A$7:$A$1000,0)))</f>
        <v/>
      </c>
      <c r="F56" t="str">
        <f>IF($A56="","",INDEX('Product Master'!$P$7:$P$1000,MATCH($A56,'Product Master'!$A$7:$A$1000,0)))</f>
        <v/>
      </c>
      <c r="I56" t="str">
        <f>IFERROR(INDEX('Product Master'!$A$7:$A$1000,_xlfn.AGGREGATE(15,6,(ROW('Product Master'!$A$7:$A$1000)-ROW('Product Master'!$A$7)+1)/(('Product Master'!$A$7:$A$1000&lt;&gt;"")*('Product Master'!$P$7:$P$1000="Out of Stock")),ROWS($I$12:I56))),"")</f>
        <v/>
      </c>
      <c r="J56" t="str">
        <f>IF($I56="","",INDEX('Product Master'!$B$7:$B$1000,MATCH($I56,'Product Master'!$A$7:$A$1000,0)))</f>
        <v/>
      </c>
      <c r="K56" t="str">
        <f>IF($I56="","",INDEX('Product Master'!$C$7:$C$1000,MATCH($I56,'Product Master'!$A$7:$A$1000,0)))</f>
        <v/>
      </c>
      <c r="L56" t="str">
        <f>IF($I56="","",INDEX('Product Master'!$M$7:$M$1000,MATCH($I56,'Product Master'!$A$7:$A$1000,0)))</f>
        <v/>
      </c>
      <c r="M56" t="str">
        <f>IF($I56="","",INDEX('Product Master'!$N$7:$N$1000,MATCH($I56,'Product Master'!$A$7:$A$1000,0)))</f>
        <v/>
      </c>
    </row>
    <row r="57" spans="1:13" x14ac:dyDescent="0.3">
      <c r="A57" t="str">
        <f>IFERROR(INDEX('Product Master'!$A$7:$A$1000,_xlfn.AGGREGATE(15,6,(ROW('Product Master'!$A$7:$A$1000)-ROW('Product Master'!$A$7)+1)/(('Product Master'!$A$7:$A$1000&lt;&gt;"")*('Product Master'!$P$7:$P$1000="Low Stock")),ROWS($A$12:A57))),"")</f>
        <v/>
      </c>
      <c r="B57" t="str">
        <f>IF($A57="","",INDEX('Product Master'!$B$7:$B$1000,MATCH($A57,'Product Master'!$A$7:$A$1000,0)))</f>
        <v/>
      </c>
      <c r="C57" t="str">
        <f>IF($A57="","",INDEX('Product Master'!$C$7:$C$1000,MATCH($A57,'Product Master'!$A$7:$A$1000,0)))</f>
        <v/>
      </c>
      <c r="D57" t="str">
        <f>IF($A57="","",INDEX('Product Master'!$M$7:$M$1000,MATCH($A57,'Product Master'!$A$7:$A$1000,0)))</f>
        <v/>
      </c>
      <c r="E57" t="str">
        <f>IF($A57="","",INDEX('Product Master'!$N$7:$N$1000,MATCH($A57,'Product Master'!$A$7:$A$1000,0)))</f>
        <v/>
      </c>
      <c r="F57" t="str">
        <f>IF($A57="","",INDEX('Product Master'!$P$7:$P$1000,MATCH($A57,'Product Master'!$A$7:$A$1000,0)))</f>
        <v/>
      </c>
      <c r="I57" t="str">
        <f>IFERROR(INDEX('Product Master'!$A$7:$A$1000,_xlfn.AGGREGATE(15,6,(ROW('Product Master'!$A$7:$A$1000)-ROW('Product Master'!$A$7)+1)/(('Product Master'!$A$7:$A$1000&lt;&gt;"")*('Product Master'!$P$7:$P$1000="Out of Stock")),ROWS($I$12:I57))),"")</f>
        <v/>
      </c>
      <c r="J57" t="str">
        <f>IF($I57="","",INDEX('Product Master'!$B$7:$B$1000,MATCH($I57,'Product Master'!$A$7:$A$1000,0)))</f>
        <v/>
      </c>
      <c r="K57" t="str">
        <f>IF($I57="","",INDEX('Product Master'!$C$7:$C$1000,MATCH($I57,'Product Master'!$A$7:$A$1000,0)))</f>
        <v/>
      </c>
      <c r="L57" t="str">
        <f>IF($I57="","",INDEX('Product Master'!$M$7:$M$1000,MATCH($I57,'Product Master'!$A$7:$A$1000,0)))</f>
        <v/>
      </c>
      <c r="M57" t="str">
        <f>IF($I57="","",INDEX('Product Master'!$N$7:$N$1000,MATCH($I57,'Product Master'!$A$7:$A$1000,0)))</f>
        <v/>
      </c>
    </row>
    <row r="58" spans="1:13" x14ac:dyDescent="0.3">
      <c r="A58" t="str">
        <f>IFERROR(INDEX('Product Master'!$A$7:$A$1000,_xlfn.AGGREGATE(15,6,(ROW('Product Master'!$A$7:$A$1000)-ROW('Product Master'!$A$7)+1)/(('Product Master'!$A$7:$A$1000&lt;&gt;"")*('Product Master'!$P$7:$P$1000="Low Stock")),ROWS($A$12:A58))),"")</f>
        <v/>
      </c>
      <c r="B58" t="str">
        <f>IF($A58="","",INDEX('Product Master'!$B$7:$B$1000,MATCH($A58,'Product Master'!$A$7:$A$1000,0)))</f>
        <v/>
      </c>
      <c r="C58" t="str">
        <f>IF($A58="","",INDEX('Product Master'!$C$7:$C$1000,MATCH($A58,'Product Master'!$A$7:$A$1000,0)))</f>
        <v/>
      </c>
      <c r="D58" t="str">
        <f>IF($A58="","",INDEX('Product Master'!$M$7:$M$1000,MATCH($A58,'Product Master'!$A$7:$A$1000,0)))</f>
        <v/>
      </c>
      <c r="E58" t="str">
        <f>IF($A58="","",INDEX('Product Master'!$N$7:$N$1000,MATCH($A58,'Product Master'!$A$7:$A$1000,0)))</f>
        <v/>
      </c>
      <c r="F58" t="str">
        <f>IF($A58="","",INDEX('Product Master'!$P$7:$P$1000,MATCH($A58,'Product Master'!$A$7:$A$1000,0)))</f>
        <v/>
      </c>
      <c r="I58" t="str">
        <f>IFERROR(INDEX('Product Master'!$A$7:$A$1000,_xlfn.AGGREGATE(15,6,(ROW('Product Master'!$A$7:$A$1000)-ROW('Product Master'!$A$7)+1)/(('Product Master'!$A$7:$A$1000&lt;&gt;"")*('Product Master'!$P$7:$P$1000="Out of Stock")),ROWS($I$12:I58))),"")</f>
        <v/>
      </c>
      <c r="J58" t="str">
        <f>IF($I58="","",INDEX('Product Master'!$B$7:$B$1000,MATCH($I58,'Product Master'!$A$7:$A$1000,0)))</f>
        <v/>
      </c>
      <c r="K58" t="str">
        <f>IF($I58="","",INDEX('Product Master'!$C$7:$C$1000,MATCH($I58,'Product Master'!$A$7:$A$1000,0)))</f>
        <v/>
      </c>
      <c r="L58" t="str">
        <f>IF($I58="","",INDEX('Product Master'!$M$7:$M$1000,MATCH($I58,'Product Master'!$A$7:$A$1000,0)))</f>
        <v/>
      </c>
      <c r="M58" t="str">
        <f>IF($I58="","",INDEX('Product Master'!$N$7:$N$1000,MATCH($I58,'Product Master'!$A$7:$A$1000,0)))</f>
        <v/>
      </c>
    </row>
    <row r="59" spans="1:13" x14ac:dyDescent="0.3">
      <c r="A59" t="str">
        <f>IFERROR(INDEX('Product Master'!$A$7:$A$1000,_xlfn.AGGREGATE(15,6,(ROW('Product Master'!$A$7:$A$1000)-ROW('Product Master'!$A$7)+1)/(('Product Master'!$A$7:$A$1000&lt;&gt;"")*('Product Master'!$P$7:$P$1000="Low Stock")),ROWS($A$12:A59))),"")</f>
        <v/>
      </c>
      <c r="B59" t="str">
        <f>IF($A59="","",INDEX('Product Master'!$B$7:$B$1000,MATCH($A59,'Product Master'!$A$7:$A$1000,0)))</f>
        <v/>
      </c>
      <c r="C59" t="str">
        <f>IF($A59="","",INDEX('Product Master'!$C$7:$C$1000,MATCH($A59,'Product Master'!$A$7:$A$1000,0)))</f>
        <v/>
      </c>
      <c r="D59" t="str">
        <f>IF($A59="","",INDEX('Product Master'!$M$7:$M$1000,MATCH($A59,'Product Master'!$A$7:$A$1000,0)))</f>
        <v/>
      </c>
      <c r="E59" t="str">
        <f>IF($A59="","",INDEX('Product Master'!$N$7:$N$1000,MATCH($A59,'Product Master'!$A$7:$A$1000,0)))</f>
        <v/>
      </c>
      <c r="F59" t="str">
        <f>IF($A59="","",INDEX('Product Master'!$P$7:$P$1000,MATCH($A59,'Product Master'!$A$7:$A$1000,0)))</f>
        <v/>
      </c>
      <c r="I59" t="str">
        <f>IFERROR(INDEX('Product Master'!$A$7:$A$1000,_xlfn.AGGREGATE(15,6,(ROW('Product Master'!$A$7:$A$1000)-ROW('Product Master'!$A$7)+1)/(('Product Master'!$A$7:$A$1000&lt;&gt;"")*('Product Master'!$P$7:$P$1000="Out of Stock")),ROWS($I$12:I59))),"")</f>
        <v/>
      </c>
      <c r="J59" t="str">
        <f>IF($I59="","",INDEX('Product Master'!$B$7:$B$1000,MATCH($I59,'Product Master'!$A$7:$A$1000,0)))</f>
        <v/>
      </c>
      <c r="K59" t="str">
        <f>IF($I59="","",INDEX('Product Master'!$C$7:$C$1000,MATCH($I59,'Product Master'!$A$7:$A$1000,0)))</f>
        <v/>
      </c>
      <c r="L59" t="str">
        <f>IF($I59="","",INDEX('Product Master'!$M$7:$M$1000,MATCH($I59,'Product Master'!$A$7:$A$1000,0)))</f>
        <v/>
      </c>
      <c r="M59" t="str">
        <f>IF($I59="","",INDEX('Product Master'!$N$7:$N$1000,MATCH($I59,'Product Master'!$A$7:$A$1000,0)))</f>
        <v/>
      </c>
    </row>
    <row r="60" spans="1:13" x14ac:dyDescent="0.3">
      <c r="A60" t="str">
        <f>IFERROR(INDEX('Product Master'!$A$7:$A$1000,_xlfn.AGGREGATE(15,6,(ROW('Product Master'!$A$7:$A$1000)-ROW('Product Master'!$A$7)+1)/(('Product Master'!$A$7:$A$1000&lt;&gt;"")*('Product Master'!$P$7:$P$1000="Low Stock")),ROWS($A$12:A60))),"")</f>
        <v/>
      </c>
      <c r="B60" t="str">
        <f>IF($A60="","",INDEX('Product Master'!$B$7:$B$1000,MATCH($A60,'Product Master'!$A$7:$A$1000,0)))</f>
        <v/>
      </c>
      <c r="C60" t="str">
        <f>IF($A60="","",INDEX('Product Master'!$C$7:$C$1000,MATCH($A60,'Product Master'!$A$7:$A$1000,0)))</f>
        <v/>
      </c>
      <c r="D60" t="str">
        <f>IF($A60="","",INDEX('Product Master'!$M$7:$M$1000,MATCH($A60,'Product Master'!$A$7:$A$1000,0)))</f>
        <v/>
      </c>
      <c r="E60" t="str">
        <f>IF($A60="","",INDEX('Product Master'!$N$7:$N$1000,MATCH($A60,'Product Master'!$A$7:$A$1000,0)))</f>
        <v/>
      </c>
      <c r="F60" t="str">
        <f>IF($A60="","",INDEX('Product Master'!$P$7:$P$1000,MATCH($A60,'Product Master'!$A$7:$A$1000,0)))</f>
        <v/>
      </c>
      <c r="I60" t="str">
        <f>IFERROR(INDEX('Product Master'!$A$7:$A$1000,_xlfn.AGGREGATE(15,6,(ROW('Product Master'!$A$7:$A$1000)-ROW('Product Master'!$A$7)+1)/(('Product Master'!$A$7:$A$1000&lt;&gt;"")*('Product Master'!$P$7:$P$1000="Out of Stock")),ROWS($I$12:I60))),"")</f>
        <v/>
      </c>
      <c r="J60" t="str">
        <f>IF($I60="","",INDEX('Product Master'!$B$7:$B$1000,MATCH($I60,'Product Master'!$A$7:$A$1000,0)))</f>
        <v/>
      </c>
      <c r="K60" t="str">
        <f>IF($I60="","",INDEX('Product Master'!$C$7:$C$1000,MATCH($I60,'Product Master'!$A$7:$A$1000,0)))</f>
        <v/>
      </c>
      <c r="L60" t="str">
        <f>IF($I60="","",INDEX('Product Master'!$M$7:$M$1000,MATCH($I60,'Product Master'!$A$7:$A$1000,0)))</f>
        <v/>
      </c>
      <c r="M60" t="str">
        <f>IF($I60="","",INDEX('Product Master'!$N$7:$N$1000,MATCH($I60,'Product Master'!$A$7:$A$1000,0)))</f>
        <v/>
      </c>
    </row>
    <row r="61" spans="1:13" x14ac:dyDescent="0.3">
      <c r="A61" t="str">
        <f>IFERROR(INDEX('Product Master'!$A$7:$A$1000,_xlfn.AGGREGATE(15,6,(ROW('Product Master'!$A$7:$A$1000)-ROW('Product Master'!$A$7)+1)/(('Product Master'!$A$7:$A$1000&lt;&gt;"")*('Product Master'!$P$7:$P$1000="Low Stock")),ROWS($A$12:A61))),"")</f>
        <v/>
      </c>
      <c r="B61" t="str">
        <f>IF($A61="","",INDEX('Product Master'!$B$7:$B$1000,MATCH($A61,'Product Master'!$A$7:$A$1000,0)))</f>
        <v/>
      </c>
      <c r="C61" t="str">
        <f>IF($A61="","",INDEX('Product Master'!$C$7:$C$1000,MATCH($A61,'Product Master'!$A$7:$A$1000,0)))</f>
        <v/>
      </c>
      <c r="D61" t="str">
        <f>IF($A61="","",INDEX('Product Master'!$M$7:$M$1000,MATCH($A61,'Product Master'!$A$7:$A$1000,0)))</f>
        <v/>
      </c>
      <c r="E61" t="str">
        <f>IF($A61="","",INDEX('Product Master'!$N$7:$N$1000,MATCH($A61,'Product Master'!$A$7:$A$1000,0)))</f>
        <v/>
      </c>
      <c r="F61" t="str">
        <f>IF($A61="","",INDEX('Product Master'!$P$7:$P$1000,MATCH($A61,'Product Master'!$A$7:$A$1000,0)))</f>
        <v/>
      </c>
      <c r="I61" t="str">
        <f>IFERROR(INDEX('Product Master'!$A$7:$A$1000,_xlfn.AGGREGATE(15,6,(ROW('Product Master'!$A$7:$A$1000)-ROW('Product Master'!$A$7)+1)/(('Product Master'!$A$7:$A$1000&lt;&gt;"")*('Product Master'!$P$7:$P$1000="Out of Stock")),ROWS($I$12:I61))),"")</f>
        <v/>
      </c>
      <c r="J61" t="str">
        <f>IF($I61="","",INDEX('Product Master'!$B$7:$B$1000,MATCH($I61,'Product Master'!$A$7:$A$1000,0)))</f>
        <v/>
      </c>
      <c r="K61" t="str">
        <f>IF($I61="","",INDEX('Product Master'!$C$7:$C$1000,MATCH($I61,'Product Master'!$A$7:$A$1000,0)))</f>
        <v/>
      </c>
      <c r="L61" t="str">
        <f>IF($I61="","",INDEX('Product Master'!$M$7:$M$1000,MATCH($I61,'Product Master'!$A$7:$A$1000,0)))</f>
        <v/>
      </c>
      <c r="M61" t="str">
        <f>IF($I61="","",INDEX('Product Master'!$N$7:$N$1000,MATCH($I61,'Product Master'!$A$7:$A$1000,0)))</f>
        <v/>
      </c>
    </row>
    <row r="62" spans="1:13" x14ac:dyDescent="0.3">
      <c r="A62" t="str">
        <f>IFERROR(INDEX('Product Master'!$A$7:$A$1000,_xlfn.AGGREGATE(15,6,(ROW('Product Master'!$A$7:$A$1000)-ROW('Product Master'!$A$7)+1)/(('Product Master'!$A$7:$A$1000&lt;&gt;"")*('Product Master'!$P$7:$P$1000="Low Stock")),ROWS($A$12:A62))),"")</f>
        <v/>
      </c>
      <c r="B62" t="str">
        <f>IF($A62="","",INDEX('Product Master'!$B$7:$B$1000,MATCH($A62,'Product Master'!$A$7:$A$1000,0)))</f>
        <v/>
      </c>
      <c r="C62" t="str">
        <f>IF($A62="","",INDEX('Product Master'!$C$7:$C$1000,MATCH($A62,'Product Master'!$A$7:$A$1000,0)))</f>
        <v/>
      </c>
      <c r="D62" t="str">
        <f>IF($A62="","",INDEX('Product Master'!$M$7:$M$1000,MATCH($A62,'Product Master'!$A$7:$A$1000,0)))</f>
        <v/>
      </c>
      <c r="E62" t="str">
        <f>IF($A62="","",INDEX('Product Master'!$N$7:$N$1000,MATCH($A62,'Product Master'!$A$7:$A$1000,0)))</f>
        <v/>
      </c>
      <c r="F62" t="str">
        <f>IF($A62="","",INDEX('Product Master'!$P$7:$P$1000,MATCH($A62,'Product Master'!$A$7:$A$1000,0)))</f>
        <v/>
      </c>
      <c r="I62" t="str">
        <f>IFERROR(INDEX('Product Master'!$A$7:$A$1000,_xlfn.AGGREGATE(15,6,(ROW('Product Master'!$A$7:$A$1000)-ROW('Product Master'!$A$7)+1)/(('Product Master'!$A$7:$A$1000&lt;&gt;"")*('Product Master'!$P$7:$P$1000="Out of Stock")),ROWS($I$12:I62))),"")</f>
        <v/>
      </c>
      <c r="J62" t="str">
        <f>IF($I62="","",INDEX('Product Master'!$B$7:$B$1000,MATCH($I62,'Product Master'!$A$7:$A$1000,0)))</f>
        <v/>
      </c>
      <c r="K62" t="str">
        <f>IF($I62="","",INDEX('Product Master'!$C$7:$C$1000,MATCH($I62,'Product Master'!$A$7:$A$1000,0)))</f>
        <v/>
      </c>
      <c r="L62" t="str">
        <f>IF($I62="","",INDEX('Product Master'!$M$7:$M$1000,MATCH($I62,'Product Master'!$A$7:$A$1000,0)))</f>
        <v/>
      </c>
      <c r="M62" t="str">
        <f>IF($I62="","",INDEX('Product Master'!$N$7:$N$1000,MATCH($I62,'Product Master'!$A$7:$A$1000,0)))</f>
        <v/>
      </c>
    </row>
    <row r="63" spans="1:13" x14ac:dyDescent="0.3">
      <c r="A63" t="str">
        <f>IFERROR(INDEX('Product Master'!$A$7:$A$1000,_xlfn.AGGREGATE(15,6,(ROW('Product Master'!$A$7:$A$1000)-ROW('Product Master'!$A$7)+1)/(('Product Master'!$A$7:$A$1000&lt;&gt;"")*('Product Master'!$P$7:$P$1000="Low Stock")),ROWS($A$12:A63))),"")</f>
        <v/>
      </c>
      <c r="B63" t="str">
        <f>IF($A63="","",INDEX('Product Master'!$B$7:$B$1000,MATCH($A63,'Product Master'!$A$7:$A$1000,0)))</f>
        <v/>
      </c>
      <c r="C63" t="str">
        <f>IF($A63="","",INDEX('Product Master'!$C$7:$C$1000,MATCH($A63,'Product Master'!$A$7:$A$1000,0)))</f>
        <v/>
      </c>
      <c r="D63" t="str">
        <f>IF($A63="","",INDEX('Product Master'!$M$7:$M$1000,MATCH($A63,'Product Master'!$A$7:$A$1000,0)))</f>
        <v/>
      </c>
      <c r="E63" t="str">
        <f>IF($A63="","",INDEX('Product Master'!$N$7:$N$1000,MATCH($A63,'Product Master'!$A$7:$A$1000,0)))</f>
        <v/>
      </c>
      <c r="F63" t="str">
        <f>IF($A63="","",INDEX('Product Master'!$P$7:$P$1000,MATCH($A63,'Product Master'!$A$7:$A$1000,0)))</f>
        <v/>
      </c>
      <c r="I63" t="str">
        <f>IFERROR(INDEX('Product Master'!$A$7:$A$1000,_xlfn.AGGREGATE(15,6,(ROW('Product Master'!$A$7:$A$1000)-ROW('Product Master'!$A$7)+1)/(('Product Master'!$A$7:$A$1000&lt;&gt;"")*('Product Master'!$P$7:$P$1000="Out of Stock")),ROWS($I$12:I63))),"")</f>
        <v/>
      </c>
      <c r="J63" t="str">
        <f>IF($I63="","",INDEX('Product Master'!$B$7:$B$1000,MATCH($I63,'Product Master'!$A$7:$A$1000,0)))</f>
        <v/>
      </c>
      <c r="K63" t="str">
        <f>IF($I63="","",INDEX('Product Master'!$C$7:$C$1000,MATCH($I63,'Product Master'!$A$7:$A$1000,0)))</f>
        <v/>
      </c>
      <c r="L63" t="str">
        <f>IF($I63="","",INDEX('Product Master'!$M$7:$M$1000,MATCH($I63,'Product Master'!$A$7:$A$1000,0)))</f>
        <v/>
      </c>
      <c r="M63" t="str">
        <f>IF($I63="","",INDEX('Product Master'!$N$7:$N$1000,MATCH($I63,'Product Master'!$A$7:$A$1000,0)))</f>
        <v/>
      </c>
    </row>
    <row r="64" spans="1:13" x14ac:dyDescent="0.3">
      <c r="A64" t="str">
        <f>IFERROR(INDEX('Product Master'!$A$7:$A$1000,_xlfn.AGGREGATE(15,6,(ROW('Product Master'!$A$7:$A$1000)-ROW('Product Master'!$A$7)+1)/(('Product Master'!$A$7:$A$1000&lt;&gt;"")*('Product Master'!$P$7:$P$1000="Low Stock")),ROWS($A$12:A64))),"")</f>
        <v/>
      </c>
      <c r="B64" t="str">
        <f>IF($A64="","",INDEX('Product Master'!$B$7:$B$1000,MATCH($A64,'Product Master'!$A$7:$A$1000,0)))</f>
        <v/>
      </c>
      <c r="C64" t="str">
        <f>IF($A64="","",INDEX('Product Master'!$C$7:$C$1000,MATCH($A64,'Product Master'!$A$7:$A$1000,0)))</f>
        <v/>
      </c>
      <c r="D64" t="str">
        <f>IF($A64="","",INDEX('Product Master'!$M$7:$M$1000,MATCH($A64,'Product Master'!$A$7:$A$1000,0)))</f>
        <v/>
      </c>
      <c r="E64" t="str">
        <f>IF($A64="","",INDEX('Product Master'!$N$7:$N$1000,MATCH($A64,'Product Master'!$A$7:$A$1000,0)))</f>
        <v/>
      </c>
      <c r="F64" t="str">
        <f>IF($A64="","",INDEX('Product Master'!$P$7:$P$1000,MATCH($A64,'Product Master'!$A$7:$A$1000,0)))</f>
        <v/>
      </c>
      <c r="I64" t="str">
        <f>IFERROR(INDEX('Product Master'!$A$7:$A$1000,_xlfn.AGGREGATE(15,6,(ROW('Product Master'!$A$7:$A$1000)-ROW('Product Master'!$A$7)+1)/(('Product Master'!$A$7:$A$1000&lt;&gt;"")*('Product Master'!$P$7:$P$1000="Out of Stock")),ROWS($I$12:I64))),"")</f>
        <v/>
      </c>
      <c r="J64" t="str">
        <f>IF($I64="","",INDEX('Product Master'!$B$7:$B$1000,MATCH($I64,'Product Master'!$A$7:$A$1000,0)))</f>
        <v/>
      </c>
      <c r="K64" t="str">
        <f>IF($I64="","",INDEX('Product Master'!$C$7:$C$1000,MATCH($I64,'Product Master'!$A$7:$A$1000,0)))</f>
        <v/>
      </c>
      <c r="L64" t="str">
        <f>IF($I64="","",INDEX('Product Master'!$M$7:$M$1000,MATCH($I64,'Product Master'!$A$7:$A$1000,0)))</f>
        <v/>
      </c>
      <c r="M64" t="str">
        <f>IF($I64="","",INDEX('Product Master'!$N$7:$N$1000,MATCH($I64,'Product Master'!$A$7:$A$1000,0)))</f>
        <v/>
      </c>
    </row>
    <row r="65" spans="1:13" x14ac:dyDescent="0.3">
      <c r="A65" t="str">
        <f>IFERROR(INDEX('Product Master'!$A$7:$A$1000,_xlfn.AGGREGATE(15,6,(ROW('Product Master'!$A$7:$A$1000)-ROW('Product Master'!$A$7)+1)/(('Product Master'!$A$7:$A$1000&lt;&gt;"")*('Product Master'!$P$7:$P$1000="Low Stock")),ROWS($A$12:A65))),"")</f>
        <v/>
      </c>
      <c r="B65" t="str">
        <f>IF($A65="","",INDEX('Product Master'!$B$7:$B$1000,MATCH($A65,'Product Master'!$A$7:$A$1000,0)))</f>
        <v/>
      </c>
      <c r="C65" t="str">
        <f>IF($A65="","",INDEX('Product Master'!$C$7:$C$1000,MATCH($A65,'Product Master'!$A$7:$A$1000,0)))</f>
        <v/>
      </c>
      <c r="D65" t="str">
        <f>IF($A65="","",INDEX('Product Master'!$M$7:$M$1000,MATCH($A65,'Product Master'!$A$7:$A$1000,0)))</f>
        <v/>
      </c>
      <c r="E65" t="str">
        <f>IF($A65="","",INDEX('Product Master'!$N$7:$N$1000,MATCH($A65,'Product Master'!$A$7:$A$1000,0)))</f>
        <v/>
      </c>
      <c r="F65" t="str">
        <f>IF($A65="","",INDEX('Product Master'!$P$7:$P$1000,MATCH($A65,'Product Master'!$A$7:$A$1000,0)))</f>
        <v/>
      </c>
      <c r="I65" t="str">
        <f>IFERROR(INDEX('Product Master'!$A$7:$A$1000,_xlfn.AGGREGATE(15,6,(ROW('Product Master'!$A$7:$A$1000)-ROW('Product Master'!$A$7)+1)/(('Product Master'!$A$7:$A$1000&lt;&gt;"")*('Product Master'!$P$7:$P$1000="Out of Stock")),ROWS($I$12:I65))),"")</f>
        <v/>
      </c>
      <c r="J65" t="str">
        <f>IF($I65="","",INDEX('Product Master'!$B$7:$B$1000,MATCH($I65,'Product Master'!$A$7:$A$1000,0)))</f>
        <v/>
      </c>
      <c r="K65" t="str">
        <f>IF($I65="","",INDEX('Product Master'!$C$7:$C$1000,MATCH($I65,'Product Master'!$A$7:$A$1000,0)))</f>
        <v/>
      </c>
      <c r="L65" t="str">
        <f>IF($I65="","",INDEX('Product Master'!$M$7:$M$1000,MATCH($I65,'Product Master'!$A$7:$A$1000,0)))</f>
        <v/>
      </c>
      <c r="M65" t="str">
        <f>IF($I65="","",INDEX('Product Master'!$N$7:$N$1000,MATCH($I65,'Product Master'!$A$7:$A$1000,0)))</f>
        <v/>
      </c>
    </row>
    <row r="66" spans="1:13" x14ac:dyDescent="0.3">
      <c r="A66" t="str">
        <f>IFERROR(INDEX('Product Master'!$A$7:$A$1000,_xlfn.AGGREGATE(15,6,(ROW('Product Master'!$A$7:$A$1000)-ROW('Product Master'!$A$7)+1)/(('Product Master'!$A$7:$A$1000&lt;&gt;"")*('Product Master'!$P$7:$P$1000="Low Stock")),ROWS($A$12:A66))),"")</f>
        <v/>
      </c>
      <c r="B66" t="str">
        <f>IF($A66="","",INDEX('Product Master'!$B$7:$B$1000,MATCH($A66,'Product Master'!$A$7:$A$1000,0)))</f>
        <v/>
      </c>
      <c r="C66" t="str">
        <f>IF($A66="","",INDEX('Product Master'!$C$7:$C$1000,MATCH($A66,'Product Master'!$A$7:$A$1000,0)))</f>
        <v/>
      </c>
      <c r="D66" t="str">
        <f>IF($A66="","",INDEX('Product Master'!$M$7:$M$1000,MATCH($A66,'Product Master'!$A$7:$A$1000,0)))</f>
        <v/>
      </c>
      <c r="E66" t="str">
        <f>IF($A66="","",INDEX('Product Master'!$N$7:$N$1000,MATCH($A66,'Product Master'!$A$7:$A$1000,0)))</f>
        <v/>
      </c>
      <c r="F66" t="str">
        <f>IF($A66="","",INDEX('Product Master'!$P$7:$P$1000,MATCH($A66,'Product Master'!$A$7:$A$1000,0)))</f>
        <v/>
      </c>
      <c r="I66" t="str">
        <f>IFERROR(INDEX('Product Master'!$A$7:$A$1000,_xlfn.AGGREGATE(15,6,(ROW('Product Master'!$A$7:$A$1000)-ROW('Product Master'!$A$7)+1)/(('Product Master'!$A$7:$A$1000&lt;&gt;"")*('Product Master'!$P$7:$P$1000="Out of Stock")),ROWS($I$12:I66))),"")</f>
        <v/>
      </c>
      <c r="J66" t="str">
        <f>IF($I66="","",INDEX('Product Master'!$B$7:$B$1000,MATCH($I66,'Product Master'!$A$7:$A$1000,0)))</f>
        <v/>
      </c>
      <c r="K66" t="str">
        <f>IF($I66="","",INDEX('Product Master'!$C$7:$C$1000,MATCH($I66,'Product Master'!$A$7:$A$1000,0)))</f>
        <v/>
      </c>
      <c r="L66" t="str">
        <f>IF($I66="","",INDEX('Product Master'!$M$7:$M$1000,MATCH($I66,'Product Master'!$A$7:$A$1000,0)))</f>
        <v/>
      </c>
      <c r="M66" t="str">
        <f>IF($I66="","",INDEX('Product Master'!$N$7:$N$1000,MATCH($I66,'Product Master'!$A$7:$A$1000,0)))</f>
        <v/>
      </c>
    </row>
    <row r="67" spans="1:13" x14ac:dyDescent="0.3">
      <c r="A67" t="str">
        <f>IFERROR(INDEX('Product Master'!$A$7:$A$1000,_xlfn.AGGREGATE(15,6,(ROW('Product Master'!$A$7:$A$1000)-ROW('Product Master'!$A$7)+1)/(('Product Master'!$A$7:$A$1000&lt;&gt;"")*('Product Master'!$P$7:$P$1000="Low Stock")),ROWS($A$12:A67))),"")</f>
        <v/>
      </c>
      <c r="B67" t="str">
        <f>IF($A67="","",INDEX('Product Master'!$B$7:$B$1000,MATCH($A67,'Product Master'!$A$7:$A$1000,0)))</f>
        <v/>
      </c>
      <c r="C67" t="str">
        <f>IF($A67="","",INDEX('Product Master'!$C$7:$C$1000,MATCH($A67,'Product Master'!$A$7:$A$1000,0)))</f>
        <v/>
      </c>
      <c r="D67" t="str">
        <f>IF($A67="","",INDEX('Product Master'!$M$7:$M$1000,MATCH($A67,'Product Master'!$A$7:$A$1000,0)))</f>
        <v/>
      </c>
      <c r="E67" t="str">
        <f>IF($A67="","",INDEX('Product Master'!$N$7:$N$1000,MATCH($A67,'Product Master'!$A$7:$A$1000,0)))</f>
        <v/>
      </c>
      <c r="F67" t="str">
        <f>IF($A67="","",INDEX('Product Master'!$P$7:$P$1000,MATCH($A67,'Product Master'!$A$7:$A$1000,0)))</f>
        <v/>
      </c>
      <c r="I67" t="str">
        <f>IFERROR(INDEX('Product Master'!$A$7:$A$1000,_xlfn.AGGREGATE(15,6,(ROW('Product Master'!$A$7:$A$1000)-ROW('Product Master'!$A$7)+1)/(('Product Master'!$A$7:$A$1000&lt;&gt;"")*('Product Master'!$P$7:$P$1000="Out of Stock")),ROWS($I$12:I67))),"")</f>
        <v/>
      </c>
      <c r="J67" t="str">
        <f>IF($I67="","",INDEX('Product Master'!$B$7:$B$1000,MATCH($I67,'Product Master'!$A$7:$A$1000,0)))</f>
        <v/>
      </c>
      <c r="K67" t="str">
        <f>IF($I67="","",INDEX('Product Master'!$C$7:$C$1000,MATCH($I67,'Product Master'!$A$7:$A$1000,0)))</f>
        <v/>
      </c>
      <c r="L67" t="str">
        <f>IF($I67="","",INDEX('Product Master'!$M$7:$M$1000,MATCH($I67,'Product Master'!$A$7:$A$1000,0)))</f>
        <v/>
      </c>
      <c r="M67" t="str">
        <f>IF($I67="","",INDEX('Product Master'!$N$7:$N$1000,MATCH($I67,'Product Master'!$A$7:$A$1000,0)))</f>
        <v/>
      </c>
    </row>
    <row r="68" spans="1:13" x14ac:dyDescent="0.3">
      <c r="A68" t="str">
        <f>IFERROR(INDEX('Product Master'!$A$7:$A$1000,_xlfn.AGGREGATE(15,6,(ROW('Product Master'!$A$7:$A$1000)-ROW('Product Master'!$A$7)+1)/(('Product Master'!$A$7:$A$1000&lt;&gt;"")*('Product Master'!$P$7:$P$1000="Low Stock")),ROWS($A$12:A68))),"")</f>
        <v/>
      </c>
      <c r="B68" t="str">
        <f>IF($A68="","",INDEX('Product Master'!$B$7:$B$1000,MATCH($A68,'Product Master'!$A$7:$A$1000,0)))</f>
        <v/>
      </c>
      <c r="C68" t="str">
        <f>IF($A68="","",INDEX('Product Master'!$C$7:$C$1000,MATCH($A68,'Product Master'!$A$7:$A$1000,0)))</f>
        <v/>
      </c>
      <c r="D68" t="str">
        <f>IF($A68="","",INDEX('Product Master'!$M$7:$M$1000,MATCH($A68,'Product Master'!$A$7:$A$1000,0)))</f>
        <v/>
      </c>
      <c r="E68" t="str">
        <f>IF($A68="","",INDEX('Product Master'!$N$7:$N$1000,MATCH($A68,'Product Master'!$A$7:$A$1000,0)))</f>
        <v/>
      </c>
      <c r="F68" t="str">
        <f>IF($A68="","",INDEX('Product Master'!$P$7:$P$1000,MATCH($A68,'Product Master'!$A$7:$A$1000,0)))</f>
        <v/>
      </c>
      <c r="I68" t="str">
        <f>IFERROR(INDEX('Product Master'!$A$7:$A$1000,_xlfn.AGGREGATE(15,6,(ROW('Product Master'!$A$7:$A$1000)-ROW('Product Master'!$A$7)+1)/(('Product Master'!$A$7:$A$1000&lt;&gt;"")*('Product Master'!$P$7:$P$1000="Out of Stock")),ROWS($I$12:I68))),"")</f>
        <v/>
      </c>
      <c r="J68" t="str">
        <f>IF($I68="","",INDEX('Product Master'!$B$7:$B$1000,MATCH($I68,'Product Master'!$A$7:$A$1000,0)))</f>
        <v/>
      </c>
      <c r="K68" t="str">
        <f>IF($I68="","",INDEX('Product Master'!$C$7:$C$1000,MATCH($I68,'Product Master'!$A$7:$A$1000,0)))</f>
        <v/>
      </c>
      <c r="L68" t="str">
        <f>IF($I68="","",INDEX('Product Master'!$M$7:$M$1000,MATCH($I68,'Product Master'!$A$7:$A$1000,0)))</f>
        <v/>
      </c>
      <c r="M68" t="str">
        <f>IF($I68="","",INDEX('Product Master'!$N$7:$N$1000,MATCH($I68,'Product Master'!$A$7:$A$1000,0)))</f>
        <v/>
      </c>
    </row>
    <row r="69" spans="1:13" x14ac:dyDescent="0.3">
      <c r="A69" t="str">
        <f>IFERROR(INDEX('Product Master'!$A$7:$A$1000,_xlfn.AGGREGATE(15,6,(ROW('Product Master'!$A$7:$A$1000)-ROW('Product Master'!$A$7)+1)/(('Product Master'!$A$7:$A$1000&lt;&gt;"")*('Product Master'!$P$7:$P$1000="Low Stock")),ROWS($A$12:A69))),"")</f>
        <v/>
      </c>
      <c r="B69" t="str">
        <f>IF($A69="","",INDEX('Product Master'!$B$7:$B$1000,MATCH($A69,'Product Master'!$A$7:$A$1000,0)))</f>
        <v/>
      </c>
      <c r="C69" t="str">
        <f>IF($A69="","",INDEX('Product Master'!$C$7:$C$1000,MATCH($A69,'Product Master'!$A$7:$A$1000,0)))</f>
        <v/>
      </c>
      <c r="D69" t="str">
        <f>IF($A69="","",INDEX('Product Master'!$M$7:$M$1000,MATCH($A69,'Product Master'!$A$7:$A$1000,0)))</f>
        <v/>
      </c>
      <c r="E69" t="str">
        <f>IF($A69="","",INDEX('Product Master'!$N$7:$N$1000,MATCH($A69,'Product Master'!$A$7:$A$1000,0)))</f>
        <v/>
      </c>
      <c r="F69" t="str">
        <f>IF($A69="","",INDEX('Product Master'!$P$7:$P$1000,MATCH($A69,'Product Master'!$A$7:$A$1000,0)))</f>
        <v/>
      </c>
      <c r="I69" t="str">
        <f>IFERROR(INDEX('Product Master'!$A$7:$A$1000,_xlfn.AGGREGATE(15,6,(ROW('Product Master'!$A$7:$A$1000)-ROW('Product Master'!$A$7)+1)/(('Product Master'!$A$7:$A$1000&lt;&gt;"")*('Product Master'!$P$7:$P$1000="Out of Stock")),ROWS($I$12:I69))),"")</f>
        <v/>
      </c>
      <c r="J69" t="str">
        <f>IF($I69="","",INDEX('Product Master'!$B$7:$B$1000,MATCH($I69,'Product Master'!$A$7:$A$1000,0)))</f>
        <v/>
      </c>
      <c r="K69" t="str">
        <f>IF($I69="","",INDEX('Product Master'!$C$7:$C$1000,MATCH($I69,'Product Master'!$A$7:$A$1000,0)))</f>
        <v/>
      </c>
      <c r="L69" t="str">
        <f>IF($I69="","",INDEX('Product Master'!$M$7:$M$1000,MATCH($I69,'Product Master'!$A$7:$A$1000,0)))</f>
        <v/>
      </c>
      <c r="M69" t="str">
        <f>IF($I69="","",INDEX('Product Master'!$N$7:$N$1000,MATCH($I69,'Product Master'!$A$7:$A$1000,0)))</f>
        <v/>
      </c>
    </row>
    <row r="70" spans="1:13" x14ac:dyDescent="0.3">
      <c r="A70" t="str">
        <f>IFERROR(INDEX('Product Master'!$A$7:$A$1000,_xlfn.AGGREGATE(15,6,(ROW('Product Master'!$A$7:$A$1000)-ROW('Product Master'!$A$7)+1)/(('Product Master'!$A$7:$A$1000&lt;&gt;"")*('Product Master'!$P$7:$P$1000="Low Stock")),ROWS($A$12:A70))),"")</f>
        <v/>
      </c>
      <c r="B70" t="str">
        <f>IF($A70="","",INDEX('Product Master'!$B$7:$B$1000,MATCH($A70,'Product Master'!$A$7:$A$1000,0)))</f>
        <v/>
      </c>
      <c r="C70" t="str">
        <f>IF($A70="","",INDEX('Product Master'!$C$7:$C$1000,MATCH($A70,'Product Master'!$A$7:$A$1000,0)))</f>
        <v/>
      </c>
      <c r="D70" t="str">
        <f>IF($A70="","",INDEX('Product Master'!$M$7:$M$1000,MATCH($A70,'Product Master'!$A$7:$A$1000,0)))</f>
        <v/>
      </c>
      <c r="E70" t="str">
        <f>IF($A70="","",INDEX('Product Master'!$N$7:$N$1000,MATCH($A70,'Product Master'!$A$7:$A$1000,0)))</f>
        <v/>
      </c>
      <c r="F70" t="str">
        <f>IF($A70="","",INDEX('Product Master'!$P$7:$P$1000,MATCH($A70,'Product Master'!$A$7:$A$1000,0)))</f>
        <v/>
      </c>
      <c r="I70" t="str">
        <f>IFERROR(INDEX('Product Master'!$A$7:$A$1000,_xlfn.AGGREGATE(15,6,(ROW('Product Master'!$A$7:$A$1000)-ROW('Product Master'!$A$7)+1)/(('Product Master'!$A$7:$A$1000&lt;&gt;"")*('Product Master'!$P$7:$P$1000="Out of Stock")),ROWS($I$12:I70))),"")</f>
        <v/>
      </c>
      <c r="J70" t="str">
        <f>IF($I70="","",INDEX('Product Master'!$B$7:$B$1000,MATCH($I70,'Product Master'!$A$7:$A$1000,0)))</f>
        <v/>
      </c>
      <c r="K70" t="str">
        <f>IF($I70="","",INDEX('Product Master'!$C$7:$C$1000,MATCH($I70,'Product Master'!$A$7:$A$1000,0)))</f>
        <v/>
      </c>
      <c r="L70" t="str">
        <f>IF($I70="","",INDEX('Product Master'!$M$7:$M$1000,MATCH($I70,'Product Master'!$A$7:$A$1000,0)))</f>
        <v/>
      </c>
      <c r="M70" t="str">
        <f>IF($I70="","",INDEX('Product Master'!$N$7:$N$1000,MATCH($I70,'Product Master'!$A$7:$A$1000,0)))</f>
        <v/>
      </c>
    </row>
    <row r="71" spans="1:13" x14ac:dyDescent="0.3">
      <c r="A71" t="str">
        <f>IFERROR(INDEX('Product Master'!$A$7:$A$1000,_xlfn.AGGREGATE(15,6,(ROW('Product Master'!$A$7:$A$1000)-ROW('Product Master'!$A$7)+1)/(('Product Master'!$A$7:$A$1000&lt;&gt;"")*('Product Master'!$P$7:$P$1000="Low Stock")),ROWS($A$12:A71))),"")</f>
        <v/>
      </c>
      <c r="B71" t="str">
        <f>IF($A71="","",INDEX('Product Master'!$B$7:$B$1000,MATCH($A71,'Product Master'!$A$7:$A$1000,0)))</f>
        <v/>
      </c>
      <c r="C71" t="str">
        <f>IF($A71="","",INDEX('Product Master'!$C$7:$C$1000,MATCH($A71,'Product Master'!$A$7:$A$1000,0)))</f>
        <v/>
      </c>
      <c r="D71" t="str">
        <f>IF($A71="","",INDEX('Product Master'!$M$7:$M$1000,MATCH($A71,'Product Master'!$A$7:$A$1000,0)))</f>
        <v/>
      </c>
      <c r="E71" t="str">
        <f>IF($A71="","",INDEX('Product Master'!$N$7:$N$1000,MATCH($A71,'Product Master'!$A$7:$A$1000,0)))</f>
        <v/>
      </c>
      <c r="F71" t="str">
        <f>IF($A71="","",INDEX('Product Master'!$P$7:$P$1000,MATCH($A71,'Product Master'!$A$7:$A$1000,0)))</f>
        <v/>
      </c>
      <c r="I71" t="str">
        <f>IFERROR(INDEX('Product Master'!$A$7:$A$1000,_xlfn.AGGREGATE(15,6,(ROW('Product Master'!$A$7:$A$1000)-ROW('Product Master'!$A$7)+1)/(('Product Master'!$A$7:$A$1000&lt;&gt;"")*('Product Master'!$P$7:$P$1000="Out of Stock")),ROWS($I$12:I71))),"")</f>
        <v/>
      </c>
      <c r="J71" t="str">
        <f>IF($I71="","",INDEX('Product Master'!$B$7:$B$1000,MATCH($I71,'Product Master'!$A$7:$A$1000,0)))</f>
        <v/>
      </c>
      <c r="K71" t="str">
        <f>IF($I71="","",INDEX('Product Master'!$C$7:$C$1000,MATCH($I71,'Product Master'!$A$7:$A$1000,0)))</f>
        <v/>
      </c>
      <c r="L71" t="str">
        <f>IF($I71="","",INDEX('Product Master'!$M$7:$M$1000,MATCH($I71,'Product Master'!$A$7:$A$1000,0)))</f>
        <v/>
      </c>
      <c r="M71" t="str">
        <f>IF($I71="","",INDEX('Product Master'!$N$7:$N$1000,MATCH($I71,'Product Master'!$A$7:$A$1000,0)))</f>
        <v/>
      </c>
    </row>
    <row r="72" spans="1:13" x14ac:dyDescent="0.3">
      <c r="A72" t="str">
        <f>IFERROR(INDEX('Product Master'!$A$7:$A$1000,_xlfn.AGGREGATE(15,6,(ROW('Product Master'!$A$7:$A$1000)-ROW('Product Master'!$A$7)+1)/(('Product Master'!$A$7:$A$1000&lt;&gt;"")*('Product Master'!$P$7:$P$1000="Low Stock")),ROWS($A$12:A72))),"")</f>
        <v/>
      </c>
      <c r="B72" t="str">
        <f>IF($A72="","",INDEX('Product Master'!$B$7:$B$1000,MATCH($A72,'Product Master'!$A$7:$A$1000,0)))</f>
        <v/>
      </c>
      <c r="C72" t="str">
        <f>IF($A72="","",INDEX('Product Master'!$C$7:$C$1000,MATCH($A72,'Product Master'!$A$7:$A$1000,0)))</f>
        <v/>
      </c>
      <c r="D72" t="str">
        <f>IF($A72="","",INDEX('Product Master'!$M$7:$M$1000,MATCH($A72,'Product Master'!$A$7:$A$1000,0)))</f>
        <v/>
      </c>
      <c r="E72" t="str">
        <f>IF($A72="","",INDEX('Product Master'!$N$7:$N$1000,MATCH($A72,'Product Master'!$A$7:$A$1000,0)))</f>
        <v/>
      </c>
      <c r="F72" t="str">
        <f>IF($A72="","",INDEX('Product Master'!$P$7:$P$1000,MATCH($A72,'Product Master'!$A$7:$A$1000,0)))</f>
        <v/>
      </c>
      <c r="I72" t="str">
        <f>IFERROR(INDEX('Product Master'!$A$7:$A$1000,_xlfn.AGGREGATE(15,6,(ROW('Product Master'!$A$7:$A$1000)-ROW('Product Master'!$A$7)+1)/(('Product Master'!$A$7:$A$1000&lt;&gt;"")*('Product Master'!$P$7:$P$1000="Out of Stock")),ROWS($I$12:I72))),"")</f>
        <v/>
      </c>
      <c r="J72" t="str">
        <f>IF($I72="","",INDEX('Product Master'!$B$7:$B$1000,MATCH($I72,'Product Master'!$A$7:$A$1000,0)))</f>
        <v/>
      </c>
      <c r="K72" t="str">
        <f>IF($I72="","",INDEX('Product Master'!$C$7:$C$1000,MATCH($I72,'Product Master'!$A$7:$A$1000,0)))</f>
        <v/>
      </c>
      <c r="L72" t="str">
        <f>IF($I72="","",INDEX('Product Master'!$M$7:$M$1000,MATCH($I72,'Product Master'!$A$7:$A$1000,0)))</f>
        <v/>
      </c>
      <c r="M72" t="str">
        <f>IF($I72="","",INDEX('Product Master'!$N$7:$N$1000,MATCH($I72,'Product Master'!$A$7:$A$1000,0)))</f>
        <v/>
      </c>
    </row>
    <row r="73" spans="1:13" x14ac:dyDescent="0.3">
      <c r="A73" t="str">
        <f>IFERROR(INDEX('Product Master'!$A$7:$A$1000,_xlfn.AGGREGATE(15,6,(ROW('Product Master'!$A$7:$A$1000)-ROW('Product Master'!$A$7)+1)/(('Product Master'!$A$7:$A$1000&lt;&gt;"")*('Product Master'!$P$7:$P$1000="Low Stock")),ROWS($A$12:A73))),"")</f>
        <v/>
      </c>
      <c r="B73" t="str">
        <f>IF($A73="","",INDEX('Product Master'!$B$7:$B$1000,MATCH($A73,'Product Master'!$A$7:$A$1000,0)))</f>
        <v/>
      </c>
      <c r="C73" t="str">
        <f>IF($A73="","",INDEX('Product Master'!$C$7:$C$1000,MATCH($A73,'Product Master'!$A$7:$A$1000,0)))</f>
        <v/>
      </c>
      <c r="D73" t="str">
        <f>IF($A73="","",INDEX('Product Master'!$M$7:$M$1000,MATCH($A73,'Product Master'!$A$7:$A$1000,0)))</f>
        <v/>
      </c>
      <c r="E73" t="str">
        <f>IF($A73="","",INDEX('Product Master'!$N$7:$N$1000,MATCH($A73,'Product Master'!$A$7:$A$1000,0)))</f>
        <v/>
      </c>
      <c r="F73" t="str">
        <f>IF($A73="","",INDEX('Product Master'!$P$7:$P$1000,MATCH($A73,'Product Master'!$A$7:$A$1000,0)))</f>
        <v/>
      </c>
      <c r="I73" t="str">
        <f>IFERROR(INDEX('Product Master'!$A$7:$A$1000,_xlfn.AGGREGATE(15,6,(ROW('Product Master'!$A$7:$A$1000)-ROW('Product Master'!$A$7)+1)/(('Product Master'!$A$7:$A$1000&lt;&gt;"")*('Product Master'!$P$7:$P$1000="Out of Stock")),ROWS($I$12:I73))),"")</f>
        <v/>
      </c>
      <c r="J73" t="str">
        <f>IF($I73="","",INDEX('Product Master'!$B$7:$B$1000,MATCH($I73,'Product Master'!$A$7:$A$1000,0)))</f>
        <v/>
      </c>
      <c r="K73" t="str">
        <f>IF($I73="","",INDEX('Product Master'!$C$7:$C$1000,MATCH($I73,'Product Master'!$A$7:$A$1000,0)))</f>
        <v/>
      </c>
      <c r="L73" t="str">
        <f>IF($I73="","",INDEX('Product Master'!$M$7:$M$1000,MATCH($I73,'Product Master'!$A$7:$A$1000,0)))</f>
        <v/>
      </c>
      <c r="M73" t="str">
        <f>IF($I73="","",INDEX('Product Master'!$N$7:$N$1000,MATCH($I73,'Product Master'!$A$7:$A$1000,0)))</f>
        <v/>
      </c>
    </row>
    <row r="74" spans="1:13" x14ac:dyDescent="0.3">
      <c r="A74" t="str">
        <f>IFERROR(INDEX('Product Master'!$A$7:$A$1000,_xlfn.AGGREGATE(15,6,(ROW('Product Master'!$A$7:$A$1000)-ROW('Product Master'!$A$7)+1)/(('Product Master'!$A$7:$A$1000&lt;&gt;"")*('Product Master'!$P$7:$P$1000="Low Stock")),ROWS($A$12:A74))),"")</f>
        <v/>
      </c>
      <c r="B74" t="str">
        <f>IF($A74="","",INDEX('Product Master'!$B$7:$B$1000,MATCH($A74,'Product Master'!$A$7:$A$1000,0)))</f>
        <v/>
      </c>
      <c r="C74" t="str">
        <f>IF($A74="","",INDEX('Product Master'!$C$7:$C$1000,MATCH($A74,'Product Master'!$A$7:$A$1000,0)))</f>
        <v/>
      </c>
      <c r="D74" t="str">
        <f>IF($A74="","",INDEX('Product Master'!$M$7:$M$1000,MATCH($A74,'Product Master'!$A$7:$A$1000,0)))</f>
        <v/>
      </c>
      <c r="E74" t="str">
        <f>IF($A74="","",INDEX('Product Master'!$N$7:$N$1000,MATCH($A74,'Product Master'!$A$7:$A$1000,0)))</f>
        <v/>
      </c>
      <c r="F74" t="str">
        <f>IF($A74="","",INDEX('Product Master'!$P$7:$P$1000,MATCH($A74,'Product Master'!$A$7:$A$1000,0)))</f>
        <v/>
      </c>
      <c r="I74" t="str">
        <f>IFERROR(INDEX('Product Master'!$A$7:$A$1000,_xlfn.AGGREGATE(15,6,(ROW('Product Master'!$A$7:$A$1000)-ROW('Product Master'!$A$7)+1)/(('Product Master'!$A$7:$A$1000&lt;&gt;"")*('Product Master'!$P$7:$P$1000="Out of Stock")),ROWS($I$12:I74))),"")</f>
        <v/>
      </c>
      <c r="J74" t="str">
        <f>IF($I74="","",INDEX('Product Master'!$B$7:$B$1000,MATCH($I74,'Product Master'!$A$7:$A$1000,0)))</f>
        <v/>
      </c>
      <c r="K74" t="str">
        <f>IF($I74="","",INDEX('Product Master'!$C$7:$C$1000,MATCH($I74,'Product Master'!$A$7:$A$1000,0)))</f>
        <v/>
      </c>
      <c r="L74" t="str">
        <f>IF($I74="","",INDEX('Product Master'!$M$7:$M$1000,MATCH($I74,'Product Master'!$A$7:$A$1000,0)))</f>
        <v/>
      </c>
      <c r="M74" t="str">
        <f>IF($I74="","",INDEX('Product Master'!$N$7:$N$1000,MATCH($I74,'Product Master'!$A$7:$A$1000,0)))</f>
        <v/>
      </c>
    </row>
    <row r="75" spans="1:13" x14ac:dyDescent="0.3">
      <c r="A75" t="str">
        <f>IFERROR(INDEX('Product Master'!$A$7:$A$1000,_xlfn.AGGREGATE(15,6,(ROW('Product Master'!$A$7:$A$1000)-ROW('Product Master'!$A$7)+1)/(('Product Master'!$A$7:$A$1000&lt;&gt;"")*('Product Master'!$P$7:$P$1000="Low Stock")),ROWS($A$12:A75))),"")</f>
        <v/>
      </c>
      <c r="B75" t="str">
        <f>IF($A75="","",INDEX('Product Master'!$B$7:$B$1000,MATCH($A75,'Product Master'!$A$7:$A$1000,0)))</f>
        <v/>
      </c>
      <c r="C75" t="str">
        <f>IF($A75="","",INDEX('Product Master'!$C$7:$C$1000,MATCH($A75,'Product Master'!$A$7:$A$1000,0)))</f>
        <v/>
      </c>
      <c r="D75" t="str">
        <f>IF($A75="","",INDEX('Product Master'!$M$7:$M$1000,MATCH($A75,'Product Master'!$A$7:$A$1000,0)))</f>
        <v/>
      </c>
      <c r="E75" t="str">
        <f>IF($A75="","",INDEX('Product Master'!$N$7:$N$1000,MATCH($A75,'Product Master'!$A$7:$A$1000,0)))</f>
        <v/>
      </c>
      <c r="F75" t="str">
        <f>IF($A75="","",INDEX('Product Master'!$P$7:$P$1000,MATCH($A75,'Product Master'!$A$7:$A$1000,0)))</f>
        <v/>
      </c>
      <c r="I75" t="str">
        <f>IFERROR(INDEX('Product Master'!$A$7:$A$1000,_xlfn.AGGREGATE(15,6,(ROW('Product Master'!$A$7:$A$1000)-ROW('Product Master'!$A$7)+1)/(('Product Master'!$A$7:$A$1000&lt;&gt;"")*('Product Master'!$P$7:$P$1000="Out of Stock")),ROWS($I$12:I75))),"")</f>
        <v/>
      </c>
      <c r="J75" t="str">
        <f>IF($I75="","",INDEX('Product Master'!$B$7:$B$1000,MATCH($I75,'Product Master'!$A$7:$A$1000,0)))</f>
        <v/>
      </c>
      <c r="K75" t="str">
        <f>IF($I75="","",INDEX('Product Master'!$C$7:$C$1000,MATCH($I75,'Product Master'!$A$7:$A$1000,0)))</f>
        <v/>
      </c>
      <c r="L75" t="str">
        <f>IF($I75="","",INDEX('Product Master'!$M$7:$M$1000,MATCH($I75,'Product Master'!$A$7:$A$1000,0)))</f>
        <v/>
      </c>
      <c r="M75" t="str">
        <f>IF($I75="","",INDEX('Product Master'!$N$7:$N$1000,MATCH($I75,'Product Master'!$A$7:$A$1000,0)))</f>
        <v/>
      </c>
    </row>
    <row r="76" spans="1:13" x14ac:dyDescent="0.3">
      <c r="A76" t="str">
        <f>IFERROR(INDEX('Product Master'!$A$7:$A$1000,_xlfn.AGGREGATE(15,6,(ROW('Product Master'!$A$7:$A$1000)-ROW('Product Master'!$A$7)+1)/(('Product Master'!$A$7:$A$1000&lt;&gt;"")*('Product Master'!$P$7:$P$1000="Low Stock")),ROWS($A$12:A76))),"")</f>
        <v/>
      </c>
      <c r="B76" t="str">
        <f>IF($A76="","",INDEX('Product Master'!$B$7:$B$1000,MATCH($A76,'Product Master'!$A$7:$A$1000,0)))</f>
        <v/>
      </c>
      <c r="C76" t="str">
        <f>IF($A76="","",INDEX('Product Master'!$C$7:$C$1000,MATCH($A76,'Product Master'!$A$7:$A$1000,0)))</f>
        <v/>
      </c>
      <c r="D76" t="str">
        <f>IF($A76="","",INDEX('Product Master'!$M$7:$M$1000,MATCH($A76,'Product Master'!$A$7:$A$1000,0)))</f>
        <v/>
      </c>
      <c r="E76" t="str">
        <f>IF($A76="","",INDEX('Product Master'!$N$7:$N$1000,MATCH($A76,'Product Master'!$A$7:$A$1000,0)))</f>
        <v/>
      </c>
      <c r="F76" t="str">
        <f>IF($A76="","",INDEX('Product Master'!$P$7:$P$1000,MATCH($A76,'Product Master'!$A$7:$A$1000,0)))</f>
        <v/>
      </c>
      <c r="I76" t="str">
        <f>IFERROR(INDEX('Product Master'!$A$7:$A$1000,_xlfn.AGGREGATE(15,6,(ROW('Product Master'!$A$7:$A$1000)-ROW('Product Master'!$A$7)+1)/(('Product Master'!$A$7:$A$1000&lt;&gt;"")*('Product Master'!$P$7:$P$1000="Out of Stock")),ROWS($I$12:I76))),"")</f>
        <v/>
      </c>
      <c r="J76" t="str">
        <f>IF($I76="","",INDEX('Product Master'!$B$7:$B$1000,MATCH($I76,'Product Master'!$A$7:$A$1000,0)))</f>
        <v/>
      </c>
      <c r="K76" t="str">
        <f>IF($I76="","",INDEX('Product Master'!$C$7:$C$1000,MATCH($I76,'Product Master'!$A$7:$A$1000,0)))</f>
        <v/>
      </c>
      <c r="L76" t="str">
        <f>IF($I76="","",INDEX('Product Master'!$M$7:$M$1000,MATCH($I76,'Product Master'!$A$7:$A$1000,0)))</f>
        <v/>
      </c>
      <c r="M76" t="str">
        <f>IF($I76="","",INDEX('Product Master'!$N$7:$N$1000,MATCH($I76,'Product Master'!$A$7:$A$1000,0)))</f>
        <v/>
      </c>
    </row>
    <row r="77" spans="1:13" x14ac:dyDescent="0.3">
      <c r="A77" t="str">
        <f>IFERROR(INDEX('Product Master'!$A$7:$A$1000,_xlfn.AGGREGATE(15,6,(ROW('Product Master'!$A$7:$A$1000)-ROW('Product Master'!$A$7)+1)/(('Product Master'!$A$7:$A$1000&lt;&gt;"")*('Product Master'!$P$7:$P$1000="Low Stock")),ROWS($A$12:A77))),"")</f>
        <v/>
      </c>
      <c r="B77" t="str">
        <f>IF($A77="","",INDEX('Product Master'!$B$7:$B$1000,MATCH($A77,'Product Master'!$A$7:$A$1000,0)))</f>
        <v/>
      </c>
      <c r="C77" t="str">
        <f>IF($A77="","",INDEX('Product Master'!$C$7:$C$1000,MATCH($A77,'Product Master'!$A$7:$A$1000,0)))</f>
        <v/>
      </c>
      <c r="D77" t="str">
        <f>IF($A77="","",INDEX('Product Master'!$M$7:$M$1000,MATCH($A77,'Product Master'!$A$7:$A$1000,0)))</f>
        <v/>
      </c>
      <c r="E77" t="str">
        <f>IF($A77="","",INDEX('Product Master'!$N$7:$N$1000,MATCH($A77,'Product Master'!$A$7:$A$1000,0)))</f>
        <v/>
      </c>
      <c r="F77" t="str">
        <f>IF($A77="","",INDEX('Product Master'!$P$7:$P$1000,MATCH($A77,'Product Master'!$A$7:$A$1000,0)))</f>
        <v/>
      </c>
      <c r="I77" t="str">
        <f>IFERROR(INDEX('Product Master'!$A$7:$A$1000,_xlfn.AGGREGATE(15,6,(ROW('Product Master'!$A$7:$A$1000)-ROW('Product Master'!$A$7)+1)/(('Product Master'!$A$7:$A$1000&lt;&gt;"")*('Product Master'!$P$7:$P$1000="Out of Stock")),ROWS($I$12:I77))),"")</f>
        <v/>
      </c>
      <c r="J77" t="str">
        <f>IF($I77="","",INDEX('Product Master'!$B$7:$B$1000,MATCH($I77,'Product Master'!$A$7:$A$1000,0)))</f>
        <v/>
      </c>
      <c r="K77" t="str">
        <f>IF($I77="","",INDEX('Product Master'!$C$7:$C$1000,MATCH($I77,'Product Master'!$A$7:$A$1000,0)))</f>
        <v/>
      </c>
      <c r="L77" t="str">
        <f>IF($I77="","",INDEX('Product Master'!$M$7:$M$1000,MATCH($I77,'Product Master'!$A$7:$A$1000,0)))</f>
        <v/>
      </c>
      <c r="M77" t="str">
        <f>IF($I77="","",INDEX('Product Master'!$N$7:$N$1000,MATCH($I77,'Product Master'!$A$7:$A$1000,0)))</f>
        <v/>
      </c>
    </row>
    <row r="78" spans="1:13" x14ac:dyDescent="0.3">
      <c r="A78" t="str">
        <f>IFERROR(INDEX('Product Master'!$A$7:$A$1000,_xlfn.AGGREGATE(15,6,(ROW('Product Master'!$A$7:$A$1000)-ROW('Product Master'!$A$7)+1)/(('Product Master'!$A$7:$A$1000&lt;&gt;"")*('Product Master'!$P$7:$P$1000="Low Stock")),ROWS($A$12:A78))),"")</f>
        <v/>
      </c>
      <c r="B78" t="str">
        <f>IF($A78="","",INDEX('Product Master'!$B$7:$B$1000,MATCH($A78,'Product Master'!$A$7:$A$1000,0)))</f>
        <v/>
      </c>
      <c r="C78" t="str">
        <f>IF($A78="","",INDEX('Product Master'!$C$7:$C$1000,MATCH($A78,'Product Master'!$A$7:$A$1000,0)))</f>
        <v/>
      </c>
      <c r="D78" t="str">
        <f>IF($A78="","",INDEX('Product Master'!$M$7:$M$1000,MATCH($A78,'Product Master'!$A$7:$A$1000,0)))</f>
        <v/>
      </c>
      <c r="E78" t="str">
        <f>IF($A78="","",INDEX('Product Master'!$N$7:$N$1000,MATCH($A78,'Product Master'!$A$7:$A$1000,0)))</f>
        <v/>
      </c>
      <c r="F78" t="str">
        <f>IF($A78="","",INDEX('Product Master'!$P$7:$P$1000,MATCH($A78,'Product Master'!$A$7:$A$1000,0)))</f>
        <v/>
      </c>
      <c r="I78" t="str">
        <f>IFERROR(INDEX('Product Master'!$A$7:$A$1000,_xlfn.AGGREGATE(15,6,(ROW('Product Master'!$A$7:$A$1000)-ROW('Product Master'!$A$7)+1)/(('Product Master'!$A$7:$A$1000&lt;&gt;"")*('Product Master'!$P$7:$P$1000="Out of Stock")),ROWS($I$12:I78))),"")</f>
        <v/>
      </c>
      <c r="J78" t="str">
        <f>IF($I78="","",INDEX('Product Master'!$B$7:$B$1000,MATCH($I78,'Product Master'!$A$7:$A$1000,0)))</f>
        <v/>
      </c>
      <c r="K78" t="str">
        <f>IF($I78="","",INDEX('Product Master'!$C$7:$C$1000,MATCH($I78,'Product Master'!$A$7:$A$1000,0)))</f>
        <v/>
      </c>
      <c r="L78" t="str">
        <f>IF($I78="","",INDEX('Product Master'!$M$7:$M$1000,MATCH($I78,'Product Master'!$A$7:$A$1000,0)))</f>
        <v/>
      </c>
      <c r="M78" t="str">
        <f>IF($I78="","",INDEX('Product Master'!$N$7:$N$1000,MATCH($I78,'Product Master'!$A$7:$A$1000,0)))</f>
        <v/>
      </c>
    </row>
    <row r="79" spans="1:13" x14ac:dyDescent="0.3">
      <c r="A79" t="str">
        <f>IFERROR(INDEX('Product Master'!$A$7:$A$1000,_xlfn.AGGREGATE(15,6,(ROW('Product Master'!$A$7:$A$1000)-ROW('Product Master'!$A$7)+1)/(('Product Master'!$A$7:$A$1000&lt;&gt;"")*('Product Master'!$P$7:$P$1000="Low Stock")),ROWS($A$12:A79))),"")</f>
        <v/>
      </c>
      <c r="B79" t="str">
        <f>IF($A79="","",INDEX('Product Master'!$B$7:$B$1000,MATCH($A79,'Product Master'!$A$7:$A$1000,0)))</f>
        <v/>
      </c>
      <c r="C79" t="str">
        <f>IF($A79="","",INDEX('Product Master'!$C$7:$C$1000,MATCH($A79,'Product Master'!$A$7:$A$1000,0)))</f>
        <v/>
      </c>
      <c r="D79" t="str">
        <f>IF($A79="","",INDEX('Product Master'!$M$7:$M$1000,MATCH($A79,'Product Master'!$A$7:$A$1000,0)))</f>
        <v/>
      </c>
      <c r="E79" t="str">
        <f>IF($A79="","",INDEX('Product Master'!$N$7:$N$1000,MATCH($A79,'Product Master'!$A$7:$A$1000,0)))</f>
        <v/>
      </c>
      <c r="F79" t="str">
        <f>IF($A79="","",INDEX('Product Master'!$P$7:$P$1000,MATCH($A79,'Product Master'!$A$7:$A$1000,0)))</f>
        <v/>
      </c>
      <c r="I79" t="str">
        <f>IFERROR(INDEX('Product Master'!$A$7:$A$1000,_xlfn.AGGREGATE(15,6,(ROW('Product Master'!$A$7:$A$1000)-ROW('Product Master'!$A$7)+1)/(('Product Master'!$A$7:$A$1000&lt;&gt;"")*('Product Master'!$P$7:$P$1000="Out of Stock")),ROWS($I$12:I79))),"")</f>
        <v/>
      </c>
      <c r="J79" t="str">
        <f>IF($I79="","",INDEX('Product Master'!$B$7:$B$1000,MATCH($I79,'Product Master'!$A$7:$A$1000,0)))</f>
        <v/>
      </c>
      <c r="K79" t="str">
        <f>IF($I79="","",INDEX('Product Master'!$C$7:$C$1000,MATCH($I79,'Product Master'!$A$7:$A$1000,0)))</f>
        <v/>
      </c>
      <c r="L79" t="str">
        <f>IF($I79="","",INDEX('Product Master'!$M$7:$M$1000,MATCH($I79,'Product Master'!$A$7:$A$1000,0)))</f>
        <v/>
      </c>
      <c r="M79" t="str">
        <f>IF($I79="","",INDEX('Product Master'!$N$7:$N$1000,MATCH($I79,'Product Master'!$A$7:$A$1000,0)))</f>
        <v/>
      </c>
    </row>
    <row r="80" spans="1:13" x14ac:dyDescent="0.3">
      <c r="A80" t="str">
        <f>IFERROR(INDEX('Product Master'!$A$7:$A$1000,_xlfn.AGGREGATE(15,6,(ROW('Product Master'!$A$7:$A$1000)-ROW('Product Master'!$A$7)+1)/(('Product Master'!$A$7:$A$1000&lt;&gt;"")*('Product Master'!$P$7:$P$1000="Low Stock")),ROWS($A$12:A80))),"")</f>
        <v/>
      </c>
      <c r="B80" t="str">
        <f>IF($A80="","",INDEX('Product Master'!$B$7:$B$1000,MATCH($A80,'Product Master'!$A$7:$A$1000,0)))</f>
        <v/>
      </c>
      <c r="C80" t="str">
        <f>IF($A80="","",INDEX('Product Master'!$C$7:$C$1000,MATCH($A80,'Product Master'!$A$7:$A$1000,0)))</f>
        <v/>
      </c>
      <c r="D80" t="str">
        <f>IF($A80="","",INDEX('Product Master'!$M$7:$M$1000,MATCH($A80,'Product Master'!$A$7:$A$1000,0)))</f>
        <v/>
      </c>
      <c r="E80" t="str">
        <f>IF($A80="","",INDEX('Product Master'!$N$7:$N$1000,MATCH($A80,'Product Master'!$A$7:$A$1000,0)))</f>
        <v/>
      </c>
      <c r="F80" t="str">
        <f>IF($A80="","",INDEX('Product Master'!$P$7:$P$1000,MATCH($A80,'Product Master'!$A$7:$A$1000,0)))</f>
        <v/>
      </c>
      <c r="I80" t="str">
        <f>IFERROR(INDEX('Product Master'!$A$7:$A$1000,_xlfn.AGGREGATE(15,6,(ROW('Product Master'!$A$7:$A$1000)-ROW('Product Master'!$A$7)+1)/(('Product Master'!$A$7:$A$1000&lt;&gt;"")*('Product Master'!$P$7:$P$1000="Out of Stock")),ROWS($I$12:I80))),"")</f>
        <v/>
      </c>
      <c r="J80" t="str">
        <f>IF($I80="","",INDEX('Product Master'!$B$7:$B$1000,MATCH($I80,'Product Master'!$A$7:$A$1000,0)))</f>
        <v/>
      </c>
      <c r="K80" t="str">
        <f>IF($I80="","",INDEX('Product Master'!$C$7:$C$1000,MATCH($I80,'Product Master'!$A$7:$A$1000,0)))</f>
        <v/>
      </c>
      <c r="L80" t="str">
        <f>IF($I80="","",INDEX('Product Master'!$M$7:$M$1000,MATCH($I80,'Product Master'!$A$7:$A$1000,0)))</f>
        <v/>
      </c>
      <c r="M80" t="str">
        <f>IF($I80="","",INDEX('Product Master'!$N$7:$N$1000,MATCH($I80,'Product Master'!$A$7:$A$1000,0)))</f>
        <v/>
      </c>
    </row>
    <row r="81" spans="1:13" x14ac:dyDescent="0.3">
      <c r="A81" t="str">
        <f>IFERROR(INDEX('Product Master'!$A$7:$A$1000,_xlfn.AGGREGATE(15,6,(ROW('Product Master'!$A$7:$A$1000)-ROW('Product Master'!$A$7)+1)/(('Product Master'!$A$7:$A$1000&lt;&gt;"")*('Product Master'!$P$7:$P$1000="Low Stock")),ROWS($A$12:A81))),"")</f>
        <v/>
      </c>
      <c r="B81" t="str">
        <f>IF($A81="","",INDEX('Product Master'!$B$7:$B$1000,MATCH($A81,'Product Master'!$A$7:$A$1000,0)))</f>
        <v/>
      </c>
      <c r="C81" t="str">
        <f>IF($A81="","",INDEX('Product Master'!$C$7:$C$1000,MATCH($A81,'Product Master'!$A$7:$A$1000,0)))</f>
        <v/>
      </c>
      <c r="D81" t="str">
        <f>IF($A81="","",INDEX('Product Master'!$M$7:$M$1000,MATCH($A81,'Product Master'!$A$7:$A$1000,0)))</f>
        <v/>
      </c>
      <c r="E81" t="str">
        <f>IF($A81="","",INDEX('Product Master'!$N$7:$N$1000,MATCH($A81,'Product Master'!$A$7:$A$1000,0)))</f>
        <v/>
      </c>
      <c r="F81" t="str">
        <f>IF($A81="","",INDEX('Product Master'!$P$7:$P$1000,MATCH($A81,'Product Master'!$A$7:$A$1000,0)))</f>
        <v/>
      </c>
      <c r="I81" t="str">
        <f>IFERROR(INDEX('Product Master'!$A$7:$A$1000,_xlfn.AGGREGATE(15,6,(ROW('Product Master'!$A$7:$A$1000)-ROW('Product Master'!$A$7)+1)/(('Product Master'!$A$7:$A$1000&lt;&gt;"")*('Product Master'!$P$7:$P$1000="Out of Stock")),ROWS($I$12:I81))),"")</f>
        <v/>
      </c>
      <c r="J81" t="str">
        <f>IF($I81="","",INDEX('Product Master'!$B$7:$B$1000,MATCH($I81,'Product Master'!$A$7:$A$1000,0)))</f>
        <v/>
      </c>
      <c r="K81" t="str">
        <f>IF($I81="","",INDEX('Product Master'!$C$7:$C$1000,MATCH($I81,'Product Master'!$A$7:$A$1000,0)))</f>
        <v/>
      </c>
      <c r="L81" t="str">
        <f>IF($I81="","",INDEX('Product Master'!$M$7:$M$1000,MATCH($I81,'Product Master'!$A$7:$A$1000,0)))</f>
        <v/>
      </c>
      <c r="M81" t="str">
        <f>IF($I81="","",INDEX('Product Master'!$N$7:$N$1000,MATCH($I81,'Product Master'!$A$7:$A$1000,0)))</f>
        <v/>
      </c>
    </row>
    <row r="82" spans="1:13" x14ac:dyDescent="0.3">
      <c r="A82" t="str">
        <f>IFERROR(INDEX('Product Master'!$A$7:$A$1000,_xlfn.AGGREGATE(15,6,(ROW('Product Master'!$A$7:$A$1000)-ROW('Product Master'!$A$7)+1)/(('Product Master'!$A$7:$A$1000&lt;&gt;"")*('Product Master'!$P$7:$P$1000="Low Stock")),ROWS($A$12:A82))),"")</f>
        <v/>
      </c>
      <c r="B82" t="str">
        <f>IF($A82="","",INDEX('Product Master'!$B$7:$B$1000,MATCH($A82,'Product Master'!$A$7:$A$1000,0)))</f>
        <v/>
      </c>
      <c r="C82" t="str">
        <f>IF($A82="","",INDEX('Product Master'!$C$7:$C$1000,MATCH($A82,'Product Master'!$A$7:$A$1000,0)))</f>
        <v/>
      </c>
      <c r="D82" t="str">
        <f>IF($A82="","",INDEX('Product Master'!$M$7:$M$1000,MATCH($A82,'Product Master'!$A$7:$A$1000,0)))</f>
        <v/>
      </c>
      <c r="E82" t="str">
        <f>IF($A82="","",INDEX('Product Master'!$N$7:$N$1000,MATCH($A82,'Product Master'!$A$7:$A$1000,0)))</f>
        <v/>
      </c>
      <c r="F82" t="str">
        <f>IF($A82="","",INDEX('Product Master'!$P$7:$P$1000,MATCH($A82,'Product Master'!$A$7:$A$1000,0)))</f>
        <v/>
      </c>
      <c r="I82" t="str">
        <f>IFERROR(INDEX('Product Master'!$A$7:$A$1000,_xlfn.AGGREGATE(15,6,(ROW('Product Master'!$A$7:$A$1000)-ROW('Product Master'!$A$7)+1)/(('Product Master'!$A$7:$A$1000&lt;&gt;"")*('Product Master'!$P$7:$P$1000="Out of Stock")),ROWS($I$12:I82))),"")</f>
        <v/>
      </c>
      <c r="J82" t="str">
        <f>IF($I82="","",INDEX('Product Master'!$B$7:$B$1000,MATCH($I82,'Product Master'!$A$7:$A$1000,0)))</f>
        <v/>
      </c>
      <c r="K82" t="str">
        <f>IF($I82="","",INDEX('Product Master'!$C$7:$C$1000,MATCH($I82,'Product Master'!$A$7:$A$1000,0)))</f>
        <v/>
      </c>
      <c r="L82" t="str">
        <f>IF($I82="","",INDEX('Product Master'!$M$7:$M$1000,MATCH($I82,'Product Master'!$A$7:$A$1000,0)))</f>
        <v/>
      </c>
      <c r="M82" t="str">
        <f>IF($I82="","",INDEX('Product Master'!$N$7:$N$1000,MATCH($I82,'Product Master'!$A$7:$A$1000,0)))</f>
        <v/>
      </c>
    </row>
    <row r="83" spans="1:13" x14ac:dyDescent="0.3">
      <c r="A83" t="str">
        <f>IFERROR(INDEX('Product Master'!$A$7:$A$1000,_xlfn.AGGREGATE(15,6,(ROW('Product Master'!$A$7:$A$1000)-ROW('Product Master'!$A$7)+1)/(('Product Master'!$A$7:$A$1000&lt;&gt;"")*('Product Master'!$P$7:$P$1000="Low Stock")),ROWS($A$12:A83))),"")</f>
        <v/>
      </c>
      <c r="B83" t="str">
        <f>IF($A83="","",INDEX('Product Master'!$B$7:$B$1000,MATCH($A83,'Product Master'!$A$7:$A$1000,0)))</f>
        <v/>
      </c>
      <c r="C83" t="str">
        <f>IF($A83="","",INDEX('Product Master'!$C$7:$C$1000,MATCH($A83,'Product Master'!$A$7:$A$1000,0)))</f>
        <v/>
      </c>
      <c r="D83" t="str">
        <f>IF($A83="","",INDEX('Product Master'!$M$7:$M$1000,MATCH($A83,'Product Master'!$A$7:$A$1000,0)))</f>
        <v/>
      </c>
      <c r="E83" t="str">
        <f>IF($A83="","",INDEX('Product Master'!$N$7:$N$1000,MATCH($A83,'Product Master'!$A$7:$A$1000,0)))</f>
        <v/>
      </c>
      <c r="F83" t="str">
        <f>IF($A83="","",INDEX('Product Master'!$P$7:$P$1000,MATCH($A83,'Product Master'!$A$7:$A$1000,0)))</f>
        <v/>
      </c>
      <c r="I83" t="str">
        <f>IFERROR(INDEX('Product Master'!$A$7:$A$1000,_xlfn.AGGREGATE(15,6,(ROW('Product Master'!$A$7:$A$1000)-ROW('Product Master'!$A$7)+1)/(('Product Master'!$A$7:$A$1000&lt;&gt;"")*('Product Master'!$P$7:$P$1000="Out of Stock")),ROWS($I$12:I83))),"")</f>
        <v/>
      </c>
      <c r="J83" t="str">
        <f>IF($I83="","",INDEX('Product Master'!$B$7:$B$1000,MATCH($I83,'Product Master'!$A$7:$A$1000,0)))</f>
        <v/>
      </c>
      <c r="K83" t="str">
        <f>IF($I83="","",INDEX('Product Master'!$C$7:$C$1000,MATCH($I83,'Product Master'!$A$7:$A$1000,0)))</f>
        <v/>
      </c>
      <c r="L83" t="str">
        <f>IF($I83="","",INDEX('Product Master'!$M$7:$M$1000,MATCH($I83,'Product Master'!$A$7:$A$1000,0)))</f>
        <v/>
      </c>
      <c r="M83" t="str">
        <f>IF($I83="","",INDEX('Product Master'!$N$7:$N$1000,MATCH($I83,'Product Master'!$A$7:$A$1000,0)))</f>
        <v/>
      </c>
    </row>
    <row r="84" spans="1:13" x14ac:dyDescent="0.3">
      <c r="A84" t="str">
        <f>IFERROR(INDEX('Product Master'!$A$7:$A$1000,_xlfn.AGGREGATE(15,6,(ROW('Product Master'!$A$7:$A$1000)-ROW('Product Master'!$A$7)+1)/(('Product Master'!$A$7:$A$1000&lt;&gt;"")*('Product Master'!$P$7:$P$1000="Low Stock")),ROWS($A$12:A84))),"")</f>
        <v/>
      </c>
      <c r="B84" t="str">
        <f>IF($A84="","",INDEX('Product Master'!$B$7:$B$1000,MATCH($A84,'Product Master'!$A$7:$A$1000,0)))</f>
        <v/>
      </c>
      <c r="C84" t="str">
        <f>IF($A84="","",INDEX('Product Master'!$C$7:$C$1000,MATCH($A84,'Product Master'!$A$7:$A$1000,0)))</f>
        <v/>
      </c>
      <c r="D84" t="str">
        <f>IF($A84="","",INDEX('Product Master'!$M$7:$M$1000,MATCH($A84,'Product Master'!$A$7:$A$1000,0)))</f>
        <v/>
      </c>
      <c r="E84" t="str">
        <f>IF($A84="","",INDEX('Product Master'!$N$7:$N$1000,MATCH($A84,'Product Master'!$A$7:$A$1000,0)))</f>
        <v/>
      </c>
      <c r="F84" t="str">
        <f>IF($A84="","",INDEX('Product Master'!$P$7:$P$1000,MATCH($A84,'Product Master'!$A$7:$A$1000,0)))</f>
        <v/>
      </c>
      <c r="I84" t="str">
        <f>IFERROR(INDEX('Product Master'!$A$7:$A$1000,_xlfn.AGGREGATE(15,6,(ROW('Product Master'!$A$7:$A$1000)-ROW('Product Master'!$A$7)+1)/(('Product Master'!$A$7:$A$1000&lt;&gt;"")*('Product Master'!$P$7:$P$1000="Out of Stock")),ROWS($I$12:I84))),"")</f>
        <v/>
      </c>
      <c r="J84" t="str">
        <f>IF($I84="","",INDEX('Product Master'!$B$7:$B$1000,MATCH($I84,'Product Master'!$A$7:$A$1000,0)))</f>
        <v/>
      </c>
      <c r="K84" t="str">
        <f>IF($I84="","",INDEX('Product Master'!$C$7:$C$1000,MATCH($I84,'Product Master'!$A$7:$A$1000,0)))</f>
        <v/>
      </c>
      <c r="L84" t="str">
        <f>IF($I84="","",INDEX('Product Master'!$M$7:$M$1000,MATCH($I84,'Product Master'!$A$7:$A$1000,0)))</f>
        <v/>
      </c>
      <c r="M84" t="str">
        <f>IF($I84="","",INDEX('Product Master'!$N$7:$N$1000,MATCH($I84,'Product Master'!$A$7:$A$1000,0)))</f>
        <v/>
      </c>
    </row>
    <row r="85" spans="1:13" x14ac:dyDescent="0.3">
      <c r="A85" t="str">
        <f>IFERROR(INDEX('Product Master'!$A$7:$A$1000,_xlfn.AGGREGATE(15,6,(ROW('Product Master'!$A$7:$A$1000)-ROW('Product Master'!$A$7)+1)/(('Product Master'!$A$7:$A$1000&lt;&gt;"")*('Product Master'!$P$7:$P$1000="Low Stock")),ROWS($A$12:A85))),"")</f>
        <v/>
      </c>
      <c r="B85" t="str">
        <f>IF($A85="","",INDEX('Product Master'!$B$7:$B$1000,MATCH($A85,'Product Master'!$A$7:$A$1000,0)))</f>
        <v/>
      </c>
      <c r="C85" t="str">
        <f>IF($A85="","",INDEX('Product Master'!$C$7:$C$1000,MATCH($A85,'Product Master'!$A$7:$A$1000,0)))</f>
        <v/>
      </c>
      <c r="D85" t="str">
        <f>IF($A85="","",INDEX('Product Master'!$M$7:$M$1000,MATCH($A85,'Product Master'!$A$7:$A$1000,0)))</f>
        <v/>
      </c>
      <c r="E85" t="str">
        <f>IF($A85="","",INDEX('Product Master'!$N$7:$N$1000,MATCH($A85,'Product Master'!$A$7:$A$1000,0)))</f>
        <v/>
      </c>
      <c r="F85" t="str">
        <f>IF($A85="","",INDEX('Product Master'!$P$7:$P$1000,MATCH($A85,'Product Master'!$A$7:$A$1000,0)))</f>
        <v/>
      </c>
      <c r="I85" t="str">
        <f>IFERROR(INDEX('Product Master'!$A$7:$A$1000,_xlfn.AGGREGATE(15,6,(ROW('Product Master'!$A$7:$A$1000)-ROW('Product Master'!$A$7)+1)/(('Product Master'!$A$7:$A$1000&lt;&gt;"")*('Product Master'!$P$7:$P$1000="Out of Stock")),ROWS($I$12:I85))),"")</f>
        <v/>
      </c>
      <c r="J85" t="str">
        <f>IF($I85="","",INDEX('Product Master'!$B$7:$B$1000,MATCH($I85,'Product Master'!$A$7:$A$1000,0)))</f>
        <v/>
      </c>
      <c r="K85" t="str">
        <f>IF($I85="","",INDEX('Product Master'!$C$7:$C$1000,MATCH($I85,'Product Master'!$A$7:$A$1000,0)))</f>
        <v/>
      </c>
      <c r="L85" t="str">
        <f>IF($I85="","",INDEX('Product Master'!$M$7:$M$1000,MATCH($I85,'Product Master'!$A$7:$A$1000,0)))</f>
        <v/>
      </c>
      <c r="M85" t="str">
        <f>IF($I85="","",INDEX('Product Master'!$N$7:$N$1000,MATCH($I85,'Product Master'!$A$7:$A$1000,0)))</f>
        <v/>
      </c>
    </row>
    <row r="86" spans="1:13" x14ac:dyDescent="0.3">
      <c r="A86" t="str">
        <f>IFERROR(INDEX('Product Master'!$A$7:$A$1000,_xlfn.AGGREGATE(15,6,(ROW('Product Master'!$A$7:$A$1000)-ROW('Product Master'!$A$7)+1)/(('Product Master'!$A$7:$A$1000&lt;&gt;"")*('Product Master'!$P$7:$P$1000="Low Stock")),ROWS($A$12:A86))),"")</f>
        <v/>
      </c>
      <c r="B86" t="str">
        <f>IF($A86="","",INDEX('Product Master'!$B$7:$B$1000,MATCH($A86,'Product Master'!$A$7:$A$1000,0)))</f>
        <v/>
      </c>
      <c r="C86" t="str">
        <f>IF($A86="","",INDEX('Product Master'!$C$7:$C$1000,MATCH($A86,'Product Master'!$A$7:$A$1000,0)))</f>
        <v/>
      </c>
      <c r="D86" t="str">
        <f>IF($A86="","",INDEX('Product Master'!$M$7:$M$1000,MATCH($A86,'Product Master'!$A$7:$A$1000,0)))</f>
        <v/>
      </c>
      <c r="E86" t="str">
        <f>IF($A86="","",INDEX('Product Master'!$N$7:$N$1000,MATCH($A86,'Product Master'!$A$7:$A$1000,0)))</f>
        <v/>
      </c>
      <c r="F86" t="str">
        <f>IF($A86="","",INDEX('Product Master'!$P$7:$P$1000,MATCH($A86,'Product Master'!$A$7:$A$1000,0)))</f>
        <v/>
      </c>
      <c r="I86" t="str">
        <f>IFERROR(INDEX('Product Master'!$A$7:$A$1000,_xlfn.AGGREGATE(15,6,(ROW('Product Master'!$A$7:$A$1000)-ROW('Product Master'!$A$7)+1)/(('Product Master'!$A$7:$A$1000&lt;&gt;"")*('Product Master'!$P$7:$P$1000="Out of Stock")),ROWS($I$12:I86))),"")</f>
        <v/>
      </c>
      <c r="J86" t="str">
        <f>IF($I86="","",INDEX('Product Master'!$B$7:$B$1000,MATCH($I86,'Product Master'!$A$7:$A$1000,0)))</f>
        <v/>
      </c>
      <c r="K86" t="str">
        <f>IF($I86="","",INDEX('Product Master'!$C$7:$C$1000,MATCH($I86,'Product Master'!$A$7:$A$1000,0)))</f>
        <v/>
      </c>
      <c r="L86" t="str">
        <f>IF($I86="","",INDEX('Product Master'!$M$7:$M$1000,MATCH($I86,'Product Master'!$A$7:$A$1000,0)))</f>
        <v/>
      </c>
      <c r="M86" t="str">
        <f>IF($I86="","",INDEX('Product Master'!$N$7:$N$1000,MATCH($I86,'Product Master'!$A$7:$A$1000,0)))</f>
        <v/>
      </c>
    </row>
    <row r="87" spans="1:13" x14ac:dyDescent="0.3">
      <c r="A87" t="str">
        <f>IFERROR(INDEX('Product Master'!$A$7:$A$1000,_xlfn.AGGREGATE(15,6,(ROW('Product Master'!$A$7:$A$1000)-ROW('Product Master'!$A$7)+1)/(('Product Master'!$A$7:$A$1000&lt;&gt;"")*('Product Master'!$P$7:$P$1000="Low Stock")),ROWS($A$12:A87))),"")</f>
        <v/>
      </c>
      <c r="B87" t="str">
        <f>IF($A87="","",INDEX('Product Master'!$B$7:$B$1000,MATCH($A87,'Product Master'!$A$7:$A$1000,0)))</f>
        <v/>
      </c>
      <c r="C87" t="str">
        <f>IF($A87="","",INDEX('Product Master'!$C$7:$C$1000,MATCH($A87,'Product Master'!$A$7:$A$1000,0)))</f>
        <v/>
      </c>
      <c r="D87" t="str">
        <f>IF($A87="","",INDEX('Product Master'!$M$7:$M$1000,MATCH($A87,'Product Master'!$A$7:$A$1000,0)))</f>
        <v/>
      </c>
      <c r="E87" t="str">
        <f>IF($A87="","",INDEX('Product Master'!$N$7:$N$1000,MATCH($A87,'Product Master'!$A$7:$A$1000,0)))</f>
        <v/>
      </c>
      <c r="F87" t="str">
        <f>IF($A87="","",INDEX('Product Master'!$P$7:$P$1000,MATCH($A87,'Product Master'!$A$7:$A$1000,0)))</f>
        <v/>
      </c>
      <c r="I87" t="str">
        <f>IFERROR(INDEX('Product Master'!$A$7:$A$1000,_xlfn.AGGREGATE(15,6,(ROW('Product Master'!$A$7:$A$1000)-ROW('Product Master'!$A$7)+1)/(('Product Master'!$A$7:$A$1000&lt;&gt;"")*('Product Master'!$P$7:$P$1000="Out of Stock")),ROWS($I$12:I87))),"")</f>
        <v/>
      </c>
      <c r="J87" t="str">
        <f>IF($I87="","",INDEX('Product Master'!$B$7:$B$1000,MATCH($I87,'Product Master'!$A$7:$A$1000,0)))</f>
        <v/>
      </c>
      <c r="K87" t="str">
        <f>IF($I87="","",INDEX('Product Master'!$C$7:$C$1000,MATCH($I87,'Product Master'!$A$7:$A$1000,0)))</f>
        <v/>
      </c>
      <c r="L87" t="str">
        <f>IF($I87="","",INDEX('Product Master'!$M$7:$M$1000,MATCH($I87,'Product Master'!$A$7:$A$1000,0)))</f>
        <v/>
      </c>
      <c r="M87" t="str">
        <f>IF($I87="","",INDEX('Product Master'!$N$7:$N$1000,MATCH($I87,'Product Master'!$A$7:$A$1000,0)))</f>
        <v/>
      </c>
    </row>
    <row r="88" spans="1:13" x14ac:dyDescent="0.3">
      <c r="A88" t="str">
        <f>IFERROR(INDEX('Product Master'!$A$7:$A$1000,_xlfn.AGGREGATE(15,6,(ROW('Product Master'!$A$7:$A$1000)-ROW('Product Master'!$A$7)+1)/(('Product Master'!$A$7:$A$1000&lt;&gt;"")*('Product Master'!$P$7:$P$1000="Low Stock")),ROWS($A$12:A88))),"")</f>
        <v/>
      </c>
      <c r="B88" t="str">
        <f>IF($A88="","",INDEX('Product Master'!$B$7:$B$1000,MATCH($A88,'Product Master'!$A$7:$A$1000,0)))</f>
        <v/>
      </c>
      <c r="C88" t="str">
        <f>IF($A88="","",INDEX('Product Master'!$C$7:$C$1000,MATCH($A88,'Product Master'!$A$7:$A$1000,0)))</f>
        <v/>
      </c>
      <c r="D88" t="str">
        <f>IF($A88="","",INDEX('Product Master'!$M$7:$M$1000,MATCH($A88,'Product Master'!$A$7:$A$1000,0)))</f>
        <v/>
      </c>
      <c r="E88" t="str">
        <f>IF($A88="","",INDEX('Product Master'!$N$7:$N$1000,MATCH($A88,'Product Master'!$A$7:$A$1000,0)))</f>
        <v/>
      </c>
      <c r="F88" t="str">
        <f>IF($A88="","",INDEX('Product Master'!$P$7:$P$1000,MATCH($A88,'Product Master'!$A$7:$A$1000,0)))</f>
        <v/>
      </c>
      <c r="I88" t="str">
        <f>IFERROR(INDEX('Product Master'!$A$7:$A$1000,_xlfn.AGGREGATE(15,6,(ROW('Product Master'!$A$7:$A$1000)-ROW('Product Master'!$A$7)+1)/(('Product Master'!$A$7:$A$1000&lt;&gt;"")*('Product Master'!$P$7:$P$1000="Out of Stock")),ROWS($I$12:I88))),"")</f>
        <v/>
      </c>
      <c r="J88" t="str">
        <f>IF($I88="","",INDEX('Product Master'!$B$7:$B$1000,MATCH($I88,'Product Master'!$A$7:$A$1000,0)))</f>
        <v/>
      </c>
      <c r="K88" t="str">
        <f>IF($I88="","",INDEX('Product Master'!$C$7:$C$1000,MATCH($I88,'Product Master'!$A$7:$A$1000,0)))</f>
        <v/>
      </c>
      <c r="L88" t="str">
        <f>IF($I88="","",INDEX('Product Master'!$M$7:$M$1000,MATCH($I88,'Product Master'!$A$7:$A$1000,0)))</f>
        <v/>
      </c>
      <c r="M88" t="str">
        <f>IF($I88="","",INDEX('Product Master'!$N$7:$N$1000,MATCH($I88,'Product Master'!$A$7:$A$1000,0)))</f>
        <v/>
      </c>
    </row>
    <row r="89" spans="1:13" x14ac:dyDescent="0.3">
      <c r="A89" t="str">
        <f>IFERROR(INDEX('Product Master'!$A$7:$A$1000,_xlfn.AGGREGATE(15,6,(ROW('Product Master'!$A$7:$A$1000)-ROW('Product Master'!$A$7)+1)/(('Product Master'!$A$7:$A$1000&lt;&gt;"")*('Product Master'!$P$7:$P$1000="Low Stock")),ROWS($A$12:A89))),"")</f>
        <v/>
      </c>
      <c r="B89" t="str">
        <f>IF($A89="","",INDEX('Product Master'!$B$7:$B$1000,MATCH($A89,'Product Master'!$A$7:$A$1000,0)))</f>
        <v/>
      </c>
      <c r="C89" t="str">
        <f>IF($A89="","",INDEX('Product Master'!$C$7:$C$1000,MATCH($A89,'Product Master'!$A$7:$A$1000,0)))</f>
        <v/>
      </c>
      <c r="D89" t="str">
        <f>IF($A89="","",INDEX('Product Master'!$M$7:$M$1000,MATCH($A89,'Product Master'!$A$7:$A$1000,0)))</f>
        <v/>
      </c>
      <c r="E89" t="str">
        <f>IF($A89="","",INDEX('Product Master'!$N$7:$N$1000,MATCH($A89,'Product Master'!$A$7:$A$1000,0)))</f>
        <v/>
      </c>
      <c r="F89" t="str">
        <f>IF($A89="","",INDEX('Product Master'!$P$7:$P$1000,MATCH($A89,'Product Master'!$A$7:$A$1000,0)))</f>
        <v/>
      </c>
      <c r="I89" t="str">
        <f>IFERROR(INDEX('Product Master'!$A$7:$A$1000,_xlfn.AGGREGATE(15,6,(ROW('Product Master'!$A$7:$A$1000)-ROW('Product Master'!$A$7)+1)/(('Product Master'!$A$7:$A$1000&lt;&gt;"")*('Product Master'!$P$7:$P$1000="Out of Stock")),ROWS($I$12:I89))),"")</f>
        <v/>
      </c>
      <c r="J89" t="str">
        <f>IF($I89="","",INDEX('Product Master'!$B$7:$B$1000,MATCH($I89,'Product Master'!$A$7:$A$1000,0)))</f>
        <v/>
      </c>
      <c r="K89" t="str">
        <f>IF($I89="","",INDEX('Product Master'!$C$7:$C$1000,MATCH($I89,'Product Master'!$A$7:$A$1000,0)))</f>
        <v/>
      </c>
      <c r="L89" t="str">
        <f>IF($I89="","",INDEX('Product Master'!$M$7:$M$1000,MATCH($I89,'Product Master'!$A$7:$A$1000,0)))</f>
        <v/>
      </c>
      <c r="M89" t="str">
        <f>IF($I89="","",INDEX('Product Master'!$N$7:$N$1000,MATCH($I89,'Product Master'!$A$7:$A$1000,0)))</f>
        <v/>
      </c>
    </row>
    <row r="90" spans="1:13" x14ac:dyDescent="0.3">
      <c r="A90" t="str">
        <f>IFERROR(INDEX('Product Master'!$A$7:$A$1000,_xlfn.AGGREGATE(15,6,(ROW('Product Master'!$A$7:$A$1000)-ROW('Product Master'!$A$7)+1)/(('Product Master'!$A$7:$A$1000&lt;&gt;"")*('Product Master'!$P$7:$P$1000="Low Stock")),ROWS($A$12:A90))),"")</f>
        <v/>
      </c>
      <c r="B90" t="str">
        <f>IF($A90="","",INDEX('Product Master'!$B$7:$B$1000,MATCH($A90,'Product Master'!$A$7:$A$1000,0)))</f>
        <v/>
      </c>
      <c r="C90" t="str">
        <f>IF($A90="","",INDEX('Product Master'!$C$7:$C$1000,MATCH($A90,'Product Master'!$A$7:$A$1000,0)))</f>
        <v/>
      </c>
      <c r="D90" t="str">
        <f>IF($A90="","",INDEX('Product Master'!$M$7:$M$1000,MATCH($A90,'Product Master'!$A$7:$A$1000,0)))</f>
        <v/>
      </c>
      <c r="E90" t="str">
        <f>IF($A90="","",INDEX('Product Master'!$N$7:$N$1000,MATCH($A90,'Product Master'!$A$7:$A$1000,0)))</f>
        <v/>
      </c>
      <c r="F90" t="str">
        <f>IF($A90="","",INDEX('Product Master'!$P$7:$P$1000,MATCH($A90,'Product Master'!$A$7:$A$1000,0)))</f>
        <v/>
      </c>
      <c r="I90" t="str">
        <f>IFERROR(INDEX('Product Master'!$A$7:$A$1000,_xlfn.AGGREGATE(15,6,(ROW('Product Master'!$A$7:$A$1000)-ROW('Product Master'!$A$7)+1)/(('Product Master'!$A$7:$A$1000&lt;&gt;"")*('Product Master'!$P$7:$P$1000="Out of Stock")),ROWS($I$12:I90))),"")</f>
        <v/>
      </c>
      <c r="J90" t="str">
        <f>IF($I90="","",INDEX('Product Master'!$B$7:$B$1000,MATCH($I90,'Product Master'!$A$7:$A$1000,0)))</f>
        <v/>
      </c>
      <c r="K90" t="str">
        <f>IF($I90="","",INDEX('Product Master'!$C$7:$C$1000,MATCH($I90,'Product Master'!$A$7:$A$1000,0)))</f>
        <v/>
      </c>
      <c r="L90" t="str">
        <f>IF($I90="","",INDEX('Product Master'!$M$7:$M$1000,MATCH($I90,'Product Master'!$A$7:$A$1000,0)))</f>
        <v/>
      </c>
      <c r="M90" t="str">
        <f>IF($I90="","",INDEX('Product Master'!$N$7:$N$1000,MATCH($I90,'Product Master'!$A$7:$A$1000,0)))</f>
        <v/>
      </c>
    </row>
    <row r="91" spans="1:13" x14ac:dyDescent="0.3">
      <c r="A91" t="str">
        <f>IFERROR(INDEX('Product Master'!$A$7:$A$1000,_xlfn.AGGREGATE(15,6,(ROW('Product Master'!$A$7:$A$1000)-ROW('Product Master'!$A$7)+1)/(('Product Master'!$A$7:$A$1000&lt;&gt;"")*('Product Master'!$P$7:$P$1000="Low Stock")),ROWS($A$12:A91))),"")</f>
        <v/>
      </c>
      <c r="B91" t="str">
        <f>IF($A91="","",INDEX('Product Master'!$B$7:$B$1000,MATCH($A91,'Product Master'!$A$7:$A$1000,0)))</f>
        <v/>
      </c>
      <c r="C91" t="str">
        <f>IF($A91="","",INDEX('Product Master'!$C$7:$C$1000,MATCH($A91,'Product Master'!$A$7:$A$1000,0)))</f>
        <v/>
      </c>
      <c r="D91" t="str">
        <f>IF($A91="","",INDEX('Product Master'!$M$7:$M$1000,MATCH($A91,'Product Master'!$A$7:$A$1000,0)))</f>
        <v/>
      </c>
      <c r="E91" t="str">
        <f>IF($A91="","",INDEX('Product Master'!$N$7:$N$1000,MATCH($A91,'Product Master'!$A$7:$A$1000,0)))</f>
        <v/>
      </c>
      <c r="F91" t="str">
        <f>IF($A91="","",INDEX('Product Master'!$P$7:$P$1000,MATCH($A91,'Product Master'!$A$7:$A$1000,0)))</f>
        <v/>
      </c>
      <c r="I91" t="str">
        <f>IFERROR(INDEX('Product Master'!$A$7:$A$1000,_xlfn.AGGREGATE(15,6,(ROW('Product Master'!$A$7:$A$1000)-ROW('Product Master'!$A$7)+1)/(('Product Master'!$A$7:$A$1000&lt;&gt;"")*('Product Master'!$P$7:$P$1000="Out of Stock")),ROWS($I$12:I91))),"")</f>
        <v/>
      </c>
      <c r="J91" t="str">
        <f>IF($I91="","",INDEX('Product Master'!$B$7:$B$1000,MATCH($I91,'Product Master'!$A$7:$A$1000,0)))</f>
        <v/>
      </c>
      <c r="K91" t="str">
        <f>IF($I91="","",INDEX('Product Master'!$C$7:$C$1000,MATCH($I91,'Product Master'!$A$7:$A$1000,0)))</f>
        <v/>
      </c>
      <c r="L91" t="str">
        <f>IF($I91="","",INDEX('Product Master'!$M$7:$M$1000,MATCH($I91,'Product Master'!$A$7:$A$1000,0)))</f>
        <v/>
      </c>
      <c r="M91" t="str">
        <f>IF($I91="","",INDEX('Product Master'!$N$7:$N$1000,MATCH($I91,'Product Master'!$A$7:$A$1000,0)))</f>
        <v/>
      </c>
    </row>
    <row r="92" spans="1:13" x14ac:dyDescent="0.3">
      <c r="A92" t="str">
        <f>IFERROR(INDEX('Product Master'!$A$7:$A$1000,_xlfn.AGGREGATE(15,6,(ROW('Product Master'!$A$7:$A$1000)-ROW('Product Master'!$A$7)+1)/(('Product Master'!$A$7:$A$1000&lt;&gt;"")*('Product Master'!$P$7:$P$1000="Low Stock")),ROWS($A$12:A92))),"")</f>
        <v/>
      </c>
      <c r="B92" t="str">
        <f>IF($A92="","",INDEX('Product Master'!$B$7:$B$1000,MATCH($A92,'Product Master'!$A$7:$A$1000,0)))</f>
        <v/>
      </c>
      <c r="C92" t="str">
        <f>IF($A92="","",INDEX('Product Master'!$C$7:$C$1000,MATCH($A92,'Product Master'!$A$7:$A$1000,0)))</f>
        <v/>
      </c>
      <c r="D92" t="str">
        <f>IF($A92="","",INDEX('Product Master'!$M$7:$M$1000,MATCH($A92,'Product Master'!$A$7:$A$1000,0)))</f>
        <v/>
      </c>
      <c r="E92" t="str">
        <f>IF($A92="","",INDEX('Product Master'!$N$7:$N$1000,MATCH($A92,'Product Master'!$A$7:$A$1000,0)))</f>
        <v/>
      </c>
      <c r="F92" t="str">
        <f>IF($A92="","",INDEX('Product Master'!$P$7:$P$1000,MATCH($A92,'Product Master'!$A$7:$A$1000,0)))</f>
        <v/>
      </c>
      <c r="I92" t="str">
        <f>IFERROR(INDEX('Product Master'!$A$7:$A$1000,_xlfn.AGGREGATE(15,6,(ROW('Product Master'!$A$7:$A$1000)-ROW('Product Master'!$A$7)+1)/(('Product Master'!$A$7:$A$1000&lt;&gt;"")*('Product Master'!$P$7:$P$1000="Out of Stock")),ROWS($I$12:I92))),"")</f>
        <v/>
      </c>
      <c r="J92" t="str">
        <f>IF($I92="","",INDEX('Product Master'!$B$7:$B$1000,MATCH($I92,'Product Master'!$A$7:$A$1000,0)))</f>
        <v/>
      </c>
      <c r="K92" t="str">
        <f>IF($I92="","",INDEX('Product Master'!$C$7:$C$1000,MATCH($I92,'Product Master'!$A$7:$A$1000,0)))</f>
        <v/>
      </c>
      <c r="L92" t="str">
        <f>IF($I92="","",INDEX('Product Master'!$M$7:$M$1000,MATCH($I92,'Product Master'!$A$7:$A$1000,0)))</f>
        <v/>
      </c>
      <c r="M92" t="str">
        <f>IF($I92="","",INDEX('Product Master'!$N$7:$N$1000,MATCH($I92,'Product Master'!$A$7:$A$1000,0)))</f>
        <v/>
      </c>
    </row>
    <row r="93" spans="1:13" x14ac:dyDescent="0.3">
      <c r="A93" t="str">
        <f>IFERROR(INDEX('Product Master'!$A$7:$A$1000,_xlfn.AGGREGATE(15,6,(ROW('Product Master'!$A$7:$A$1000)-ROW('Product Master'!$A$7)+1)/(('Product Master'!$A$7:$A$1000&lt;&gt;"")*('Product Master'!$P$7:$P$1000="Low Stock")),ROWS($A$12:A93))),"")</f>
        <v/>
      </c>
      <c r="B93" t="str">
        <f>IF($A93="","",INDEX('Product Master'!$B$7:$B$1000,MATCH($A93,'Product Master'!$A$7:$A$1000,0)))</f>
        <v/>
      </c>
      <c r="C93" t="str">
        <f>IF($A93="","",INDEX('Product Master'!$C$7:$C$1000,MATCH($A93,'Product Master'!$A$7:$A$1000,0)))</f>
        <v/>
      </c>
      <c r="D93" t="str">
        <f>IF($A93="","",INDEX('Product Master'!$M$7:$M$1000,MATCH($A93,'Product Master'!$A$7:$A$1000,0)))</f>
        <v/>
      </c>
      <c r="E93" t="str">
        <f>IF($A93="","",INDEX('Product Master'!$N$7:$N$1000,MATCH($A93,'Product Master'!$A$7:$A$1000,0)))</f>
        <v/>
      </c>
      <c r="F93" t="str">
        <f>IF($A93="","",INDEX('Product Master'!$P$7:$P$1000,MATCH($A93,'Product Master'!$A$7:$A$1000,0)))</f>
        <v/>
      </c>
      <c r="I93" t="str">
        <f>IFERROR(INDEX('Product Master'!$A$7:$A$1000,_xlfn.AGGREGATE(15,6,(ROW('Product Master'!$A$7:$A$1000)-ROW('Product Master'!$A$7)+1)/(('Product Master'!$A$7:$A$1000&lt;&gt;"")*('Product Master'!$P$7:$P$1000="Out of Stock")),ROWS($I$12:I93))),"")</f>
        <v/>
      </c>
      <c r="J93" t="str">
        <f>IF($I93="","",INDEX('Product Master'!$B$7:$B$1000,MATCH($I93,'Product Master'!$A$7:$A$1000,0)))</f>
        <v/>
      </c>
      <c r="K93" t="str">
        <f>IF($I93="","",INDEX('Product Master'!$C$7:$C$1000,MATCH($I93,'Product Master'!$A$7:$A$1000,0)))</f>
        <v/>
      </c>
      <c r="L93" t="str">
        <f>IF($I93="","",INDEX('Product Master'!$M$7:$M$1000,MATCH($I93,'Product Master'!$A$7:$A$1000,0)))</f>
        <v/>
      </c>
      <c r="M93" t="str">
        <f>IF($I93="","",INDEX('Product Master'!$N$7:$N$1000,MATCH($I93,'Product Master'!$A$7:$A$1000,0)))</f>
        <v/>
      </c>
    </row>
    <row r="94" spans="1:13" x14ac:dyDescent="0.3">
      <c r="A94" t="str">
        <f>IFERROR(INDEX('Product Master'!$A$7:$A$1000,_xlfn.AGGREGATE(15,6,(ROW('Product Master'!$A$7:$A$1000)-ROW('Product Master'!$A$7)+1)/(('Product Master'!$A$7:$A$1000&lt;&gt;"")*('Product Master'!$P$7:$P$1000="Low Stock")),ROWS($A$12:A94))),"")</f>
        <v/>
      </c>
      <c r="B94" t="str">
        <f>IF($A94="","",INDEX('Product Master'!$B$7:$B$1000,MATCH($A94,'Product Master'!$A$7:$A$1000,0)))</f>
        <v/>
      </c>
      <c r="C94" t="str">
        <f>IF($A94="","",INDEX('Product Master'!$C$7:$C$1000,MATCH($A94,'Product Master'!$A$7:$A$1000,0)))</f>
        <v/>
      </c>
      <c r="D94" t="str">
        <f>IF($A94="","",INDEX('Product Master'!$M$7:$M$1000,MATCH($A94,'Product Master'!$A$7:$A$1000,0)))</f>
        <v/>
      </c>
      <c r="E94" t="str">
        <f>IF($A94="","",INDEX('Product Master'!$N$7:$N$1000,MATCH($A94,'Product Master'!$A$7:$A$1000,0)))</f>
        <v/>
      </c>
      <c r="F94" t="str">
        <f>IF($A94="","",INDEX('Product Master'!$P$7:$P$1000,MATCH($A94,'Product Master'!$A$7:$A$1000,0)))</f>
        <v/>
      </c>
      <c r="I94" t="str">
        <f>IFERROR(INDEX('Product Master'!$A$7:$A$1000,_xlfn.AGGREGATE(15,6,(ROW('Product Master'!$A$7:$A$1000)-ROW('Product Master'!$A$7)+1)/(('Product Master'!$A$7:$A$1000&lt;&gt;"")*('Product Master'!$P$7:$P$1000="Out of Stock")),ROWS($I$12:I94))),"")</f>
        <v/>
      </c>
      <c r="J94" t="str">
        <f>IF($I94="","",INDEX('Product Master'!$B$7:$B$1000,MATCH($I94,'Product Master'!$A$7:$A$1000,0)))</f>
        <v/>
      </c>
      <c r="K94" t="str">
        <f>IF($I94="","",INDEX('Product Master'!$C$7:$C$1000,MATCH($I94,'Product Master'!$A$7:$A$1000,0)))</f>
        <v/>
      </c>
      <c r="L94" t="str">
        <f>IF($I94="","",INDEX('Product Master'!$M$7:$M$1000,MATCH($I94,'Product Master'!$A$7:$A$1000,0)))</f>
        <v/>
      </c>
      <c r="M94" t="str">
        <f>IF($I94="","",INDEX('Product Master'!$N$7:$N$1000,MATCH($I94,'Product Master'!$A$7:$A$1000,0)))</f>
        <v/>
      </c>
    </row>
    <row r="95" spans="1:13" x14ac:dyDescent="0.3">
      <c r="A95" t="str">
        <f>IFERROR(INDEX('Product Master'!$A$7:$A$1000,_xlfn.AGGREGATE(15,6,(ROW('Product Master'!$A$7:$A$1000)-ROW('Product Master'!$A$7)+1)/(('Product Master'!$A$7:$A$1000&lt;&gt;"")*('Product Master'!$P$7:$P$1000="Low Stock")),ROWS($A$12:A95))),"")</f>
        <v/>
      </c>
      <c r="B95" t="str">
        <f>IF($A95="","",INDEX('Product Master'!$B$7:$B$1000,MATCH($A95,'Product Master'!$A$7:$A$1000,0)))</f>
        <v/>
      </c>
      <c r="C95" t="str">
        <f>IF($A95="","",INDEX('Product Master'!$C$7:$C$1000,MATCH($A95,'Product Master'!$A$7:$A$1000,0)))</f>
        <v/>
      </c>
      <c r="D95" t="str">
        <f>IF($A95="","",INDEX('Product Master'!$M$7:$M$1000,MATCH($A95,'Product Master'!$A$7:$A$1000,0)))</f>
        <v/>
      </c>
      <c r="E95" t="str">
        <f>IF($A95="","",INDEX('Product Master'!$N$7:$N$1000,MATCH($A95,'Product Master'!$A$7:$A$1000,0)))</f>
        <v/>
      </c>
      <c r="F95" t="str">
        <f>IF($A95="","",INDEX('Product Master'!$P$7:$P$1000,MATCH($A95,'Product Master'!$A$7:$A$1000,0)))</f>
        <v/>
      </c>
      <c r="I95" t="str">
        <f>IFERROR(INDEX('Product Master'!$A$7:$A$1000,_xlfn.AGGREGATE(15,6,(ROW('Product Master'!$A$7:$A$1000)-ROW('Product Master'!$A$7)+1)/(('Product Master'!$A$7:$A$1000&lt;&gt;"")*('Product Master'!$P$7:$P$1000="Out of Stock")),ROWS($I$12:I95))),"")</f>
        <v/>
      </c>
      <c r="J95" t="str">
        <f>IF($I95="","",INDEX('Product Master'!$B$7:$B$1000,MATCH($I95,'Product Master'!$A$7:$A$1000,0)))</f>
        <v/>
      </c>
      <c r="K95" t="str">
        <f>IF($I95="","",INDEX('Product Master'!$C$7:$C$1000,MATCH($I95,'Product Master'!$A$7:$A$1000,0)))</f>
        <v/>
      </c>
      <c r="L95" t="str">
        <f>IF($I95="","",INDEX('Product Master'!$M$7:$M$1000,MATCH($I95,'Product Master'!$A$7:$A$1000,0)))</f>
        <v/>
      </c>
      <c r="M95" t="str">
        <f>IF($I95="","",INDEX('Product Master'!$N$7:$N$1000,MATCH($I95,'Product Master'!$A$7:$A$1000,0)))</f>
        <v/>
      </c>
    </row>
    <row r="96" spans="1:13" x14ac:dyDescent="0.3">
      <c r="A96" t="str">
        <f>IFERROR(INDEX('Product Master'!$A$7:$A$1000,_xlfn.AGGREGATE(15,6,(ROW('Product Master'!$A$7:$A$1000)-ROW('Product Master'!$A$7)+1)/(('Product Master'!$A$7:$A$1000&lt;&gt;"")*('Product Master'!$P$7:$P$1000="Low Stock")),ROWS($A$12:A96))),"")</f>
        <v/>
      </c>
      <c r="B96" t="str">
        <f>IF($A96="","",INDEX('Product Master'!$B$7:$B$1000,MATCH($A96,'Product Master'!$A$7:$A$1000,0)))</f>
        <v/>
      </c>
      <c r="C96" t="str">
        <f>IF($A96="","",INDEX('Product Master'!$C$7:$C$1000,MATCH($A96,'Product Master'!$A$7:$A$1000,0)))</f>
        <v/>
      </c>
      <c r="D96" t="str">
        <f>IF($A96="","",INDEX('Product Master'!$M$7:$M$1000,MATCH($A96,'Product Master'!$A$7:$A$1000,0)))</f>
        <v/>
      </c>
      <c r="E96" t="str">
        <f>IF($A96="","",INDEX('Product Master'!$N$7:$N$1000,MATCH($A96,'Product Master'!$A$7:$A$1000,0)))</f>
        <v/>
      </c>
      <c r="F96" t="str">
        <f>IF($A96="","",INDEX('Product Master'!$P$7:$P$1000,MATCH($A96,'Product Master'!$A$7:$A$1000,0)))</f>
        <v/>
      </c>
      <c r="I96" t="str">
        <f>IFERROR(INDEX('Product Master'!$A$7:$A$1000,_xlfn.AGGREGATE(15,6,(ROW('Product Master'!$A$7:$A$1000)-ROW('Product Master'!$A$7)+1)/(('Product Master'!$A$7:$A$1000&lt;&gt;"")*('Product Master'!$P$7:$P$1000="Out of Stock")),ROWS($I$12:I96))),"")</f>
        <v/>
      </c>
      <c r="J96" t="str">
        <f>IF($I96="","",INDEX('Product Master'!$B$7:$B$1000,MATCH($I96,'Product Master'!$A$7:$A$1000,0)))</f>
        <v/>
      </c>
      <c r="K96" t="str">
        <f>IF($I96="","",INDEX('Product Master'!$C$7:$C$1000,MATCH($I96,'Product Master'!$A$7:$A$1000,0)))</f>
        <v/>
      </c>
      <c r="L96" t="str">
        <f>IF($I96="","",INDEX('Product Master'!$M$7:$M$1000,MATCH($I96,'Product Master'!$A$7:$A$1000,0)))</f>
        <v/>
      </c>
      <c r="M96" t="str">
        <f>IF($I96="","",INDEX('Product Master'!$N$7:$N$1000,MATCH($I96,'Product Master'!$A$7:$A$1000,0)))</f>
        <v/>
      </c>
    </row>
    <row r="97" spans="1:13" x14ac:dyDescent="0.3">
      <c r="A97" t="str">
        <f>IFERROR(INDEX('Product Master'!$A$7:$A$1000,_xlfn.AGGREGATE(15,6,(ROW('Product Master'!$A$7:$A$1000)-ROW('Product Master'!$A$7)+1)/(('Product Master'!$A$7:$A$1000&lt;&gt;"")*('Product Master'!$P$7:$P$1000="Low Stock")),ROWS($A$12:A97))),"")</f>
        <v/>
      </c>
      <c r="B97" t="str">
        <f>IF($A97="","",INDEX('Product Master'!$B$7:$B$1000,MATCH($A97,'Product Master'!$A$7:$A$1000,0)))</f>
        <v/>
      </c>
      <c r="C97" t="str">
        <f>IF($A97="","",INDEX('Product Master'!$C$7:$C$1000,MATCH($A97,'Product Master'!$A$7:$A$1000,0)))</f>
        <v/>
      </c>
      <c r="D97" t="str">
        <f>IF($A97="","",INDEX('Product Master'!$M$7:$M$1000,MATCH($A97,'Product Master'!$A$7:$A$1000,0)))</f>
        <v/>
      </c>
      <c r="E97" t="str">
        <f>IF($A97="","",INDEX('Product Master'!$N$7:$N$1000,MATCH($A97,'Product Master'!$A$7:$A$1000,0)))</f>
        <v/>
      </c>
      <c r="F97" t="str">
        <f>IF($A97="","",INDEX('Product Master'!$P$7:$P$1000,MATCH($A97,'Product Master'!$A$7:$A$1000,0)))</f>
        <v/>
      </c>
      <c r="I97" t="str">
        <f>IFERROR(INDEX('Product Master'!$A$7:$A$1000,_xlfn.AGGREGATE(15,6,(ROW('Product Master'!$A$7:$A$1000)-ROW('Product Master'!$A$7)+1)/(('Product Master'!$A$7:$A$1000&lt;&gt;"")*('Product Master'!$P$7:$P$1000="Out of Stock")),ROWS($I$12:I97))),"")</f>
        <v/>
      </c>
      <c r="J97" t="str">
        <f>IF($I97="","",INDEX('Product Master'!$B$7:$B$1000,MATCH($I97,'Product Master'!$A$7:$A$1000,0)))</f>
        <v/>
      </c>
      <c r="K97" t="str">
        <f>IF($I97="","",INDEX('Product Master'!$C$7:$C$1000,MATCH($I97,'Product Master'!$A$7:$A$1000,0)))</f>
        <v/>
      </c>
      <c r="L97" t="str">
        <f>IF($I97="","",INDEX('Product Master'!$M$7:$M$1000,MATCH($I97,'Product Master'!$A$7:$A$1000,0)))</f>
        <v/>
      </c>
      <c r="M97" t="str">
        <f>IF($I97="","",INDEX('Product Master'!$N$7:$N$1000,MATCH($I97,'Product Master'!$A$7:$A$1000,0)))</f>
        <v/>
      </c>
    </row>
    <row r="98" spans="1:13" x14ac:dyDescent="0.3">
      <c r="A98" t="str">
        <f>IFERROR(INDEX('Product Master'!$A$7:$A$1000,_xlfn.AGGREGATE(15,6,(ROW('Product Master'!$A$7:$A$1000)-ROW('Product Master'!$A$7)+1)/(('Product Master'!$A$7:$A$1000&lt;&gt;"")*('Product Master'!$P$7:$P$1000="Low Stock")),ROWS($A$12:A98))),"")</f>
        <v/>
      </c>
      <c r="B98" t="str">
        <f>IF($A98="","",INDEX('Product Master'!$B$7:$B$1000,MATCH($A98,'Product Master'!$A$7:$A$1000,0)))</f>
        <v/>
      </c>
      <c r="C98" t="str">
        <f>IF($A98="","",INDEX('Product Master'!$C$7:$C$1000,MATCH($A98,'Product Master'!$A$7:$A$1000,0)))</f>
        <v/>
      </c>
      <c r="D98" t="str">
        <f>IF($A98="","",INDEX('Product Master'!$M$7:$M$1000,MATCH($A98,'Product Master'!$A$7:$A$1000,0)))</f>
        <v/>
      </c>
      <c r="E98" t="str">
        <f>IF($A98="","",INDEX('Product Master'!$N$7:$N$1000,MATCH($A98,'Product Master'!$A$7:$A$1000,0)))</f>
        <v/>
      </c>
      <c r="F98" t="str">
        <f>IF($A98="","",INDEX('Product Master'!$P$7:$P$1000,MATCH($A98,'Product Master'!$A$7:$A$1000,0)))</f>
        <v/>
      </c>
      <c r="I98" t="str">
        <f>IFERROR(INDEX('Product Master'!$A$7:$A$1000,_xlfn.AGGREGATE(15,6,(ROW('Product Master'!$A$7:$A$1000)-ROW('Product Master'!$A$7)+1)/(('Product Master'!$A$7:$A$1000&lt;&gt;"")*('Product Master'!$P$7:$P$1000="Out of Stock")),ROWS($I$12:I98))),"")</f>
        <v/>
      </c>
      <c r="J98" t="str">
        <f>IF($I98="","",INDEX('Product Master'!$B$7:$B$1000,MATCH($I98,'Product Master'!$A$7:$A$1000,0)))</f>
        <v/>
      </c>
      <c r="K98" t="str">
        <f>IF($I98="","",INDEX('Product Master'!$C$7:$C$1000,MATCH($I98,'Product Master'!$A$7:$A$1000,0)))</f>
        <v/>
      </c>
      <c r="L98" t="str">
        <f>IF($I98="","",INDEX('Product Master'!$M$7:$M$1000,MATCH($I98,'Product Master'!$A$7:$A$1000,0)))</f>
        <v/>
      </c>
      <c r="M98" t="str">
        <f>IF($I98="","",INDEX('Product Master'!$N$7:$N$1000,MATCH($I98,'Product Master'!$A$7:$A$1000,0)))</f>
        <v/>
      </c>
    </row>
    <row r="99" spans="1:13" x14ac:dyDescent="0.3">
      <c r="A99" t="str">
        <f>IFERROR(INDEX('Product Master'!$A$7:$A$1000,_xlfn.AGGREGATE(15,6,(ROW('Product Master'!$A$7:$A$1000)-ROW('Product Master'!$A$7)+1)/(('Product Master'!$A$7:$A$1000&lt;&gt;"")*('Product Master'!$P$7:$P$1000="Low Stock")),ROWS($A$12:A99))),"")</f>
        <v/>
      </c>
      <c r="B99" t="str">
        <f>IF($A99="","",INDEX('Product Master'!$B$7:$B$1000,MATCH($A99,'Product Master'!$A$7:$A$1000,0)))</f>
        <v/>
      </c>
      <c r="C99" t="str">
        <f>IF($A99="","",INDEX('Product Master'!$C$7:$C$1000,MATCH($A99,'Product Master'!$A$7:$A$1000,0)))</f>
        <v/>
      </c>
      <c r="D99" t="str">
        <f>IF($A99="","",INDEX('Product Master'!$M$7:$M$1000,MATCH($A99,'Product Master'!$A$7:$A$1000,0)))</f>
        <v/>
      </c>
      <c r="E99" t="str">
        <f>IF($A99="","",INDEX('Product Master'!$N$7:$N$1000,MATCH($A99,'Product Master'!$A$7:$A$1000,0)))</f>
        <v/>
      </c>
      <c r="F99" t="str">
        <f>IF($A99="","",INDEX('Product Master'!$P$7:$P$1000,MATCH($A99,'Product Master'!$A$7:$A$1000,0)))</f>
        <v/>
      </c>
      <c r="I99" t="str">
        <f>IFERROR(INDEX('Product Master'!$A$7:$A$1000,_xlfn.AGGREGATE(15,6,(ROW('Product Master'!$A$7:$A$1000)-ROW('Product Master'!$A$7)+1)/(('Product Master'!$A$7:$A$1000&lt;&gt;"")*('Product Master'!$P$7:$P$1000="Out of Stock")),ROWS($I$12:I99))),"")</f>
        <v/>
      </c>
      <c r="J99" t="str">
        <f>IF($I99="","",INDEX('Product Master'!$B$7:$B$1000,MATCH($I99,'Product Master'!$A$7:$A$1000,0)))</f>
        <v/>
      </c>
      <c r="K99" t="str">
        <f>IF($I99="","",INDEX('Product Master'!$C$7:$C$1000,MATCH($I99,'Product Master'!$A$7:$A$1000,0)))</f>
        <v/>
      </c>
      <c r="L99" t="str">
        <f>IF($I99="","",INDEX('Product Master'!$M$7:$M$1000,MATCH($I99,'Product Master'!$A$7:$A$1000,0)))</f>
        <v/>
      </c>
      <c r="M99" t="str">
        <f>IF($I99="","",INDEX('Product Master'!$N$7:$N$1000,MATCH($I99,'Product Master'!$A$7:$A$1000,0)))</f>
        <v/>
      </c>
    </row>
    <row r="100" spans="1:13" x14ac:dyDescent="0.3">
      <c r="A100" t="str">
        <f>IFERROR(INDEX('Product Master'!$A$7:$A$1000,_xlfn.AGGREGATE(15,6,(ROW('Product Master'!$A$7:$A$1000)-ROW('Product Master'!$A$7)+1)/(('Product Master'!$A$7:$A$1000&lt;&gt;"")*('Product Master'!$P$7:$P$1000="Low Stock")),ROWS($A$12:A100))),"")</f>
        <v/>
      </c>
      <c r="B100" t="str">
        <f>IF($A100="","",INDEX('Product Master'!$B$7:$B$1000,MATCH($A100,'Product Master'!$A$7:$A$1000,0)))</f>
        <v/>
      </c>
      <c r="C100" t="str">
        <f>IF($A100="","",INDEX('Product Master'!$C$7:$C$1000,MATCH($A100,'Product Master'!$A$7:$A$1000,0)))</f>
        <v/>
      </c>
      <c r="D100" t="str">
        <f>IF($A100="","",INDEX('Product Master'!$M$7:$M$1000,MATCH($A100,'Product Master'!$A$7:$A$1000,0)))</f>
        <v/>
      </c>
      <c r="E100" t="str">
        <f>IF($A100="","",INDEX('Product Master'!$N$7:$N$1000,MATCH($A100,'Product Master'!$A$7:$A$1000,0)))</f>
        <v/>
      </c>
      <c r="F100" t="str">
        <f>IF($A100="","",INDEX('Product Master'!$P$7:$P$1000,MATCH($A100,'Product Master'!$A$7:$A$1000,0)))</f>
        <v/>
      </c>
      <c r="I100" t="str">
        <f>IFERROR(INDEX('Product Master'!$A$7:$A$1000,_xlfn.AGGREGATE(15,6,(ROW('Product Master'!$A$7:$A$1000)-ROW('Product Master'!$A$7)+1)/(('Product Master'!$A$7:$A$1000&lt;&gt;"")*('Product Master'!$P$7:$P$1000="Out of Stock")),ROWS($I$12:I100))),"")</f>
        <v/>
      </c>
      <c r="J100" t="str">
        <f>IF($I100="","",INDEX('Product Master'!$B$7:$B$1000,MATCH($I100,'Product Master'!$A$7:$A$1000,0)))</f>
        <v/>
      </c>
      <c r="K100" t="str">
        <f>IF($I100="","",INDEX('Product Master'!$C$7:$C$1000,MATCH($I100,'Product Master'!$A$7:$A$1000,0)))</f>
        <v/>
      </c>
      <c r="L100" t="str">
        <f>IF($I100="","",INDEX('Product Master'!$M$7:$M$1000,MATCH($I100,'Product Master'!$A$7:$A$1000,0)))</f>
        <v/>
      </c>
      <c r="M100" t="str">
        <f>IF($I100="","",INDEX('Product Master'!$N$7:$N$1000,MATCH($I100,'Product Master'!$A$7:$A$1000,0)))</f>
        <v/>
      </c>
    </row>
    <row r="101" spans="1:13" x14ac:dyDescent="0.3">
      <c r="A101" t="str">
        <f>IFERROR(INDEX('Product Master'!$A$7:$A$1000,_xlfn.AGGREGATE(15,6,(ROW('Product Master'!$A$7:$A$1000)-ROW('Product Master'!$A$7)+1)/(('Product Master'!$A$7:$A$1000&lt;&gt;"")*('Product Master'!$P$7:$P$1000="Low Stock")),ROWS($A$12:A101))),"")</f>
        <v/>
      </c>
      <c r="B101" t="str">
        <f>IF($A101="","",INDEX('Product Master'!$B$7:$B$1000,MATCH($A101,'Product Master'!$A$7:$A$1000,0)))</f>
        <v/>
      </c>
      <c r="C101" t="str">
        <f>IF($A101="","",INDEX('Product Master'!$C$7:$C$1000,MATCH($A101,'Product Master'!$A$7:$A$1000,0)))</f>
        <v/>
      </c>
      <c r="D101" t="str">
        <f>IF($A101="","",INDEX('Product Master'!$M$7:$M$1000,MATCH($A101,'Product Master'!$A$7:$A$1000,0)))</f>
        <v/>
      </c>
      <c r="E101" t="str">
        <f>IF($A101="","",INDEX('Product Master'!$N$7:$N$1000,MATCH($A101,'Product Master'!$A$7:$A$1000,0)))</f>
        <v/>
      </c>
      <c r="F101" t="str">
        <f>IF($A101="","",INDEX('Product Master'!$P$7:$P$1000,MATCH($A101,'Product Master'!$A$7:$A$1000,0)))</f>
        <v/>
      </c>
      <c r="I101" t="str">
        <f>IFERROR(INDEX('Product Master'!$A$7:$A$1000,_xlfn.AGGREGATE(15,6,(ROW('Product Master'!$A$7:$A$1000)-ROW('Product Master'!$A$7)+1)/(('Product Master'!$A$7:$A$1000&lt;&gt;"")*('Product Master'!$P$7:$P$1000="Out of Stock")),ROWS($I$12:I101))),"")</f>
        <v/>
      </c>
      <c r="J101" t="str">
        <f>IF($I101="","",INDEX('Product Master'!$B$7:$B$1000,MATCH($I101,'Product Master'!$A$7:$A$1000,0)))</f>
        <v/>
      </c>
      <c r="K101" t="str">
        <f>IF($I101="","",INDEX('Product Master'!$C$7:$C$1000,MATCH($I101,'Product Master'!$A$7:$A$1000,0)))</f>
        <v/>
      </c>
      <c r="L101" t="str">
        <f>IF($I101="","",INDEX('Product Master'!$M$7:$M$1000,MATCH($I101,'Product Master'!$A$7:$A$1000,0)))</f>
        <v/>
      </c>
      <c r="M101" t="str">
        <f>IF($I101="","",INDEX('Product Master'!$N$7:$N$1000,MATCH($I101,'Product Master'!$A$7:$A$1000,0)))</f>
        <v/>
      </c>
    </row>
    <row r="102" spans="1:13" x14ac:dyDescent="0.3">
      <c r="A102" t="str">
        <f>IFERROR(INDEX('Product Master'!$A$7:$A$1000,_xlfn.AGGREGATE(15,6,(ROW('Product Master'!$A$7:$A$1000)-ROW('Product Master'!$A$7)+1)/(('Product Master'!$A$7:$A$1000&lt;&gt;"")*('Product Master'!$P$7:$P$1000="Low Stock")),ROWS($A$12:A102))),"")</f>
        <v/>
      </c>
      <c r="B102" t="str">
        <f>IF($A102="","",INDEX('Product Master'!$B$7:$B$1000,MATCH($A102,'Product Master'!$A$7:$A$1000,0)))</f>
        <v/>
      </c>
      <c r="C102" t="str">
        <f>IF($A102="","",INDEX('Product Master'!$C$7:$C$1000,MATCH($A102,'Product Master'!$A$7:$A$1000,0)))</f>
        <v/>
      </c>
      <c r="D102" t="str">
        <f>IF($A102="","",INDEX('Product Master'!$M$7:$M$1000,MATCH($A102,'Product Master'!$A$7:$A$1000,0)))</f>
        <v/>
      </c>
      <c r="E102" t="str">
        <f>IF($A102="","",INDEX('Product Master'!$N$7:$N$1000,MATCH($A102,'Product Master'!$A$7:$A$1000,0)))</f>
        <v/>
      </c>
      <c r="F102" t="str">
        <f>IF($A102="","",INDEX('Product Master'!$P$7:$P$1000,MATCH($A102,'Product Master'!$A$7:$A$1000,0)))</f>
        <v/>
      </c>
      <c r="I102" t="str">
        <f>IFERROR(INDEX('Product Master'!$A$7:$A$1000,_xlfn.AGGREGATE(15,6,(ROW('Product Master'!$A$7:$A$1000)-ROW('Product Master'!$A$7)+1)/(('Product Master'!$A$7:$A$1000&lt;&gt;"")*('Product Master'!$P$7:$P$1000="Out of Stock")),ROWS($I$12:I102))),"")</f>
        <v/>
      </c>
      <c r="J102" t="str">
        <f>IF($I102="","",INDEX('Product Master'!$B$7:$B$1000,MATCH($I102,'Product Master'!$A$7:$A$1000,0)))</f>
        <v/>
      </c>
      <c r="K102" t="str">
        <f>IF($I102="","",INDEX('Product Master'!$C$7:$C$1000,MATCH($I102,'Product Master'!$A$7:$A$1000,0)))</f>
        <v/>
      </c>
      <c r="L102" t="str">
        <f>IF($I102="","",INDEX('Product Master'!$M$7:$M$1000,MATCH($I102,'Product Master'!$A$7:$A$1000,0)))</f>
        <v/>
      </c>
      <c r="M102" t="str">
        <f>IF($I102="","",INDEX('Product Master'!$N$7:$N$1000,MATCH($I102,'Product Master'!$A$7:$A$1000,0)))</f>
        <v/>
      </c>
    </row>
    <row r="103" spans="1:13" x14ac:dyDescent="0.3">
      <c r="A103" t="str">
        <f>IFERROR(INDEX('Product Master'!$A$7:$A$1000,_xlfn.AGGREGATE(15,6,(ROW('Product Master'!$A$7:$A$1000)-ROW('Product Master'!$A$7)+1)/(('Product Master'!$A$7:$A$1000&lt;&gt;"")*('Product Master'!$P$7:$P$1000="Low Stock")),ROWS($A$12:A103))),"")</f>
        <v/>
      </c>
      <c r="B103" t="str">
        <f>IF($A103="","",INDEX('Product Master'!$B$7:$B$1000,MATCH($A103,'Product Master'!$A$7:$A$1000,0)))</f>
        <v/>
      </c>
      <c r="C103" t="str">
        <f>IF($A103="","",INDEX('Product Master'!$C$7:$C$1000,MATCH($A103,'Product Master'!$A$7:$A$1000,0)))</f>
        <v/>
      </c>
      <c r="D103" t="str">
        <f>IF($A103="","",INDEX('Product Master'!$M$7:$M$1000,MATCH($A103,'Product Master'!$A$7:$A$1000,0)))</f>
        <v/>
      </c>
      <c r="E103" t="str">
        <f>IF($A103="","",INDEX('Product Master'!$N$7:$N$1000,MATCH($A103,'Product Master'!$A$7:$A$1000,0)))</f>
        <v/>
      </c>
      <c r="F103" t="str">
        <f>IF($A103="","",INDEX('Product Master'!$P$7:$P$1000,MATCH($A103,'Product Master'!$A$7:$A$1000,0)))</f>
        <v/>
      </c>
      <c r="I103" t="str">
        <f>IFERROR(INDEX('Product Master'!$A$7:$A$1000,_xlfn.AGGREGATE(15,6,(ROW('Product Master'!$A$7:$A$1000)-ROW('Product Master'!$A$7)+1)/(('Product Master'!$A$7:$A$1000&lt;&gt;"")*('Product Master'!$P$7:$P$1000="Out of Stock")),ROWS($I$12:I103))),"")</f>
        <v/>
      </c>
      <c r="J103" t="str">
        <f>IF($I103="","",INDEX('Product Master'!$B$7:$B$1000,MATCH($I103,'Product Master'!$A$7:$A$1000,0)))</f>
        <v/>
      </c>
      <c r="K103" t="str">
        <f>IF($I103="","",INDEX('Product Master'!$C$7:$C$1000,MATCH($I103,'Product Master'!$A$7:$A$1000,0)))</f>
        <v/>
      </c>
      <c r="L103" t="str">
        <f>IF($I103="","",INDEX('Product Master'!$M$7:$M$1000,MATCH($I103,'Product Master'!$A$7:$A$1000,0)))</f>
        <v/>
      </c>
      <c r="M103" t="str">
        <f>IF($I103="","",INDEX('Product Master'!$N$7:$N$1000,MATCH($I103,'Product Master'!$A$7:$A$1000,0)))</f>
        <v/>
      </c>
    </row>
    <row r="104" spans="1:13" x14ac:dyDescent="0.3">
      <c r="A104" t="str">
        <f>IFERROR(INDEX('Product Master'!$A$7:$A$1000,_xlfn.AGGREGATE(15,6,(ROW('Product Master'!$A$7:$A$1000)-ROW('Product Master'!$A$7)+1)/(('Product Master'!$A$7:$A$1000&lt;&gt;"")*('Product Master'!$P$7:$P$1000="Low Stock")),ROWS($A$12:A104))),"")</f>
        <v/>
      </c>
      <c r="B104" t="str">
        <f>IF($A104="","",INDEX('Product Master'!$B$7:$B$1000,MATCH($A104,'Product Master'!$A$7:$A$1000,0)))</f>
        <v/>
      </c>
      <c r="C104" t="str">
        <f>IF($A104="","",INDEX('Product Master'!$C$7:$C$1000,MATCH($A104,'Product Master'!$A$7:$A$1000,0)))</f>
        <v/>
      </c>
      <c r="D104" t="str">
        <f>IF($A104="","",INDEX('Product Master'!$M$7:$M$1000,MATCH($A104,'Product Master'!$A$7:$A$1000,0)))</f>
        <v/>
      </c>
      <c r="E104" t="str">
        <f>IF($A104="","",INDEX('Product Master'!$N$7:$N$1000,MATCH($A104,'Product Master'!$A$7:$A$1000,0)))</f>
        <v/>
      </c>
      <c r="F104" t="str">
        <f>IF($A104="","",INDEX('Product Master'!$P$7:$P$1000,MATCH($A104,'Product Master'!$A$7:$A$1000,0)))</f>
        <v/>
      </c>
      <c r="I104" t="str">
        <f>IFERROR(INDEX('Product Master'!$A$7:$A$1000,_xlfn.AGGREGATE(15,6,(ROW('Product Master'!$A$7:$A$1000)-ROW('Product Master'!$A$7)+1)/(('Product Master'!$A$7:$A$1000&lt;&gt;"")*('Product Master'!$P$7:$P$1000="Out of Stock")),ROWS($I$12:I104))),"")</f>
        <v/>
      </c>
      <c r="J104" t="str">
        <f>IF($I104="","",INDEX('Product Master'!$B$7:$B$1000,MATCH($I104,'Product Master'!$A$7:$A$1000,0)))</f>
        <v/>
      </c>
      <c r="K104" t="str">
        <f>IF($I104="","",INDEX('Product Master'!$C$7:$C$1000,MATCH($I104,'Product Master'!$A$7:$A$1000,0)))</f>
        <v/>
      </c>
      <c r="L104" t="str">
        <f>IF($I104="","",INDEX('Product Master'!$M$7:$M$1000,MATCH($I104,'Product Master'!$A$7:$A$1000,0)))</f>
        <v/>
      </c>
      <c r="M104" t="str">
        <f>IF($I104="","",INDEX('Product Master'!$N$7:$N$1000,MATCH($I104,'Product Master'!$A$7:$A$1000,0)))</f>
        <v/>
      </c>
    </row>
    <row r="105" spans="1:13" x14ac:dyDescent="0.3">
      <c r="A105" t="str">
        <f>IFERROR(INDEX('Product Master'!$A$7:$A$1000,_xlfn.AGGREGATE(15,6,(ROW('Product Master'!$A$7:$A$1000)-ROW('Product Master'!$A$7)+1)/(('Product Master'!$A$7:$A$1000&lt;&gt;"")*('Product Master'!$P$7:$P$1000="Low Stock")),ROWS($A$12:A105))),"")</f>
        <v/>
      </c>
      <c r="B105" t="str">
        <f>IF($A105="","",INDEX('Product Master'!$B$7:$B$1000,MATCH($A105,'Product Master'!$A$7:$A$1000,0)))</f>
        <v/>
      </c>
      <c r="C105" t="str">
        <f>IF($A105="","",INDEX('Product Master'!$C$7:$C$1000,MATCH($A105,'Product Master'!$A$7:$A$1000,0)))</f>
        <v/>
      </c>
      <c r="D105" t="str">
        <f>IF($A105="","",INDEX('Product Master'!$M$7:$M$1000,MATCH($A105,'Product Master'!$A$7:$A$1000,0)))</f>
        <v/>
      </c>
      <c r="E105" t="str">
        <f>IF($A105="","",INDEX('Product Master'!$N$7:$N$1000,MATCH($A105,'Product Master'!$A$7:$A$1000,0)))</f>
        <v/>
      </c>
      <c r="F105" t="str">
        <f>IF($A105="","",INDEX('Product Master'!$P$7:$P$1000,MATCH($A105,'Product Master'!$A$7:$A$1000,0)))</f>
        <v/>
      </c>
      <c r="I105" t="str">
        <f>IFERROR(INDEX('Product Master'!$A$7:$A$1000,_xlfn.AGGREGATE(15,6,(ROW('Product Master'!$A$7:$A$1000)-ROW('Product Master'!$A$7)+1)/(('Product Master'!$A$7:$A$1000&lt;&gt;"")*('Product Master'!$P$7:$P$1000="Out of Stock")),ROWS($I$12:I105))),"")</f>
        <v/>
      </c>
      <c r="J105" t="str">
        <f>IF($I105="","",INDEX('Product Master'!$B$7:$B$1000,MATCH($I105,'Product Master'!$A$7:$A$1000,0)))</f>
        <v/>
      </c>
      <c r="K105" t="str">
        <f>IF($I105="","",INDEX('Product Master'!$C$7:$C$1000,MATCH($I105,'Product Master'!$A$7:$A$1000,0)))</f>
        <v/>
      </c>
      <c r="L105" t="str">
        <f>IF($I105="","",INDEX('Product Master'!$M$7:$M$1000,MATCH($I105,'Product Master'!$A$7:$A$1000,0)))</f>
        <v/>
      </c>
      <c r="M105" t="str">
        <f>IF($I105="","",INDEX('Product Master'!$N$7:$N$1000,MATCH($I105,'Product Master'!$A$7:$A$1000,0)))</f>
        <v/>
      </c>
    </row>
    <row r="106" spans="1:13" x14ac:dyDescent="0.3">
      <c r="A106" t="str">
        <f>IFERROR(INDEX('Product Master'!$A$7:$A$1000,_xlfn.AGGREGATE(15,6,(ROW('Product Master'!$A$7:$A$1000)-ROW('Product Master'!$A$7)+1)/(('Product Master'!$A$7:$A$1000&lt;&gt;"")*('Product Master'!$P$7:$P$1000="Low Stock")),ROWS($A$12:A106))),"")</f>
        <v/>
      </c>
      <c r="B106" t="str">
        <f>IF($A106="","",INDEX('Product Master'!$B$7:$B$1000,MATCH($A106,'Product Master'!$A$7:$A$1000,0)))</f>
        <v/>
      </c>
      <c r="C106" t="str">
        <f>IF($A106="","",INDEX('Product Master'!$C$7:$C$1000,MATCH($A106,'Product Master'!$A$7:$A$1000,0)))</f>
        <v/>
      </c>
      <c r="D106" t="str">
        <f>IF($A106="","",INDEX('Product Master'!$M$7:$M$1000,MATCH($A106,'Product Master'!$A$7:$A$1000,0)))</f>
        <v/>
      </c>
      <c r="E106" t="str">
        <f>IF($A106="","",INDEX('Product Master'!$N$7:$N$1000,MATCH($A106,'Product Master'!$A$7:$A$1000,0)))</f>
        <v/>
      </c>
      <c r="F106" t="str">
        <f>IF($A106="","",INDEX('Product Master'!$P$7:$P$1000,MATCH($A106,'Product Master'!$A$7:$A$1000,0)))</f>
        <v/>
      </c>
      <c r="I106" t="str">
        <f>IFERROR(INDEX('Product Master'!$A$7:$A$1000,_xlfn.AGGREGATE(15,6,(ROW('Product Master'!$A$7:$A$1000)-ROW('Product Master'!$A$7)+1)/(('Product Master'!$A$7:$A$1000&lt;&gt;"")*('Product Master'!$P$7:$P$1000="Out of Stock")),ROWS($I$12:I106))),"")</f>
        <v/>
      </c>
      <c r="J106" t="str">
        <f>IF($I106="","",INDEX('Product Master'!$B$7:$B$1000,MATCH($I106,'Product Master'!$A$7:$A$1000,0)))</f>
        <v/>
      </c>
      <c r="K106" t="str">
        <f>IF($I106="","",INDEX('Product Master'!$C$7:$C$1000,MATCH($I106,'Product Master'!$A$7:$A$1000,0)))</f>
        <v/>
      </c>
      <c r="L106" t="str">
        <f>IF($I106="","",INDEX('Product Master'!$M$7:$M$1000,MATCH($I106,'Product Master'!$A$7:$A$1000,0)))</f>
        <v/>
      </c>
      <c r="M106" t="str">
        <f>IF($I106="","",INDEX('Product Master'!$N$7:$N$1000,MATCH($I106,'Product Master'!$A$7:$A$1000,0)))</f>
        <v/>
      </c>
    </row>
    <row r="107" spans="1:13" x14ac:dyDescent="0.3">
      <c r="A107" t="str">
        <f>IFERROR(INDEX('Product Master'!$A$7:$A$1000,_xlfn.AGGREGATE(15,6,(ROW('Product Master'!$A$7:$A$1000)-ROW('Product Master'!$A$7)+1)/(('Product Master'!$A$7:$A$1000&lt;&gt;"")*('Product Master'!$P$7:$P$1000="Low Stock")),ROWS($A$12:A107))),"")</f>
        <v/>
      </c>
      <c r="B107" t="str">
        <f>IF($A107="","",INDEX('Product Master'!$B$7:$B$1000,MATCH($A107,'Product Master'!$A$7:$A$1000,0)))</f>
        <v/>
      </c>
      <c r="C107" t="str">
        <f>IF($A107="","",INDEX('Product Master'!$C$7:$C$1000,MATCH($A107,'Product Master'!$A$7:$A$1000,0)))</f>
        <v/>
      </c>
      <c r="D107" t="str">
        <f>IF($A107="","",INDEX('Product Master'!$M$7:$M$1000,MATCH($A107,'Product Master'!$A$7:$A$1000,0)))</f>
        <v/>
      </c>
      <c r="E107" t="str">
        <f>IF($A107="","",INDEX('Product Master'!$N$7:$N$1000,MATCH($A107,'Product Master'!$A$7:$A$1000,0)))</f>
        <v/>
      </c>
      <c r="F107" t="str">
        <f>IF($A107="","",INDEX('Product Master'!$P$7:$P$1000,MATCH($A107,'Product Master'!$A$7:$A$1000,0)))</f>
        <v/>
      </c>
      <c r="I107" t="str">
        <f>IFERROR(INDEX('Product Master'!$A$7:$A$1000,_xlfn.AGGREGATE(15,6,(ROW('Product Master'!$A$7:$A$1000)-ROW('Product Master'!$A$7)+1)/(('Product Master'!$A$7:$A$1000&lt;&gt;"")*('Product Master'!$P$7:$P$1000="Out of Stock")),ROWS($I$12:I107))),"")</f>
        <v/>
      </c>
      <c r="J107" t="str">
        <f>IF($I107="","",INDEX('Product Master'!$B$7:$B$1000,MATCH($I107,'Product Master'!$A$7:$A$1000,0)))</f>
        <v/>
      </c>
      <c r="K107" t="str">
        <f>IF($I107="","",INDEX('Product Master'!$C$7:$C$1000,MATCH($I107,'Product Master'!$A$7:$A$1000,0)))</f>
        <v/>
      </c>
      <c r="L107" t="str">
        <f>IF($I107="","",INDEX('Product Master'!$M$7:$M$1000,MATCH($I107,'Product Master'!$A$7:$A$1000,0)))</f>
        <v/>
      </c>
      <c r="M107" t="str">
        <f>IF($I107="","",INDEX('Product Master'!$N$7:$N$1000,MATCH($I107,'Product Master'!$A$7:$A$1000,0)))</f>
        <v/>
      </c>
    </row>
    <row r="108" spans="1:13" x14ac:dyDescent="0.3">
      <c r="A108" t="str">
        <f>IFERROR(INDEX('Product Master'!$A$7:$A$1000,_xlfn.AGGREGATE(15,6,(ROW('Product Master'!$A$7:$A$1000)-ROW('Product Master'!$A$7)+1)/(('Product Master'!$A$7:$A$1000&lt;&gt;"")*('Product Master'!$P$7:$P$1000="Low Stock")),ROWS($A$12:A108))),"")</f>
        <v/>
      </c>
      <c r="B108" t="str">
        <f>IF($A108="","",INDEX('Product Master'!$B$7:$B$1000,MATCH($A108,'Product Master'!$A$7:$A$1000,0)))</f>
        <v/>
      </c>
      <c r="C108" t="str">
        <f>IF($A108="","",INDEX('Product Master'!$C$7:$C$1000,MATCH($A108,'Product Master'!$A$7:$A$1000,0)))</f>
        <v/>
      </c>
      <c r="D108" t="str">
        <f>IF($A108="","",INDEX('Product Master'!$M$7:$M$1000,MATCH($A108,'Product Master'!$A$7:$A$1000,0)))</f>
        <v/>
      </c>
      <c r="E108" t="str">
        <f>IF($A108="","",INDEX('Product Master'!$N$7:$N$1000,MATCH($A108,'Product Master'!$A$7:$A$1000,0)))</f>
        <v/>
      </c>
      <c r="F108" t="str">
        <f>IF($A108="","",INDEX('Product Master'!$P$7:$P$1000,MATCH($A108,'Product Master'!$A$7:$A$1000,0)))</f>
        <v/>
      </c>
      <c r="I108" t="str">
        <f>IFERROR(INDEX('Product Master'!$A$7:$A$1000,_xlfn.AGGREGATE(15,6,(ROW('Product Master'!$A$7:$A$1000)-ROW('Product Master'!$A$7)+1)/(('Product Master'!$A$7:$A$1000&lt;&gt;"")*('Product Master'!$P$7:$P$1000="Out of Stock")),ROWS($I$12:I108))),"")</f>
        <v/>
      </c>
      <c r="J108" t="str">
        <f>IF($I108="","",INDEX('Product Master'!$B$7:$B$1000,MATCH($I108,'Product Master'!$A$7:$A$1000,0)))</f>
        <v/>
      </c>
      <c r="K108" t="str">
        <f>IF($I108="","",INDEX('Product Master'!$C$7:$C$1000,MATCH($I108,'Product Master'!$A$7:$A$1000,0)))</f>
        <v/>
      </c>
      <c r="L108" t="str">
        <f>IF($I108="","",INDEX('Product Master'!$M$7:$M$1000,MATCH($I108,'Product Master'!$A$7:$A$1000,0)))</f>
        <v/>
      </c>
      <c r="M108" t="str">
        <f>IF($I108="","",INDEX('Product Master'!$N$7:$N$1000,MATCH($I108,'Product Master'!$A$7:$A$1000,0)))</f>
        <v/>
      </c>
    </row>
    <row r="109" spans="1:13" x14ac:dyDescent="0.3">
      <c r="A109" t="str">
        <f>IFERROR(INDEX('Product Master'!$A$7:$A$1000,_xlfn.AGGREGATE(15,6,(ROW('Product Master'!$A$7:$A$1000)-ROW('Product Master'!$A$7)+1)/(('Product Master'!$A$7:$A$1000&lt;&gt;"")*('Product Master'!$P$7:$P$1000="Low Stock")),ROWS($A$12:A109))),"")</f>
        <v/>
      </c>
      <c r="B109" t="str">
        <f>IF($A109="","",INDEX('Product Master'!$B$7:$B$1000,MATCH($A109,'Product Master'!$A$7:$A$1000,0)))</f>
        <v/>
      </c>
      <c r="C109" t="str">
        <f>IF($A109="","",INDEX('Product Master'!$C$7:$C$1000,MATCH($A109,'Product Master'!$A$7:$A$1000,0)))</f>
        <v/>
      </c>
      <c r="D109" t="str">
        <f>IF($A109="","",INDEX('Product Master'!$M$7:$M$1000,MATCH($A109,'Product Master'!$A$7:$A$1000,0)))</f>
        <v/>
      </c>
      <c r="E109" t="str">
        <f>IF($A109="","",INDEX('Product Master'!$N$7:$N$1000,MATCH($A109,'Product Master'!$A$7:$A$1000,0)))</f>
        <v/>
      </c>
      <c r="F109" t="str">
        <f>IF($A109="","",INDEX('Product Master'!$P$7:$P$1000,MATCH($A109,'Product Master'!$A$7:$A$1000,0)))</f>
        <v/>
      </c>
      <c r="I109" t="str">
        <f>IFERROR(INDEX('Product Master'!$A$7:$A$1000,_xlfn.AGGREGATE(15,6,(ROW('Product Master'!$A$7:$A$1000)-ROW('Product Master'!$A$7)+1)/(('Product Master'!$A$7:$A$1000&lt;&gt;"")*('Product Master'!$P$7:$P$1000="Out of Stock")),ROWS($I$12:I109))),"")</f>
        <v/>
      </c>
      <c r="J109" t="str">
        <f>IF($I109="","",INDEX('Product Master'!$B$7:$B$1000,MATCH($I109,'Product Master'!$A$7:$A$1000,0)))</f>
        <v/>
      </c>
      <c r="K109" t="str">
        <f>IF($I109="","",INDEX('Product Master'!$C$7:$C$1000,MATCH($I109,'Product Master'!$A$7:$A$1000,0)))</f>
        <v/>
      </c>
      <c r="L109" t="str">
        <f>IF($I109="","",INDEX('Product Master'!$M$7:$M$1000,MATCH($I109,'Product Master'!$A$7:$A$1000,0)))</f>
        <v/>
      </c>
      <c r="M109" t="str">
        <f>IF($I109="","",INDEX('Product Master'!$N$7:$N$1000,MATCH($I109,'Product Master'!$A$7:$A$1000,0)))</f>
        <v/>
      </c>
    </row>
    <row r="110" spans="1:13" x14ac:dyDescent="0.3">
      <c r="A110" t="str">
        <f>IFERROR(INDEX('Product Master'!$A$7:$A$1000,_xlfn.AGGREGATE(15,6,(ROW('Product Master'!$A$7:$A$1000)-ROW('Product Master'!$A$7)+1)/(('Product Master'!$A$7:$A$1000&lt;&gt;"")*('Product Master'!$P$7:$P$1000="Low Stock")),ROWS($A$12:A110))),"")</f>
        <v/>
      </c>
      <c r="B110" t="str">
        <f>IF($A110="","",INDEX('Product Master'!$B$7:$B$1000,MATCH($A110,'Product Master'!$A$7:$A$1000,0)))</f>
        <v/>
      </c>
      <c r="C110" t="str">
        <f>IF($A110="","",INDEX('Product Master'!$C$7:$C$1000,MATCH($A110,'Product Master'!$A$7:$A$1000,0)))</f>
        <v/>
      </c>
      <c r="D110" t="str">
        <f>IF($A110="","",INDEX('Product Master'!$M$7:$M$1000,MATCH($A110,'Product Master'!$A$7:$A$1000,0)))</f>
        <v/>
      </c>
      <c r="E110" t="str">
        <f>IF($A110="","",INDEX('Product Master'!$N$7:$N$1000,MATCH($A110,'Product Master'!$A$7:$A$1000,0)))</f>
        <v/>
      </c>
      <c r="F110" t="str">
        <f>IF($A110="","",INDEX('Product Master'!$P$7:$P$1000,MATCH($A110,'Product Master'!$A$7:$A$1000,0)))</f>
        <v/>
      </c>
      <c r="I110" t="str">
        <f>IFERROR(INDEX('Product Master'!$A$7:$A$1000,_xlfn.AGGREGATE(15,6,(ROW('Product Master'!$A$7:$A$1000)-ROW('Product Master'!$A$7)+1)/(('Product Master'!$A$7:$A$1000&lt;&gt;"")*('Product Master'!$P$7:$P$1000="Out of Stock")),ROWS($I$12:I110))),"")</f>
        <v/>
      </c>
      <c r="J110" t="str">
        <f>IF($I110="","",INDEX('Product Master'!$B$7:$B$1000,MATCH($I110,'Product Master'!$A$7:$A$1000,0)))</f>
        <v/>
      </c>
      <c r="K110" t="str">
        <f>IF($I110="","",INDEX('Product Master'!$C$7:$C$1000,MATCH($I110,'Product Master'!$A$7:$A$1000,0)))</f>
        <v/>
      </c>
      <c r="L110" t="str">
        <f>IF($I110="","",INDEX('Product Master'!$M$7:$M$1000,MATCH($I110,'Product Master'!$A$7:$A$1000,0)))</f>
        <v/>
      </c>
      <c r="M110" t="str">
        <f>IF($I110="","",INDEX('Product Master'!$N$7:$N$1000,MATCH($I110,'Product Master'!$A$7:$A$1000,0)))</f>
        <v/>
      </c>
    </row>
    <row r="111" spans="1:13" x14ac:dyDescent="0.3">
      <c r="A111" t="str">
        <f>IFERROR(INDEX('Product Master'!$A$7:$A$1000,_xlfn.AGGREGATE(15,6,(ROW('Product Master'!$A$7:$A$1000)-ROW('Product Master'!$A$7)+1)/(('Product Master'!$A$7:$A$1000&lt;&gt;"")*('Product Master'!$P$7:$P$1000="Low Stock")),ROWS($A$12:A111))),"")</f>
        <v/>
      </c>
      <c r="B111" t="str">
        <f>IF($A111="","",INDEX('Product Master'!$B$7:$B$1000,MATCH($A111,'Product Master'!$A$7:$A$1000,0)))</f>
        <v/>
      </c>
      <c r="C111" t="str">
        <f>IF($A111="","",INDEX('Product Master'!$C$7:$C$1000,MATCH($A111,'Product Master'!$A$7:$A$1000,0)))</f>
        <v/>
      </c>
      <c r="D111" t="str">
        <f>IF($A111="","",INDEX('Product Master'!$M$7:$M$1000,MATCH($A111,'Product Master'!$A$7:$A$1000,0)))</f>
        <v/>
      </c>
      <c r="E111" t="str">
        <f>IF($A111="","",INDEX('Product Master'!$N$7:$N$1000,MATCH($A111,'Product Master'!$A$7:$A$1000,0)))</f>
        <v/>
      </c>
      <c r="F111" t="str">
        <f>IF($A111="","",INDEX('Product Master'!$P$7:$P$1000,MATCH($A111,'Product Master'!$A$7:$A$1000,0)))</f>
        <v/>
      </c>
      <c r="I111" t="str">
        <f>IFERROR(INDEX('Product Master'!$A$7:$A$1000,_xlfn.AGGREGATE(15,6,(ROW('Product Master'!$A$7:$A$1000)-ROW('Product Master'!$A$7)+1)/(('Product Master'!$A$7:$A$1000&lt;&gt;"")*('Product Master'!$P$7:$P$1000="Out of Stock")),ROWS($I$12:I111))),"")</f>
        <v/>
      </c>
      <c r="J111" t="str">
        <f>IF($I111="","",INDEX('Product Master'!$B$7:$B$1000,MATCH($I111,'Product Master'!$A$7:$A$1000,0)))</f>
        <v/>
      </c>
      <c r="K111" t="str">
        <f>IF($I111="","",INDEX('Product Master'!$C$7:$C$1000,MATCH($I111,'Product Master'!$A$7:$A$1000,0)))</f>
        <v/>
      </c>
      <c r="L111" t="str">
        <f>IF($I111="","",INDEX('Product Master'!$M$7:$M$1000,MATCH($I111,'Product Master'!$A$7:$A$1000,0)))</f>
        <v/>
      </c>
      <c r="M111" t="str">
        <f>IF($I111="","",INDEX('Product Master'!$N$7:$N$1000,MATCH($I111,'Product Master'!$A$7:$A$1000,0)))</f>
        <v/>
      </c>
    </row>
    <row r="112" spans="1:13" x14ac:dyDescent="0.3">
      <c r="A112" t="str">
        <f>IFERROR(INDEX('Product Master'!$A$7:$A$1000,_xlfn.AGGREGATE(15,6,(ROW('Product Master'!$A$7:$A$1000)-ROW('Product Master'!$A$7)+1)/(('Product Master'!$A$7:$A$1000&lt;&gt;"")*('Product Master'!$P$7:$P$1000="Low Stock")),ROWS($A$12:A112))),"")</f>
        <v/>
      </c>
      <c r="B112" t="str">
        <f>IF($A112="","",INDEX('Product Master'!$B$7:$B$1000,MATCH($A112,'Product Master'!$A$7:$A$1000,0)))</f>
        <v/>
      </c>
      <c r="C112" t="str">
        <f>IF($A112="","",INDEX('Product Master'!$C$7:$C$1000,MATCH($A112,'Product Master'!$A$7:$A$1000,0)))</f>
        <v/>
      </c>
      <c r="D112" t="str">
        <f>IF($A112="","",INDEX('Product Master'!$M$7:$M$1000,MATCH($A112,'Product Master'!$A$7:$A$1000,0)))</f>
        <v/>
      </c>
      <c r="E112" t="str">
        <f>IF($A112="","",INDEX('Product Master'!$N$7:$N$1000,MATCH($A112,'Product Master'!$A$7:$A$1000,0)))</f>
        <v/>
      </c>
      <c r="F112" t="str">
        <f>IF($A112="","",INDEX('Product Master'!$P$7:$P$1000,MATCH($A112,'Product Master'!$A$7:$A$1000,0)))</f>
        <v/>
      </c>
      <c r="I112" t="str">
        <f>IFERROR(INDEX('Product Master'!$A$7:$A$1000,_xlfn.AGGREGATE(15,6,(ROW('Product Master'!$A$7:$A$1000)-ROW('Product Master'!$A$7)+1)/(('Product Master'!$A$7:$A$1000&lt;&gt;"")*('Product Master'!$P$7:$P$1000="Out of Stock")),ROWS($I$12:I112))),"")</f>
        <v/>
      </c>
      <c r="J112" t="str">
        <f>IF($I112="","",INDEX('Product Master'!$B$7:$B$1000,MATCH($I112,'Product Master'!$A$7:$A$1000,0)))</f>
        <v/>
      </c>
      <c r="K112" t="str">
        <f>IF($I112="","",INDEX('Product Master'!$C$7:$C$1000,MATCH($I112,'Product Master'!$A$7:$A$1000,0)))</f>
        <v/>
      </c>
      <c r="L112" t="str">
        <f>IF($I112="","",INDEX('Product Master'!$M$7:$M$1000,MATCH($I112,'Product Master'!$A$7:$A$1000,0)))</f>
        <v/>
      </c>
      <c r="M112" t="str">
        <f>IF($I112="","",INDEX('Product Master'!$N$7:$N$1000,MATCH($I112,'Product Master'!$A$7:$A$1000,0)))</f>
        <v/>
      </c>
    </row>
    <row r="113" spans="1:13" x14ac:dyDescent="0.3">
      <c r="A113" t="str">
        <f>IFERROR(INDEX('Product Master'!$A$7:$A$1000,_xlfn.AGGREGATE(15,6,(ROW('Product Master'!$A$7:$A$1000)-ROW('Product Master'!$A$7)+1)/(('Product Master'!$A$7:$A$1000&lt;&gt;"")*('Product Master'!$P$7:$P$1000="Low Stock")),ROWS($A$12:A113))),"")</f>
        <v/>
      </c>
      <c r="B113" t="str">
        <f>IF($A113="","",INDEX('Product Master'!$B$7:$B$1000,MATCH($A113,'Product Master'!$A$7:$A$1000,0)))</f>
        <v/>
      </c>
      <c r="C113" t="str">
        <f>IF($A113="","",INDEX('Product Master'!$C$7:$C$1000,MATCH($A113,'Product Master'!$A$7:$A$1000,0)))</f>
        <v/>
      </c>
      <c r="D113" t="str">
        <f>IF($A113="","",INDEX('Product Master'!$M$7:$M$1000,MATCH($A113,'Product Master'!$A$7:$A$1000,0)))</f>
        <v/>
      </c>
      <c r="E113" t="str">
        <f>IF($A113="","",INDEX('Product Master'!$N$7:$N$1000,MATCH($A113,'Product Master'!$A$7:$A$1000,0)))</f>
        <v/>
      </c>
      <c r="F113" t="str">
        <f>IF($A113="","",INDEX('Product Master'!$P$7:$P$1000,MATCH($A113,'Product Master'!$A$7:$A$1000,0)))</f>
        <v/>
      </c>
      <c r="I113" t="str">
        <f>IFERROR(INDEX('Product Master'!$A$7:$A$1000,_xlfn.AGGREGATE(15,6,(ROW('Product Master'!$A$7:$A$1000)-ROW('Product Master'!$A$7)+1)/(('Product Master'!$A$7:$A$1000&lt;&gt;"")*('Product Master'!$P$7:$P$1000="Out of Stock")),ROWS($I$12:I113))),"")</f>
        <v/>
      </c>
      <c r="J113" t="str">
        <f>IF($I113="","",INDEX('Product Master'!$B$7:$B$1000,MATCH($I113,'Product Master'!$A$7:$A$1000,0)))</f>
        <v/>
      </c>
      <c r="K113" t="str">
        <f>IF($I113="","",INDEX('Product Master'!$C$7:$C$1000,MATCH($I113,'Product Master'!$A$7:$A$1000,0)))</f>
        <v/>
      </c>
      <c r="L113" t="str">
        <f>IF($I113="","",INDEX('Product Master'!$M$7:$M$1000,MATCH($I113,'Product Master'!$A$7:$A$1000,0)))</f>
        <v/>
      </c>
      <c r="M113" t="str">
        <f>IF($I113="","",INDEX('Product Master'!$N$7:$N$1000,MATCH($I113,'Product Master'!$A$7:$A$1000,0)))</f>
        <v/>
      </c>
    </row>
    <row r="114" spans="1:13" x14ac:dyDescent="0.3">
      <c r="A114" t="str">
        <f>IFERROR(INDEX('Product Master'!$A$7:$A$1000,_xlfn.AGGREGATE(15,6,(ROW('Product Master'!$A$7:$A$1000)-ROW('Product Master'!$A$7)+1)/(('Product Master'!$A$7:$A$1000&lt;&gt;"")*('Product Master'!$P$7:$P$1000="Low Stock")),ROWS($A$12:A114))),"")</f>
        <v/>
      </c>
      <c r="B114" t="str">
        <f>IF($A114="","",INDEX('Product Master'!$B$7:$B$1000,MATCH($A114,'Product Master'!$A$7:$A$1000,0)))</f>
        <v/>
      </c>
      <c r="C114" t="str">
        <f>IF($A114="","",INDEX('Product Master'!$C$7:$C$1000,MATCH($A114,'Product Master'!$A$7:$A$1000,0)))</f>
        <v/>
      </c>
      <c r="D114" t="str">
        <f>IF($A114="","",INDEX('Product Master'!$M$7:$M$1000,MATCH($A114,'Product Master'!$A$7:$A$1000,0)))</f>
        <v/>
      </c>
      <c r="E114" t="str">
        <f>IF($A114="","",INDEX('Product Master'!$N$7:$N$1000,MATCH($A114,'Product Master'!$A$7:$A$1000,0)))</f>
        <v/>
      </c>
      <c r="F114" t="str">
        <f>IF($A114="","",INDEX('Product Master'!$P$7:$P$1000,MATCH($A114,'Product Master'!$A$7:$A$1000,0)))</f>
        <v/>
      </c>
      <c r="I114" t="str">
        <f>IFERROR(INDEX('Product Master'!$A$7:$A$1000,_xlfn.AGGREGATE(15,6,(ROW('Product Master'!$A$7:$A$1000)-ROW('Product Master'!$A$7)+1)/(('Product Master'!$A$7:$A$1000&lt;&gt;"")*('Product Master'!$P$7:$P$1000="Out of Stock")),ROWS($I$12:I114))),"")</f>
        <v/>
      </c>
      <c r="J114" t="str">
        <f>IF($I114="","",INDEX('Product Master'!$B$7:$B$1000,MATCH($I114,'Product Master'!$A$7:$A$1000,0)))</f>
        <v/>
      </c>
      <c r="K114" t="str">
        <f>IF($I114="","",INDEX('Product Master'!$C$7:$C$1000,MATCH($I114,'Product Master'!$A$7:$A$1000,0)))</f>
        <v/>
      </c>
      <c r="L114" t="str">
        <f>IF($I114="","",INDEX('Product Master'!$M$7:$M$1000,MATCH($I114,'Product Master'!$A$7:$A$1000,0)))</f>
        <v/>
      </c>
      <c r="M114" t="str">
        <f>IF($I114="","",INDEX('Product Master'!$N$7:$N$1000,MATCH($I114,'Product Master'!$A$7:$A$1000,0)))</f>
        <v/>
      </c>
    </row>
    <row r="115" spans="1:13" x14ac:dyDescent="0.3">
      <c r="A115" t="str">
        <f>IFERROR(INDEX('Product Master'!$A$7:$A$1000,_xlfn.AGGREGATE(15,6,(ROW('Product Master'!$A$7:$A$1000)-ROW('Product Master'!$A$7)+1)/(('Product Master'!$A$7:$A$1000&lt;&gt;"")*('Product Master'!$P$7:$P$1000="Low Stock")),ROWS($A$12:A115))),"")</f>
        <v/>
      </c>
      <c r="B115" t="str">
        <f>IF($A115="","",INDEX('Product Master'!$B$7:$B$1000,MATCH($A115,'Product Master'!$A$7:$A$1000,0)))</f>
        <v/>
      </c>
      <c r="C115" t="str">
        <f>IF($A115="","",INDEX('Product Master'!$C$7:$C$1000,MATCH($A115,'Product Master'!$A$7:$A$1000,0)))</f>
        <v/>
      </c>
      <c r="D115" t="str">
        <f>IF($A115="","",INDEX('Product Master'!$M$7:$M$1000,MATCH($A115,'Product Master'!$A$7:$A$1000,0)))</f>
        <v/>
      </c>
      <c r="E115" t="str">
        <f>IF($A115="","",INDEX('Product Master'!$N$7:$N$1000,MATCH($A115,'Product Master'!$A$7:$A$1000,0)))</f>
        <v/>
      </c>
      <c r="F115" t="str">
        <f>IF($A115="","",INDEX('Product Master'!$P$7:$P$1000,MATCH($A115,'Product Master'!$A$7:$A$1000,0)))</f>
        <v/>
      </c>
      <c r="I115" t="str">
        <f>IFERROR(INDEX('Product Master'!$A$7:$A$1000,_xlfn.AGGREGATE(15,6,(ROW('Product Master'!$A$7:$A$1000)-ROW('Product Master'!$A$7)+1)/(('Product Master'!$A$7:$A$1000&lt;&gt;"")*('Product Master'!$P$7:$P$1000="Out of Stock")),ROWS($I$12:I115))),"")</f>
        <v/>
      </c>
      <c r="J115" t="str">
        <f>IF($I115="","",INDEX('Product Master'!$B$7:$B$1000,MATCH($I115,'Product Master'!$A$7:$A$1000,0)))</f>
        <v/>
      </c>
      <c r="K115" t="str">
        <f>IF($I115="","",INDEX('Product Master'!$C$7:$C$1000,MATCH($I115,'Product Master'!$A$7:$A$1000,0)))</f>
        <v/>
      </c>
      <c r="L115" t="str">
        <f>IF($I115="","",INDEX('Product Master'!$M$7:$M$1000,MATCH($I115,'Product Master'!$A$7:$A$1000,0)))</f>
        <v/>
      </c>
      <c r="M115" t="str">
        <f>IF($I115="","",INDEX('Product Master'!$N$7:$N$1000,MATCH($I115,'Product Master'!$A$7:$A$1000,0)))</f>
        <v/>
      </c>
    </row>
    <row r="116" spans="1:13" x14ac:dyDescent="0.3">
      <c r="A116" t="str">
        <f>IFERROR(INDEX('Product Master'!$A$7:$A$1000,_xlfn.AGGREGATE(15,6,(ROW('Product Master'!$A$7:$A$1000)-ROW('Product Master'!$A$7)+1)/(('Product Master'!$A$7:$A$1000&lt;&gt;"")*('Product Master'!$P$7:$P$1000="Low Stock")),ROWS($A$12:A116))),"")</f>
        <v/>
      </c>
      <c r="B116" t="str">
        <f>IF($A116="","",INDEX('Product Master'!$B$7:$B$1000,MATCH($A116,'Product Master'!$A$7:$A$1000,0)))</f>
        <v/>
      </c>
      <c r="C116" t="str">
        <f>IF($A116="","",INDEX('Product Master'!$C$7:$C$1000,MATCH($A116,'Product Master'!$A$7:$A$1000,0)))</f>
        <v/>
      </c>
      <c r="D116" t="str">
        <f>IF($A116="","",INDEX('Product Master'!$M$7:$M$1000,MATCH($A116,'Product Master'!$A$7:$A$1000,0)))</f>
        <v/>
      </c>
      <c r="E116" t="str">
        <f>IF($A116="","",INDEX('Product Master'!$N$7:$N$1000,MATCH($A116,'Product Master'!$A$7:$A$1000,0)))</f>
        <v/>
      </c>
      <c r="F116" t="str">
        <f>IF($A116="","",INDEX('Product Master'!$P$7:$P$1000,MATCH($A116,'Product Master'!$A$7:$A$1000,0)))</f>
        <v/>
      </c>
      <c r="I116" t="str">
        <f>IFERROR(INDEX('Product Master'!$A$7:$A$1000,_xlfn.AGGREGATE(15,6,(ROW('Product Master'!$A$7:$A$1000)-ROW('Product Master'!$A$7)+1)/(('Product Master'!$A$7:$A$1000&lt;&gt;"")*('Product Master'!$P$7:$P$1000="Out of Stock")),ROWS($I$12:I116))),"")</f>
        <v/>
      </c>
      <c r="J116" t="str">
        <f>IF($I116="","",INDEX('Product Master'!$B$7:$B$1000,MATCH($I116,'Product Master'!$A$7:$A$1000,0)))</f>
        <v/>
      </c>
      <c r="K116" t="str">
        <f>IF($I116="","",INDEX('Product Master'!$C$7:$C$1000,MATCH($I116,'Product Master'!$A$7:$A$1000,0)))</f>
        <v/>
      </c>
      <c r="L116" t="str">
        <f>IF($I116="","",INDEX('Product Master'!$M$7:$M$1000,MATCH($I116,'Product Master'!$A$7:$A$1000,0)))</f>
        <v/>
      </c>
      <c r="M116" t="str">
        <f>IF($I116="","",INDEX('Product Master'!$N$7:$N$1000,MATCH($I116,'Product Master'!$A$7:$A$1000,0)))</f>
        <v/>
      </c>
    </row>
    <row r="117" spans="1:13" x14ac:dyDescent="0.3">
      <c r="A117" t="str">
        <f>IFERROR(INDEX('Product Master'!$A$7:$A$1000,_xlfn.AGGREGATE(15,6,(ROW('Product Master'!$A$7:$A$1000)-ROW('Product Master'!$A$7)+1)/(('Product Master'!$A$7:$A$1000&lt;&gt;"")*('Product Master'!$P$7:$P$1000="Low Stock")),ROWS($A$12:A117))),"")</f>
        <v/>
      </c>
      <c r="B117" t="str">
        <f>IF($A117="","",INDEX('Product Master'!$B$7:$B$1000,MATCH($A117,'Product Master'!$A$7:$A$1000,0)))</f>
        <v/>
      </c>
      <c r="C117" t="str">
        <f>IF($A117="","",INDEX('Product Master'!$C$7:$C$1000,MATCH($A117,'Product Master'!$A$7:$A$1000,0)))</f>
        <v/>
      </c>
      <c r="D117" t="str">
        <f>IF($A117="","",INDEX('Product Master'!$M$7:$M$1000,MATCH($A117,'Product Master'!$A$7:$A$1000,0)))</f>
        <v/>
      </c>
      <c r="E117" t="str">
        <f>IF($A117="","",INDEX('Product Master'!$N$7:$N$1000,MATCH($A117,'Product Master'!$A$7:$A$1000,0)))</f>
        <v/>
      </c>
      <c r="F117" t="str">
        <f>IF($A117="","",INDEX('Product Master'!$P$7:$P$1000,MATCH($A117,'Product Master'!$A$7:$A$1000,0)))</f>
        <v/>
      </c>
      <c r="I117" t="str">
        <f>IFERROR(INDEX('Product Master'!$A$7:$A$1000,_xlfn.AGGREGATE(15,6,(ROW('Product Master'!$A$7:$A$1000)-ROW('Product Master'!$A$7)+1)/(('Product Master'!$A$7:$A$1000&lt;&gt;"")*('Product Master'!$P$7:$P$1000="Out of Stock")),ROWS($I$12:I117))),"")</f>
        <v/>
      </c>
      <c r="J117" t="str">
        <f>IF($I117="","",INDEX('Product Master'!$B$7:$B$1000,MATCH($I117,'Product Master'!$A$7:$A$1000,0)))</f>
        <v/>
      </c>
      <c r="K117" t="str">
        <f>IF($I117="","",INDEX('Product Master'!$C$7:$C$1000,MATCH($I117,'Product Master'!$A$7:$A$1000,0)))</f>
        <v/>
      </c>
      <c r="L117" t="str">
        <f>IF($I117="","",INDEX('Product Master'!$M$7:$M$1000,MATCH($I117,'Product Master'!$A$7:$A$1000,0)))</f>
        <v/>
      </c>
      <c r="M117" t="str">
        <f>IF($I117="","",INDEX('Product Master'!$N$7:$N$1000,MATCH($I117,'Product Master'!$A$7:$A$1000,0)))</f>
        <v/>
      </c>
    </row>
    <row r="118" spans="1:13" x14ac:dyDescent="0.3">
      <c r="A118" t="str">
        <f>IFERROR(INDEX('Product Master'!$A$7:$A$1000,_xlfn.AGGREGATE(15,6,(ROW('Product Master'!$A$7:$A$1000)-ROW('Product Master'!$A$7)+1)/(('Product Master'!$A$7:$A$1000&lt;&gt;"")*('Product Master'!$P$7:$P$1000="Low Stock")),ROWS($A$12:A118))),"")</f>
        <v/>
      </c>
      <c r="B118" t="str">
        <f>IF($A118="","",INDEX('Product Master'!$B$7:$B$1000,MATCH($A118,'Product Master'!$A$7:$A$1000,0)))</f>
        <v/>
      </c>
      <c r="C118" t="str">
        <f>IF($A118="","",INDEX('Product Master'!$C$7:$C$1000,MATCH($A118,'Product Master'!$A$7:$A$1000,0)))</f>
        <v/>
      </c>
      <c r="D118" t="str">
        <f>IF($A118="","",INDEX('Product Master'!$M$7:$M$1000,MATCH($A118,'Product Master'!$A$7:$A$1000,0)))</f>
        <v/>
      </c>
      <c r="E118" t="str">
        <f>IF($A118="","",INDEX('Product Master'!$N$7:$N$1000,MATCH($A118,'Product Master'!$A$7:$A$1000,0)))</f>
        <v/>
      </c>
      <c r="F118" t="str">
        <f>IF($A118="","",INDEX('Product Master'!$P$7:$P$1000,MATCH($A118,'Product Master'!$A$7:$A$1000,0)))</f>
        <v/>
      </c>
      <c r="I118" t="str">
        <f>IFERROR(INDEX('Product Master'!$A$7:$A$1000,_xlfn.AGGREGATE(15,6,(ROW('Product Master'!$A$7:$A$1000)-ROW('Product Master'!$A$7)+1)/(('Product Master'!$A$7:$A$1000&lt;&gt;"")*('Product Master'!$P$7:$P$1000="Out of Stock")),ROWS($I$12:I118))),"")</f>
        <v/>
      </c>
      <c r="J118" t="str">
        <f>IF($I118="","",INDEX('Product Master'!$B$7:$B$1000,MATCH($I118,'Product Master'!$A$7:$A$1000,0)))</f>
        <v/>
      </c>
      <c r="K118" t="str">
        <f>IF($I118="","",INDEX('Product Master'!$C$7:$C$1000,MATCH($I118,'Product Master'!$A$7:$A$1000,0)))</f>
        <v/>
      </c>
      <c r="L118" t="str">
        <f>IF($I118="","",INDEX('Product Master'!$M$7:$M$1000,MATCH($I118,'Product Master'!$A$7:$A$1000,0)))</f>
        <v/>
      </c>
      <c r="M118" t="str">
        <f>IF($I118="","",INDEX('Product Master'!$N$7:$N$1000,MATCH($I118,'Product Master'!$A$7:$A$1000,0)))</f>
        <v/>
      </c>
    </row>
    <row r="119" spans="1:13" x14ac:dyDescent="0.3">
      <c r="A119" t="str">
        <f>IFERROR(INDEX('Product Master'!$A$7:$A$1000,_xlfn.AGGREGATE(15,6,(ROW('Product Master'!$A$7:$A$1000)-ROW('Product Master'!$A$7)+1)/(('Product Master'!$A$7:$A$1000&lt;&gt;"")*('Product Master'!$P$7:$P$1000="Low Stock")),ROWS($A$12:A119))),"")</f>
        <v/>
      </c>
      <c r="B119" t="str">
        <f>IF($A119="","",INDEX('Product Master'!$B$7:$B$1000,MATCH($A119,'Product Master'!$A$7:$A$1000,0)))</f>
        <v/>
      </c>
      <c r="C119" t="str">
        <f>IF($A119="","",INDEX('Product Master'!$C$7:$C$1000,MATCH($A119,'Product Master'!$A$7:$A$1000,0)))</f>
        <v/>
      </c>
      <c r="D119" t="str">
        <f>IF($A119="","",INDEX('Product Master'!$M$7:$M$1000,MATCH($A119,'Product Master'!$A$7:$A$1000,0)))</f>
        <v/>
      </c>
      <c r="E119" t="str">
        <f>IF($A119="","",INDEX('Product Master'!$N$7:$N$1000,MATCH($A119,'Product Master'!$A$7:$A$1000,0)))</f>
        <v/>
      </c>
      <c r="F119" t="str">
        <f>IF($A119="","",INDEX('Product Master'!$P$7:$P$1000,MATCH($A119,'Product Master'!$A$7:$A$1000,0)))</f>
        <v/>
      </c>
      <c r="I119" t="str">
        <f>IFERROR(INDEX('Product Master'!$A$7:$A$1000,_xlfn.AGGREGATE(15,6,(ROW('Product Master'!$A$7:$A$1000)-ROW('Product Master'!$A$7)+1)/(('Product Master'!$A$7:$A$1000&lt;&gt;"")*('Product Master'!$P$7:$P$1000="Out of Stock")),ROWS($I$12:I119))),"")</f>
        <v/>
      </c>
      <c r="J119" t="str">
        <f>IF($I119="","",INDEX('Product Master'!$B$7:$B$1000,MATCH($I119,'Product Master'!$A$7:$A$1000,0)))</f>
        <v/>
      </c>
      <c r="K119" t="str">
        <f>IF($I119="","",INDEX('Product Master'!$C$7:$C$1000,MATCH($I119,'Product Master'!$A$7:$A$1000,0)))</f>
        <v/>
      </c>
      <c r="L119" t="str">
        <f>IF($I119="","",INDEX('Product Master'!$M$7:$M$1000,MATCH($I119,'Product Master'!$A$7:$A$1000,0)))</f>
        <v/>
      </c>
      <c r="M119" t="str">
        <f>IF($I119="","",INDEX('Product Master'!$N$7:$N$1000,MATCH($I119,'Product Master'!$A$7:$A$1000,0)))</f>
        <v/>
      </c>
    </row>
    <row r="120" spans="1:13" x14ac:dyDescent="0.3">
      <c r="A120" t="str">
        <f>IFERROR(INDEX('Product Master'!$A$7:$A$1000,_xlfn.AGGREGATE(15,6,(ROW('Product Master'!$A$7:$A$1000)-ROW('Product Master'!$A$7)+1)/(('Product Master'!$A$7:$A$1000&lt;&gt;"")*('Product Master'!$P$7:$P$1000="Low Stock")),ROWS($A$12:A120))),"")</f>
        <v/>
      </c>
      <c r="B120" t="str">
        <f>IF($A120="","",INDEX('Product Master'!$B$7:$B$1000,MATCH($A120,'Product Master'!$A$7:$A$1000,0)))</f>
        <v/>
      </c>
      <c r="C120" t="str">
        <f>IF($A120="","",INDEX('Product Master'!$C$7:$C$1000,MATCH($A120,'Product Master'!$A$7:$A$1000,0)))</f>
        <v/>
      </c>
      <c r="D120" t="str">
        <f>IF($A120="","",INDEX('Product Master'!$M$7:$M$1000,MATCH($A120,'Product Master'!$A$7:$A$1000,0)))</f>
        <v/>
      </c>
      <c r="E120" t="str">
        <f>IF($A120="","",INDEX('Product Master'!$N$7:$N$1000,MATCH($A120,'Product Master'!$A$7:$A$1000,0)))</f>
        <v/>
      </c>
      <c r="F120" t="str">
        <f>IF($A120="","",INDEX('Product Master'!$P$7:$P$1000,MATCH($A120,'Product Master'!$A$7:$A$1000,0)))</f>
        <v/>
      </c>
      <c r="I120" t="str">
        <f>IFERROR(INDEX('Product Master'!$A$7:$A$1000,_xlfn.AGGREGATE(15,6,(ROW('Product Master'!$A$7:$A$1000)-ROW('Product Master'!$A$7)+1)/(('Product Master'!$A$7:$A$1000&lt;&gt;"")*('Product Master'!$P$7:$P$1000="Out of Stock")),ROWS($I$12:I120))),"")</f>
        <v/>
      </c>
      <c r="J120" t="str">
        <f>IF($I120="","",INDEX('Product Master'!$B$7:$B$1000,MATCH($I120,'Product Master'!$A$7:$A$1000,0)))</f>
        <v/>
      </c>
      <c r="K120" t="str">
        <f>IF($I120="","",INDEX('Product Master'!$C$7:$C$1000,MATCH($I120,'Product Master'!$A$7:$A$1000,0)))</f>
        <v/>
      </c>
      <c r="L120" t="str">
        <f>IF($I120="","",INDEX('Product Master'!$M$7:$M$1000,MATCH($I120,'Product Master'!$A$7:$A$1000,0)))</f>
        <v/>
      </c>
      <c r="M120" t="str">
        <f>IF($I120="","",INDEX('Product Master'!$N$7:$N$1000,MATCH($I120,'Product Master'!$A$7:$A$1000,0)))</f>
        <v/>
      </c>
    </row>
    <row r="121" spans="1:13" x14ac:dyDescent="0.3">
      <c r="A121" t="str">
        <f>IFERROR(INDEX('Product Master'!$A$7:$A$1000,_xlfn.AGGREGATE(15,6,(ROW('Product Master'!$A$7:$A$1000)-ROW('Product Master'!$A$7)+1)/(('Product Master'!$A$7:$A$1000&lt;&gt;"")*('Product Master'!$P$7:$P$1000="Low Stock")),ROWS($A$12:A121))),"")</f>
        <v/>
      </c>
      <c r="B121" t="str">
        <f>IF($A121="","",INDEX('Product Master'!$B$7:$B$1000,MATCH($A121,'Product Master'!$A$7:$A$1000,0)))</f>
        <v/>
      </c>
      <c r="C121" t="str">
        <f>IF($A121="","",INDEX('Product Master'!$C$7:$C$1000,MATCH($A121,'Product Master'!$A$7:$A$1000,0)))</f>
        <v/>
      </c>
      <c r="D121" t="str">
        <f>IF($A121="","",INDEX('Product Master'!$M$7:$M$1000,MATCH($A121,'Product Master'!$A$7:$A$1000,0)))</f>
        <v/>
      </c>
      <c r="E121" t="str">
        <f>IF($A121="","",INDEX('Product Master'!$N$7:$N$1000,MATCH($A121,'Product Master'!$A$7:$A$1000,0)))</f>
        <v/>
      </c>
      <c r="F121" t="str">
        <f>IF($A121="","",INDEX('Product Master'!$P$7:$P$1000,MATCH($A121,'Product Master'!$A$7:$A$1000,0)))</f>
        <v/>
      </c>
      <c r="I121" t="str">
        <f>IFERROR(INDEX('Product Master'!$A$7:$A$1000,_xlfn.AGGREGATE(15,6,(ROW('Product Master'!$A$7:$A$1000)-ROW('Product Master'!$A$7)+1)/(('Product Master'!$A$7:$A$1000&lt;&gt;"")*('Product Master'!$P$7:$P$1000="Out of Stock")),ROWS($I$12:I121))),"")</f>
        <v/>
      </c>
      <c r="J121" t="str">
        <f>IF($I121="","",INDEX('Product Master'!$B$7:$B$1000,MATCH($I121,'Product Master'!$A$7:$A$1000,0)))</f>
        <v/>
      </c>
      <c r="K121" t="str">
        <f>IF($I121="","",INDEX('Product Master'!$C$7:$C$1000,MATCH($I121,'Product Master'!$A$7:$A$1000,0)))</f>
        <v/>
      </c>
      <c r="L121" t="str">
        <f>IF($I121="","",INDEX('Product Master'!$M$7:$M$1000,MATCH($I121,'Product Master'!$A$7:$A$1000,0)))</f>
        <v/>
      </c>
      <c r="M121" t="str">
        <f>IF($I121="","",INDEX('Product Master'!$N$7:$N$1000,MATCH($I121,'Product Master'!$A$7:$A$1000,0)))</f>
        <v/>
      </c>
    </row>
    <row r="122" spans="1:13" x14ac:dyDescent="0.3">
      <c r="A122" t="str">
        <f>IFERROR(INDEX('Product Master'!$A$7:$A$1000,_xlfn.AGGREGATE(15,6,(ROW('Product Master'!$A$7:$A$1000)-ROW('Product Master'!$A$7)+1)/(('Product Master'!$A$7:$A$1000&lt;&gt;"")*('Product Master'!$P$7:$P$1000="Low Stock")),ROWS($A$12:A122))),"")</f>
        <v/>
      </c>
      <c r="B122" t="str">
        <f>IF($A122="","",INDEX('Product Master'!$B$7:$B$1000,MATCH($A122,'Product Master'!$A$7:$A$1000,0)))</f>
        <v/>
      </c>
      <c r="C122" t="str">
        <f>IF($A122="","",INDEX('Product Master'!$C$7:$C$1000,MATCH($A122,'Product Master'!$A$7:$A$1000,0)))</f>
        <v/>
      </c>
      <c r="D122" t="str">
        <f>IF($A122="","",INDEX('Product Master'!$M$7:$M$1000,MATCH($A122,'Product Master'!$A$7:$A$1000,0)))</f>
        <v/>
      </c>
      <c r="E122" t="str">
        <f>IF($A122="","",INDEX('Product Master'!$N$7:$N$1000,MATCH($A122,'Product Master'!$A$7:$A$1000,0)))</f>
        <v/>
      </c>
      <c r="F122" t="str">
        <f>IF($A122="","",INDEX('Product Master'!$P$7:$P$1000,MATCH($A122,'Product Master'!$A$7:$A$1000,0)))</f>
        <v/>
      </c>
      <c r="I122" t="str">
        <f>IFERROR(INDEX('Product Master'!$A$7:$A$1000,_xlfn.AGGREGATE(15,6,(ROW('Product Master'!$A$7:$A$1000)-ROW('Product Master'!$A$7)+1)/(('Product Master'!$A$7:$A$1000&lt;&gt;"")*('Product Master'!$P$7:$P$1000="Out of Stock")),ROWS($I$12:I122))),"")</f>
        <v/>
      </c>
      <c r="J122" t="str">
        <f>IF($I122="","",INDEX('Product Master'!$B$7:$B$1000,MATCH($I122,'Product Master'!$A$7:$A$1000,0)))</f>
        <v/>
      </c>
      <c r="K122" t="str">
        <f>IF($I122="","",INDEX('Product Master'!$C$7:$C$1000,MATCH($I122,'Product Master'!$A$7:$A$1000,0)))</f>
        <v/>
      </c>
      <c r="L122" t="str">
        <f>IF($I122="","",INDEX('Product Master'!$M$7:$M$1000,MATCH($I122,'Product Master'!$A$7:$A$1000,0)))</f>
        <v/>
      </c>
      <c r="M122" t="str">
        <f>IF($I122="","",INDEX('Product Master'!$N$7:$N$1000,MATCH($I122,'Product Master'!$A$7:$A$1000,0)))</f>
        <v/>
      </c>
    </row>
    <row r="123" spans="1:13" x14ac:dyDescent="0.3">
      <c r="A123" t="str">
        <f>IFERROR(INDEX('Product Master'!$A$7:$A$1000,_xlfn.AGGREGATE(15,6,(ROW('Product Master'!$A$7:$A$1000)-ROW('Product Master'!$A$7)+1)/(('Product Master'!$A$7:$A$1000&lt;&gt;"")*('Product Master'!$P$7:$P$1000="Low Stock")),ROWS($A$12:A123))),"")</f>
        <v/>
      </c>
      <c r="B123" t="str">
        <f>IF($A123="","",INDEX('Product Master'!$B$7:$B$1000,MATCH($A123,'Product Master'!$A$7:$A$1000,0)))</f>
        <v/>
      </c>
      <c r="C123" t="str">
        <f>IF($A123="","",INDEX('Product Master'!$C$7:$C$1000,MATCH($A123,'Product Master'!$A$7:$A$1000,0)))</f>
        <v/>
      </c>
      <c r="D123" t="str">
        <f>IF($A123="","",INDEX('Product Master'!$M$7:$M$1000,MATCH($A123,'Product Master'!$A$7:$A$1000,0)))</f>
        <v/>
      </c>
      <c r="E123" t="str">
        <f>IF($A123="","",INDEX('Product Master'!$N$7:$N$1000,MATCH($A123,'Product Master'!$A$7:$A$1000,0)))</f>
        <v/>
      </c>
      <c r="F123" t="str">
        <f>IF($A123="","",INDEX('Product Master'!$P$7:$P$1000,MATCH($A123,'Product Master'!$A$7:$A$1000,0)))</f>
        <v/>
      </c>
      <c r="I123" t="str">
        <f>IFERROR(INDEX('Product Master'!$A$7:$A$1000,_xlfn.AGGREGATE(15,6,(ROW('Product Master'!$A$7:$A$1000)-ROW('Product Master'!$A$7)+1)/(('Product Master'!$A$7:$A$1000&lt;&gt;"")*('Product Master'!$P$7:$P$1000="Out of Stock")),ROWS($I$12:I123))),"")</f>
        <v/>
      </c>
      <c r="J123" t="str">
        <f>IF($I123="","",INDEX('Product Master'!$B$7:$B$1000,MATCH($I123,'Product Master'!$A$7:$A$1000,0)))</f>
        <v/>
      </c>
      <c r="K123" t="str">
        <f>IF($I123="","",INDEX('Product Master'!$C$7:$C$1000,MATCH($I123,'Product Master'!$A$7:$A$1000,0)))</f>
        <v/>
      </c>
      <c r="L123" t="str">
        <f>IF($I123="","",INDEX('Product Master'!$M$7:$M$1000,MATCH($I123,'Product Master'!$A$7:$A$1000,0)))</f>
        <v/>
      </c>
      <c r="M123" t="str">
        <f>IF($I123="","",INDEX('Product Master'!$N$7:$N$1000,MATCH($I123,'Product Master'!$A$7:$A$1000,0)))</f>
        <v/>
      </c>
    </row>
    <row r="124" spans="1:13" x14ac:dyDescent="0.3">
      <c r="A124" t="str">
        <f>IFERROR(INDEX('Product Master'!$A$7:$A$1000,_xlfn.AGGREGATE(15,6,(ROW('Product Master'!$A$7:$A$1000)-ROW('Product Master'!$A$7)+1)/(('Product Master'!$A$7:$A$1000&lt;&gt;"")*('Product Master'!$P$7:$P$1000="Low Stock")),ROWS($A$12:A124))),"")</f>
        <v/>
      </c>
      <c r="B124" t="str">
        <f>IF($A124="","",INDEX('Product Master'!$B$7:$B$1000,MATCH($A124,'Product Master'!$A$7:$A$1000,0)))</f>
        <v/>
      </c>
      <c r="C124" t="str">
        <f>IF($A124="","",INDEX('Product Master'!$C$7:$C$1000,MATCH($A124,'Product Master'!$A$7:$A$1000,0)))</f>
        <v/>
      </c>
      <c r="D124" t="str">
        <f>IF($A124="","",INDEX('Product Master'!$M$7:$M$1000,MATCH($A124,'Product Master'!$A$7:$A$1000,0)))</f>
        <v/>
      </c>
      <c r="E124" t="str">
        <f>IF($A124="","",INDEX('Product Master'!$N$7:$N$1000,MATCH($A124,'Product Master'!$A$7:$A$1000,0)))</f>
        <v/>
      </c>
      <c r="F124" t="str">
        <f>IF($A124="","",INDEX('Product Master'!$P$7:$P$1000,MATCH($A124,'Product Master'!$A$7:$A$1000,0)))</f>
        <v/>
      </c>
      <c r="I124" t="str">
        <f>IFERROR(INDEX('Product Master'!$A$7:$A$1000,_xlfn.AGGREGATE(15,6,(ROW('Product Master'!$A$7:$A$1000)-ROW('Product Master'!$A$7)+1)/(('Product Master'!$A$7:$A$1000&lt;&gt;"")*('Product Master'!$P$7:$P$1000="Out of Stock")),ROWS($I$12:I124))),"")</f>
        <v/>
      </c>
      <c r="J124" t="str">
        <f>IF($I124="","",INDEX('Product Master'!$B$7:$B$1000,MATCH($I124,'Product Master'!$A$7:$A$1000,0)))</f>
        <v/>
      </c>
      <c r="K124" t="str">
        <f>IF($I124="","",INDEX('Product Master'!$C$7:$C$1000,MATCH($I124,'Product Master'!$A$7:$A$1000,0)))</f>
        <v/>
      </c>
      <c r="L124" t="str">
        <f>IF($I124="","",INDEX('Product Master'!$M$7:$M$1000,MATCH($I124,'Product Master'!$A$7:$A$1000,0)))</f>
        <v/>
      </c>
      <c r="M124" t="str">
        <f>IF($I124="","",INDEX('Product Master'!$N$7:$N$1000,MATCH($I124,'Product Master'!$A$7:$A$1000,0)))</f>
        <v/>
      </c>
    </row>
    <row r="125" spans="1:13" x14ac:dyDescent="0.3">
      <c r="A125" t="str">
        <f>IFERROR(INDEX('Product Master'!$A$7:$A$1000,_xlfn.AGGREGATE(15,6,(ROW('Product Master'!$A$7:$A$1000)-ROW('Product Master'!$A$7)+1)/(('Product Master'!$A$7:$A$1000&lt;&gt;"")*('Product Master'!$P$7:$P$1000="Low Stock")),ROWS($A$12:A125))),"")</f>
        <v/>
      </c>
      <c r="B125" t="str">
        <f>IF($A125="","",INDEX('Product Master'!$B$7:$B$1000,MATCH($A125,'Product Master'!$A$7:$A$1000,0)))</f>
        <v/>
      </c>
      <c r="C125" t="str">
        <f>IF($A125="","",INDEX('Product Master'!$C$7:$C$1000,MATCH($A125,'Product Master'!$A$7:$A$1000,0)))</f>
        <v/>
      </c>
      <c r="D125" t="str">
        <f>IF($A125="","",INDEX('Product Master'!$M$7:$M$1000,MATCH($A125,'Product Master'!$A$7:$A$1000,0)))</f>
        <v/>
      </c>
      <c r="E125" t="str">
        <f>IF($A125="","",INDEX('Product Master'!$N$7:$N$1000,MATCH($A125,'Product Master'!$A$7:$A$1000,0)))</f>
        <v/>
      </c>
      <c r="F125" t="str">
        <f>IF($A125="","",INDEX('Product Master'!$P$7:$P$1000,MATCH($A125,'Product Master'!$A$7:$A$1000,0)))</f>
        <v/>
      </c>
      <c r="I125" t="str">
        <f>IFERROR(INDEX('Product Master'!$A$7:$A$1000,_xlfn.AGGREGATE(15,6,(ROW('Product Master'!$A$7:$A$1000)-ROW('Product Master'!$A$7)+1)/(('Product Master'!$A$7:$A$1000&lt;&gt;"")*('Product Master'!$P$7:$P$1000="Out of Stock")),ROWS($I$12:I125))),"")</f>
        <v/>
      </c>
      <c r="J125" t="str">
        <f>IF($I125="","",INDEX('Product Master'!$B$7:$B$1000,MATCH($I125,'Product Master'!$A$7:$A$1000,0)))</f>
        <v/>
      </c>
      <c r="K125" t="str">
        <f>IF($I125="","",INDEX('Product Master'!$C$7:$C$1000,MATCH($I125,'Product Master'!$A$7:$A$1000,0)))</f>
        <v/>
      </c>
      <c r="L125" t="str">
        <f>IF($I125="","",INDEX('Product Master'!$M$7:$M$1000,MATCH($I125,'Product Master'!$A$7:$A$1000,0)))</f>
        <v/>
      </c>
      <c r="M125" t="str">
        <f>IF($I125="","",INDEX('Product Master'!$N$7:$N$1000,MATCH($I125,'Product Master'!$A$7:$A$1000,0)))</f>
        <v/>
      </c>
    </row>
    <row r="126" spans="1:13" x14ac:dyDescent="0.3">
      <c r="A126" t="str">
        <f>IFERROR(INDEX('Product Master'!$A$7:$A$1000,_xlfn.AGGREGATE(15,6,(ROW('Product Master'!$A$7:$A$1000)-ROW('Product Master'!$A$7)+1)/(('Product Master'!$A$7:$A$1000&lt;&gt;"")*('Product Master'!$P$7:$P$1000="Low Stock")),ROWS($A$12:A126))),"")</f>
        <v/>
      </c>
      <c r="B126" t="str">
        <f>IF($A126="","",INDEX('Product Master'!$B$7:$B$1000,MATCH($A126,'Product Master'!$A$7:$A$1000,0)))</f>
        <v/>
      </c>
      <c r="C126" t="str">
        <f>IF($A126="","",INDEX('Product Master'!$C$7:$C$1000,MATCH($A126,'Product Master'!$A$7:$A$1000,0)))</f>
        <v/>
      </c>
      <c r="D126" t="str">
        <f>IF($A126="","",INDEX('Product Master'!$M$7:$M$1000,MATCH($A126,'Product Master'!$A$7:$A$1000,0)))</f>
        <v/>
      </c>
      <c r="E126" t="str">
        <f>IF($A126="","",INDEX('Product Master'!$N$7:$N$1000,MATCH($A126,'Product Master'!$A$7:$A$1000,0)))</f>
        <v/>
      </c>
      <c r="F126" t="str">
        <f>IF($A126="","",INDEX('Product Master'!$P$7:$P$1000,MATCH($A126,'Product Master'!$A$7:$A$1000,0)))</f>
        <v/>
      </c>
      <c r="I126" t="str">
        <f>IFERROR(INDEX('Product Master'!$A$7:$A$1000,_xlfn.AGGREGATE(15,6,(ROW('Product Master'!$A$7:$A$1000)-ROW('Product Master'!$A$7)+1)/(('Product Master'!$A$7:$A$1000&lt;&gt;"")*('Product Master'!$P$7:$P$1000="Out of Stock")),ROWS($I$12:I126))),"")</f>
        <v/>
      </c>
      <c r="J126" t="str">
        <f>IF($I126="","",INDEX('Product Master'!$B$7:$B$1000,MATCH($I126,'Product Master'!$A$7:$A$1000,0)))</f>
        <v/>
      </c>
      <c r="K126" t="str">
        <f>IF($I126="","",INDEX('Product Master'!$C$7:$C$1000,MATCH($I126,'Product Master'!$A$7:$A$1000,0)))</f>
        <v/>
      </c>
      <c r="L126" t="str">
        <f>IF($I126="","",INDEX('Product Master'!$M$7:$M$1000,MATCH($I126,'Product Master'!$A$7:$A$1000,0)))</f>
        <v/>
      </c>
      <c r="M126" t="str">
        <f>IF($I126="","",INDEX('Product Master'!$N$7:$N$1000,MATCH($I126,'Product Master'!$A$7:$A$1000,0)))</f>
        <v/>
      </c>
    </row>
    <row r="127" spans="1:13" x14ac:dyDescent="0.3">
      <c r="A127" t="str">
        <f>IFERROR(INDEX('Product Master'!$A$7:$A$1000,_xlfn.AGGREGATE(15,6,(ROW('Product Master'!$A$7:$A$1000)-ROW('Product Master'!$A$7)+1)/(('Product Master'!$A$7:$A$1000&lt;&gt;"")*('Product Master'!$P$7:$P$1000="Low Stock")),ROWS($A$12:A127))),"")</f>
        <v/>
      </c>
      <c r="B127" t="str">
        <f>IF($A127="","",INDEX('Product Master'!$B$7:$B$1000,MATCH($A127,'Product Master'!$A$7:$A$1000,0)))</f>
        <v/>
      </c>
      <c r="C127" t="str">
        <f>IF($A127="","",INDEX('Product Master'!$C$7:$C$1000,MATCH($A127,'Product Master'!$A$7:$A$1000,0)))</f>
        <v/>
      </c>
      <c r="D127" t="str">
        <f>IF($A127="","",INDEX('Product Master'!$M$7:$M$1000,MATCH($A127,'Product Master'!$A$7:$A$1000,0)))</f>
        <v/>
      </c>
      <c r="E127" t="str">
        <f>IF($A127="","",INDEX('Product Master'!$N$7:$N$1000,MATCH($A127,'Product Master'!$A$7:$A$1000,0)))</f>
        <v/>
      </c>
      <c r="F127" t="str">
        <f>IF($A127="","",INDEX('Product Master'!$P$7:$P$1000,MATCH($A127,'Product Master'!$A$7:$A$1000,0)))</f>
        <v/>
      </c>
      <c r="I127" t="str">
        <f>IFERROR(INDEX('Product Master'!$A$7:$A$1000,_xlfn.AGGREGATE(15,6,(ROW('Product Master'!$A$7:$A$1000)-ROW('Product Master'!$A$7)+1)/(('Product Master'!$A$7:$A$1000&lt;&gt;"")*('Product Master'!$P$7:$P$1000="Out of Stock")),ROWS($I$12:I127))),"")</f>
        <v/>
      </c>
      <c r="J127" t="str">
        <f>IF($I127="","",INDEX('Product Master'!$B$7:$B$1000,MATCH($I127,'Product Master'!$A$7:$A$1000,0)))</f>
        <v/>
      </c>
      <c r="K127" t="str">
        <f>IF($I127="","",INDEX('Product Master'!$C$7:$C$1000,MATCH($I127,'Product Master'!$A$7:$A$1000,0)))</f>
        <v/>
      </c>
      <c r="L127" t="str">
        <f>IF($I127="","",INDEX('Product Master'!$M$7:$M$1000,MATCH($I127,'Product Master'!$A$7:$A$1000,0)))</f>
        <v/>
      </c>
      <c r="M127" t="str">
        <f>IF($I127="","",INDEX('Product Master'!$N$7:$N$1000,MATCH($I127,'Product Master'!$A$7:$A$1000,0)))</f>
        <v/>
      </c>
    </row>
    <row r="128" spans="1:13" x14ac:dyDescent="0.3">
      <c r="A128" t="str">
        <f>IFERROR(INDEX('Product Master'!$A$7:$A$1000,_xlfn.AGGREGATE(15,6,(ROW('Product Master'!$A$7:$A$1000)-ROW('Product Master'!$A$7)+1)/(('Product Master'!$A$7:$A$1000&lt;&gt;"")*('Product Master'!$P$7:$P$1000="Low Stock")),ROWS($A$12:A128))),"")</f>
        <v/>
      </c>
      <c r="B128" t="str">
        <f>IF($A128="","",INDEX('Product Master'!$B$7:$B$1000,MATCH($A128,'Product Master'!$A$7:$A$1000,0)))</f>
        <v/>
      </c>
      <c r="C128" t="str">
        <f>IF($A128="","",INDEX('Product Master'!$C$7:$C$1000,MATCH($A128,'Product Master'!$A$7:$A$1000,0)))</f>
        <v/>
      </c>
      <c r="D128" t="str">
        <f>IF($A128="","",INDEX('Product Master'!$M$7:$M$1000,MATCH($A128,'Product Master'!$A$7:$A$1000,0)))</f>
        <v/>
      </c>
      <c r="E128" t="str">
        <f>IF($A128="","",INDEX('Product Master'!$N$7:$N$1000,MATCH($A128,'Product Master'!$A$7:$A$1000,0)))</f>
        <v/>
      </c>
      <c r="F128" t="str">
        <f>IF($A128="","",INDEX('Product Master'!$P$7:$P$1000,MATCH($A128,'Product Master'!$A$7:$A$1000,0)))</f>
        <v/>
      </c>
      <c r="I128" t="str">
        <f>IFERROR(INDEX('Product Master'!$A$7:$A$1000,_xlfn.AGGREGATE(15,6,(ROW('Product Master'!$A$7:$A$1000)-ROW('Product Master'!$A$7)+1)/(('Product Master'!$A$7:$A$1000&lt;&gt;"")*('Product Master'!$P$7:$P$1000="Out of Stock")),ROWS($I$12:I128))),"")</f>
        <v/>
      </c>
      <c r="J128" t="str">
        <f>IF($I128="","",INDEX('Product Master'!$B$7:$B$1000,MATCH($I128,'Product Master'!$A$7:$A$1000,0)))</f>
        <v/>
      </c>
      <c r="K128" t="str">
        <f>IF($I128="","",INDEX('Product Master'!$C$7:$C$1000,MATCH($I128,'Product Master'!$A$7:$A$1000,0)))</f>
        <v/>
      </c>
      <c r="L128" t="str">
        <f>IF($I128="","",INDEX('Product Master'!$M$7:$M$1000,MATCH($I128,'Product Master'!$A$7:$A$1000,0)))</f>
        <v/>
      </c>
      <c r="M128" t="str">
        <f>IF($I128="","",INDEX('Product Master'!$N$7:$N$1000,MATCH($I128,'Product Master'!$A$7:$A$1000,0)))</f>
        <v/>
      </c>
    </row>
    <row r="129" spans="1:13" x14ac:dyDescent="0.3">
      <c r="A129" t="str">
        <f>IFERROR(INDEX('Product Master'!$A$7:$A$1000,_xlfn.AGGREGATE(15,6,(ROW('Product Master'!$A$7:$A$1000)-ROW('Product Master'!$A$7)+1)/(('Product Master'!$A$7:$A$1000&lt;&gt;"")*('Product Master'!$P$7:$P$1000="Low Stock")),ROWS($A$12:A129))),"")</f>
        <v/>
      </c>
      <c r="B129" t="str">
        <f>IF($A129="","",INDEX('Product Master'!$B$7:$B$1000,MATCH($A129,'Product Master'!$A$7:$A$1000,0)))</f>
        <v/>
      </c>
      <c r="C129" t="str">
        <f>IF($A129="","",INDEX('Product Master'!$C$7:$C$1000,MATCH($A129,'Product Master'!$A$7:$A$1000,0)))</f>
        <v/>
      </c>
      <c r="D129" t="str">
        <f>IF($A129="","",INDEX('Product Master'!$M$7:$M$1000,MATCH($A129,'Product Master'!$A$7:$A$1000,0)))</f>
        <v/>
      </c>
      <c r="E129" t="str">
        <f>IF($A129="","",INDEX('Product Master'!$N$7:$N$1000,MATCH($A129,'Product Master'!$A$7:$A$1000,0)))</f>
        <v/>
      </c>
      <c r="F129" t="str">
        <f>IF($A129="","",INDEX('Product Master'!$P$7:$P$1000,MATCH($A129,'Product Master'!$A$7:$A$1000,0)))</f>
        <v/>
      </c>
      <c r="I129" t="str">
        <f>IFERROR(INDEX('Product Master'!$A$7:$A$1000,_xlfn.AGGREGATE(15,6,(ROW('Product Master'!$A$7:$A$1000)-ROW('Product Master'!$A$7)+1)/(('Product Master'!$A$7:$A$1000&lt;&gt;"")*('Product Master'!$P$7:$P$1000="Out of Stock")),ROWS($I$12:I129))),"")</f>
        <v/>
      </c>
      <c r="J129" t="str">
        <f>IF($I129="","",INDEX('Product Master'!$B$7:$B$1000,MATCH($I129,'Product Master'!$A$7:$A$1000,0)))</f>
        <v/>
      </c>
      <c r="K129" t="str">
        <f>IF($I129="","",INDEX('Product Master'!$C$7:$C$1000,MATCH($I129,'Product Master'!$A$7:$A$1000,0)))</f>
        <v/>
      </c>
      <c r="L129" t="str">
        <f>IF($I129="","",INDEX('Product Master'!$M$7:$M$1000,MATCH($I129,'Product Master'!$A$7:$A$1000,0)))</f>
        <v/>
      </c>
      <c r="M129" t="str">
        <f>IF($I129="","",INDEX('Product Master'!$N$7:$N$1000,MATCH($I129,'Product Master'!$A$7:$A$1000,0)))</f>
        <v/>
      </c>
    </row>
    <row r="130" spans="1:13" x14ac:dyDescent="0.3">
      <c r="A130" t="str">
        <f>IFERROR(INDEX('Product Master'!$A$7:$A$1000,_xlfn.AGGREGATE(15,6,(ROW('Product Master'!$A$7:$A$1000)-ROW('Product Master'!$A$7)+1)/(('Product Master'!$A$7:$A$1000&lt;&gt;"")*('Product Master'!$P$7:$P$1000="Low Stock")),ROWS($A$12:A130))),"")</f>
        <v/>
      </c>
      <c r="B130" t="str">
        <f>IF($A130="","",INDEX('Product Master'!$B$7:$B$1000,MATCH($A130,'Product Master'!$A$7:$A$1000,0)))</f>
        <v/>
      </c>
      <c r="C130" t="str">
        <f>IF($A130="","",INDEX('Product Master'!$C$7:$C$1000,MATCH($A130,'Product Master'!$A$7:$A$1000,0)))</f>
        <v/>
      </c>
      <c r="D130" t="str">
        <f>IF($A130="","",INDEX('Product Master'!$M$7:$M$1000,MATCH($A130,'Product Master'!$A$7:$A$1000,0)))</f>
        <v/>
      </c>
      <c r="E130" t="str">
        <f>IF($A130="","",INDEX('Product Master'!$N$7:$N$1000,MATCH($A130,'Product Master'!$A$7:$A$1000,0)))</f>
        <v/>
      </c>
      <c r="F130" t="str">
        <f>IF($A130="","",INDEX('Product Master'!$P$7:$P$1000,MATCH($A130,'Product Master'!$A$7:$A$1000,0)))</f>
        <v/>
      </c>
      <c r="I130" t="str">
        <f>IFERROR(INDEX('Product Master'!$A$7:$A$1000,_xlfn.AGGREGATE(15,6,(ROW('Product Master'!$A$7:$A$1000)-ROW('Product Master'!$A$7)+1)/(('Product Master'!$A$7:$A$1000&lt;&gt;"")*('Product Master'!$P$7:$P$1000="Out of Stock")),ROWS($I$12:I130))),"")</f>
        <v/>
      </c>
      <c r="J130" t="str">
        <f>IF($I130="","",INDEX('Product Master'!$B$7:$B$1000,MATCH($I130,'Product Master'!$A$7:$A$1000,0)))</f>
        <v/>
      </c>
      <c r="K130" t="str">
        <f>IF($I130="","",INDEX('Product Master'!$C$7:$C$1000,MATCH($I130,'Product Master'!$A$7:$A$1000,0)))</f>
        <v/>
      </c>
      <c r="L130" t="str">
        <f>IF($I130="","",INDEX('Product Master'!$M$7:$M$1000,MATCH($I130,'Product Master'!$A$7:$A$1000,0)))</f>
        <v/>
      </c>
      <c r="M130" t="str">
        <f>IF($I130="","",INDEX('Product Master'!$N$7:$N$1000,MATCH($I130,'Product Master'!$A$7:$A$1000,0)))</f>
        <v/>
      </c>
    </row>
    <row r="131" spans="1:13" x14ac:dyDescent="0.3">
      <c r="A131" t="str">
        <f>IFERROR(INDEX('Product Master'!$A$7:$A$1000,_xlfn.AGGREGATE(15,6,(ROW('Product Master'!$A$7:$A$1000)-ROW('Product Master'!$A$7)+1)/(('Product Master'!$A$7:$A$1000&lt;&gt;"")*('Product Master'!$P$7:$P$1000="Low Stock")),ROWS($A$12:A131))),"")</f>
        <v/>
      </c>
      <c r="B131" t="str">
        <f>IF($A131="","",INDEX('Product Master'!$B$7:$B$1000,MATCH($A131,'Product Master'!$A$7:$A$1000,0)))</f>
        <v/>
      </c>
      <c r="C131" t="str">
        <f>IF($A131="","",INDEX('Product Master'!$C$7:$C$1000,MATCH($A131,'Product Master'!$A$7:$A$1000,0)))</f>
        <v/>
      </c>
      <c r="D131" t="str">
        <f>IF($A131="","",INDEX('Product Master'!$M$7:$M$1000,MATCH($A131,'Product Master'!$A$7:$A$1000,0)))</f>
        <v/>
      </c>
      <c r="E131" t="str">
        <f>IF($A131="","",INDEX('Product Master'!$N$7:$N$1000,MATCH($A131,'Product Master'!$A$7:$A$1000,0)))</f>
        <v/>
      </c>
      <c r="F131" t="str">
        <f>IF($A131="","",INDEX('Product Master'!$P$7:$P$1000,MATCH($A131,'Product Master'!$A$7:$A$1000,0)))</f>
        <v/>
      </c>
      <c r="I131" t="str">
        <f>IFERROR(INDEX('Product Master'!$A$7:$A$1000,_xlfn.AGGREGATE(15,6,(ROW('Product Master'!$A$7:$A$1000)-ROW('Product Master'!$A$7)+1)/(('Product Master'!$A$7:$A$1000&lt;&gt;"")*('Product Master'!$P$7:$P$1000="Out of Stock")),ROWS($I$12:I131))),"")</f>
        <v/>
      </c>
      <c r="J131" t="str">
        <f>IF($I131="","",INDEX('Product Master'!$B$7:$B$1000,MATCH($I131,'Product Master'!$A$7:$A$1000,0)))</f>
        <v/>
      </c>
      <c r="K131" t="str">
        <f>IF($I131="","",INDEX('Product Master'!$C$7:$C$1000,MATCH($I131,'Product Master'!$A$7:$A$1000,0)))</f>
        <v/>
      </c>
      <c r="L131" t="str">
        <f>IF($I131="","",INDEX('Product Master'!$M$7:$M$1000,MATCH($I131,'Product Master'!$A$7:$A$1000,0)))</f>
        <v/>
      </c>
      <c r="M131" t="str">
        <f>IF($I131="","",INDEX('Product Master'!$N$7:$N$1000,MATCH($I131,'Product Master'!$A$7:$A$1000,0)))</f>
        <v/>
      </c>
    </row>
    <row r="132" spans="1:13" x14ac:dyDescent="0.3">
      <c r="A132" t="str">
        <f>IFERROR(INDEX('Product Master'!$A$7:$A$1000,_xlfn.AGGREGATE(15,6,(ROW('Product Master'!$A$7:$A$1000)-ROW('Product Master'!$A$7)+1)/(('Product Master'!$A$7:$A$1000&lt;&gt;"")*('Product Master'!$P$7:$P$1000="Low Stock")),ROWS($A$12:A132))),"")</f>
        <v/>
      </c>
      <c r="B132" t="str">
        <f>IF($A132="","",INDEX('Product Master'!$B$7:$B$1000,MATCH($A132,'Product Master'!$A$7:$A$1000,0)))</f>
        <v/>
      </c>
      <c r="C132" t="str">
        <f>IF($A132="","",INDEX('Product Master'!$C$7:$C$1000,MATCH($A132,'Product Master'!$A$7:$A$1000,0)))</f>
        <v/>
      </c>
      <c r="D132" t="str">
        <f>IF($A132="","",INDEX('Product Master'!$M$7:$M$1000,MATCH($A132,'Product Master'!$A$7:$A$1000,0)))</f>
        <v/>
      </c>
      <c r="E132" t="str">
        <f>IF($A132="","",INDEX('Product Master'!$N$7:$N$1000,MATCH($A132,'Product Master'!$A$7:$A$1000,0)))</f>
        <v/>
      </c>
      <c r="F132" t="str">
        <f>IF($A132="","",INDEX('Product Master'!$P$7:$P$1000,MATCH($A132,'Product Master'!$A$7:$A$1000,0)))</f>
        <v/>
      </c>
      <c r="I132" t="str">
        <f>IFERROR(INDEX('Product Master'!$A$7:$A$1000,_xlfn.AGGREGATE(15,6,(ROW('Product Master'!$A$7:$A$1000)-ROW('Product Master'!$A$7)+1)/(('Product Master'!$A$7:$A$1000&lt;&gt;"")*('Product Master'!$P$7:$P$1000="Out of Stock")),ROWS($I$12:I132))),"")</f>
        <v/>
      </c>
      <c r="J132" t="str">
        <f>IF($I132="","",INDEX('Product Master'!$B$7:$B$1000,MATCH($I132,'Product Master'!$A$7:$A$1000,0)))</f>
        <v/>
      </c>
      <c r="K132" t="str">
        <f>IF($I132="","",INDEX('Product Master'!$C$7:$C$1000,MATCH($I132,'Product Master'!$A$7:$A$1000,0)))</f>
        <v/>
      </c>
      <c r="L132" t="str">
        <f>IF($I132="","",INDEX('Product Master'!$M$7:$M$1000,MATCH($I132,'Product Master'!$A$7:$A$1000,0)))</f>
        <v/>
      </c>
      <c r="M132" t="str">
        <f>IF($I132="","",INDEX('Product Master'!$N$7:$N$1000,MATCH($I132,'Product Master'!$A$7:$A$1000,0)))</f>
        <v/>
      </c>
    </row>
    <row r="133" spans="1:13" x14ac:dyDescent="0.3">
      <c r="A133" t="str">
        <f>IFERROR(INDEX('Product Master'!$A$7:$A$1000,_xlfn.AGGREGATE(15,6,(ROW('Product Master'!$A$7:$A$1000)-ROW('Product Master'!$A$7)+1)/(('Product Master'!$A$7:$A$1000&lt;&gt;"")*('Product Master'!$P$7:$P$1000="Low Stock")),ROWS($A$12:A133))),"")</f>
        <v/>
      </c>
      <c r="B133" t="str">
        <f>IF($A133="","",INDEX('Product Master'!$B$7:$B$1000,MATCH($A133,'Product Master'!$A$7:$A$1000,0)))</f>
        <v/>
      </c>
      <c r="C133" t="str">
        <f>IF($A133="","",INDEX('Product Master'!$C$7:$C$1000,MATCH($A133,'Product Master'!$A$7:$A$1000,0)))</f>
        <v/>
      </c>
      <c r="D133" t="str">
        <f>IF($A133="","",INDEX('Product Master'!$M$7:$M$1000,MATCH($A133,'Product Master'!$A$7:$A$1000,0)))</f>
        <v/>
      </c>
      <c r="E133" t="str">
        <f>IF($A133="","",INDEX('Product Master'!$N$7:$N$1000,MATCH($A133,'Product Master'!$A$7:$A$1000,0)))</f>
        <v/>
      </c>
      <c r="F133" t="str">
        <f>IF($A133="","",INDEX('Product Master'!$P$7:$P$1000,MATCH($A133,'Product Master'!$A$7:$A$1000,0)))</f>
        <v/>
      </c>
      <c r="I133" t="str">
        <f>IFERROR(INDEX('Product Master'!$A$7:$A$1000,_xlfn.AGGREGATE(15,6,(ROW('Product Master'!$A$7:$A$1000)-ROW('Product Master'!$A$7)+1)/(('Product Master'!$A$7:$A$1000&lt;&gt;"")*('Product Master'!$P$7:$P$1000="Out of Stock")),ROWS($I$12:I133))),"")</f>
        <v/>
      </c>
      <c r="J133" t="str">
        <f>IF($I133="","",INDEX('Product Master'!$B$7:$B$1000,MATCH($I133,'Product Master'!$A$7:$A$1000,0)))</f>
        <v/>
      </c>
      <c r="K133" t="str">
        <f>IF($I133="","",INDEX('Product Master'!$C$7:$C$1000,MATCH($I133,'Product Master'!$A$7:$A$1000,0)))</f>
        <v/>
      </c>
      <c r="L133" t="str">
        <f>IF($I133="","",INDEX('Product Master'!$M$7:$M$1000,MATCH($I133,'Product Master'!$A$7:$A$1000,0)))</f>
        <v/>
      </c>
      <c r="M133" t="str">
        <f>IF($I133="","",INDEX('Product Master'!$N$7:$N$1000,MATCH($I133,'Product Master'!$A$7:$A$1000,0)))</f>
        <v/>
      </c>
    </row>
    <row r="134" spans="1:13" x14ac:dyDescent="0.3">
      <c r="A134" t="str">
        <f>IFERROR(INDEX('Product Master'!$A$7:$A$1000,_xlfn.AGGREGATE(15,6,(ROW('Product Master'!$A$7:$A$1000)-ROW('Product Master'!$A$7)+1)/(('Product Master'!$A$7:$A$1000&lt;&gt;"")*('Product Master'!$P$7:$P$1000="Low Stock")),ROWS($A$12:A134))),"")</f>
        <v/>
      </c>
      <c r="B134" t="str">
        <f>IF($A134="","",INDEX('Product Master'!$B$7:$B$1000,MATCH($A134,'Product Master'!$A$7:$A$1000,0)))</f>
        <v/>
      </c>
      <c r="C134" t="str">
        <f>IF($A134="","",INDEX('Product Master'!$C$7:$C$1000,MATCH($A134,'Product Master'!$A$7:$A$1000,0)))</f>
        <v/>
      </c>
      <c r="D134" t="str">
        <f>IF($A134="","",INDEX('Product Master'!$M$7:$M$1000,MATCH($A134,'Product Master'!$A$7:$A$1000,0)))</f>
        <v/>
      </c>
      <c r="E134" t="str">
        <f>IF($A134="","",INDEX('Product Master'!$N$7:$N$1000,MATCH($A134,'Product Master'!$A$7:$A$1000,0)))</f>
        <v/>
      </c>
      <c r="F134" t="str">
        <f>IF($A134="","",INDEX('Product Master'!$P$7:$P$1000,MATCH($A134,'Product Master'!$A$7:$A$1000,0)))</f>
        <v/>
      </c>
      <c r="I134" t="str">
        <f>IFERROR(INDEX('Product Master'!$A$7:$A$1000,_xlfn.AGGREGATE(15,6,(ROW('Product Master'!$A$7:$A$1000)-ROW('Product Master'!$A$7)+1)/(('Product Master'!$A$7:$A$1000&lt;&gt;"")*('Product Master'!$P$7:$P$1000="Out of Stock")),ROWS($I$12:I134))),"")</f>
        <v/>
      </c>
      <c r="J134" t="str">
        <f>IF($I134="","",INDEX('Product Master'!$B$7:$B$1000,MATCH($I134,'Product Master'!$A$7:$A$1000,0)))</f>
        <v/>
      </c>
      <c r="K134" t="str">
        <f>IF($I134="","",INDEX('Product Master'!$C$7:$C$1000,MATCH($I134,'Product Master'!$A$7:$A$1000,0)))</f>
        <v/>
      </c>
      <c r="L134" t="str">
        <f>IF($I134="","",INDEX('Product Master'!$M$7:$M$1000,MATCH($I134,'Product Master'!$A$7:$A$1000,0)))</f>
        <v/>
      </c>
      <c r="M134" t="str">
        <f>IF($I134="","",INDEX('Product Master'!$N$7:$N$1000,MATCH($I134,'Product Master'!$A$7:$A$1000,0)))</f>
        <v/>
      </c>
    </row>
    <row r="135" spans="1:13" x14ac:dyDescent="0.3">
      <c r="A135" t="str">
        <f>IFERROR(INDEX('Product Master'!$A$7:$A$1000,_xlfn.AGGREGATE(15,6,(ROW('Product Master'!$A$7:$A$1000)-ROW('Product Master'!$A$7)+1)/(('Product Master'!$A$7:$A$1000&lt;&gt;"")*('Product Master'!$P$7:$P$1000="Low Stock")),ROWS($A$12:A135))),"")</f>
        <v/>
      </c>
      <c r="B135" t="str">
        <f>IF($A135="","",INDEX('Product Master'!$B$7:$B$1000,MATCH($A135,'Product Master'!$A$7:$A$1000,0)))</f>
        <v/>
      </c>
      <c r="C135" t="str">
        <f>IF($A135="","",INDEX('Product Master'!$C$7:$C$1000,MATCH($A135,'Product Master'!$A$7:$A$1000,0)))</f>
        <v/>
      </c>
      <c r="D135" t="str">
        <f>IF($A135="","",INDEX('Product Master'!$M$7:$M$1000,MATCH($A135,'Product Master'!$A$7:$A$1000,0)))</f>
        <v/>
      </c>
      <c r="E135" t="str">
        <f>IF($A135="","",INDEX('Product Master'!$N$7:$N$1000,MATCH($A135,'Product Master'!$A$7:$A$1000,0)))</f>
        <v/>
      </c>
      <c r="F135" t="str">
        <f>IF($A135="","",INDEX('Product Master'!$P$7:$P$1000,MATCH($A135,'Product Master'!$A$7:$A$1000,0)))</f>
        <v/>
      </c>
      <c r="I135" t="str">
        <f>IFERROR(INDEX('Product Master'!$A$7:$A$1000,_xlfn.AGGREGATE(15,6,(ROW('Product Master'!$A$7:$A$1000)-ROW('Product Master'!$A$7)+1)/(('Product Master'!$A$7:$A$1000&lt;&gt;"")*('Product Master'!$P$7:$P$1000="Out of Stock")),ROWS($I$12:I135))),"")</f>
        <v/>
      </c>
      <c r="J135" t="str">
        <f>IF($I135="","",INDEX('Product Master'!$B$7:$B$1000,MATCH($I135,'Product Master'!$A$7:$A$1000,0)))</f>
        <v/>
      </c>
      <c r="K135" t="str">
        <f>IF($I135="","",INDEX('Product Master'!$C$7:$C$1000,MATCH($I135,'Product Master'!$A$7:$A$1000,0)))</f>
        <v/>
      </c>
      <c r="L135" t="str">
        <f>IF($I135="","",INDEX('Product Master'!$M$7:$M$1000,MATCH($I135,'Product Master'!$A$7:$A$1000,0)))</f>
        <v/>
      </c>
      <c r="M135" t="str">
        <f>IF($I135="","",INDEX('Product Master'!$N$7:$N$1000,MATCH($I135,'Product Master'!$A$7:$A$1000,0)))</f>
        <v/>
      </c>
    </row>
    <row r="136" spans="1:13" x14ac:dyDescent="0.3">
      <c r="A136" t="str">
        <f>IFERROR(INDEX('Product Master'!$A$7:$A$1000,_xlfn.AGGREGATE(15,6,(ROW('Product Master'!$A$7:$A$1000)-ROW('Product Master'!$A$7)+1)/(('Product Master'!$A$7:$A$1000&lt;&gt;"")*('Product Master'!$P$7:$P$1000="Low Stock")),ROWS($A$12:A136))),"")</f>
        <v/>
      </c>
      <c r="B136" t="str">
        <f>IF($A136="","",INDEX('Product Master'!$B$7:$B$1000,MATCH($A136,'Product Master'!$A$7:$A$1000,0)))</f>
        <v/>
      </c>
      <c r="C136" t="str">
        <f>IF($A136="","",INDEX('Product Master'!$C$7:$C$1000,MATCH($A136,'Product Master'!$A$7:$A$1000,0)))</f>
        <v/>
      </c>
      <c r="D136" t="str">
        <f>IF($A136="","",INDEX('Product Master'!$M$7:$M$1000,MATCH($A136,'Product Master'!$A$7:$A$1000,0)))</f>
        <v/>
      </c>
      <c r="E136" t="str">
        <f>IF($A136="","",INDEX('Product Master'!$N$7:$N$1000,MATCH($A136,'Product Master'!$A$7:$A$1000,0)))</f>
        <v/>
      </c>
      <c r="F136" t="str">
        <f>IF($A136="","",INDEX('Product Master'!$P$7:$P$1000,MATCH($A136,'Product Master'!$A$7:$A$1000,0)))</f>
        <v/>
      </c>
      <c r="I136" t="str">
        <f>IFERROR(INDEX('Product Master'!$A$7:$A$1000,_xlfn.AGGREGATE(15,6,(ROW('Product Master'!$A$7:$A$1000)-ROW('Product Master'!$A$7)+1)/(('Product Master'!$A$7:$A$1000&lt;&gt;"")*('Product Master'!$P$7:$P$1000="Out of Stock")),ROWS($I$12:I136))),"")</f>
        <v/>
      </c>
      <c r="J136" t="str">
        <f>IF($I136="","",INDEX('Product Master'!$B$7:$B$1000,MATCH($I136,'Product Master'!$A$7:$A$1000,0)))</f>
        <v/>
      </c>
      <c r="K136" t="str">
        <f>IF($I136="","",INDEX('Product Master'!$C$7:$C$1000,MATCH($I136,'Product Master'!$A$7:$A$1000,0)))</f>
        <v/>
      </c>
      <c r="L136" t="str">
        <f>IF($I136="","",INDEX('Product Master'!$M$7:$M$1000,MATCH($I136,'Product Master'!$A$7:$A$1000,0)))</f>
        <v/>
      </c>
      <c r="M136" t="str">
        <f>IF($I136="","",INDEX('Product Master'!$N$7:$N$1000,MATCH($I136,'Product Master'!$A$7:$A$1000,0)))</f>
        <v/>
      </c>
    </row>
    <row r="137" spans="1:13" x14ac:dyDescent="0.3">
      <c r="A137" t="str">
        <f>IFERROR(INDEX('Product Master'!$A$7:$A$1000,_xlfn.AGGREGATE(15,6,(ROW('Product Master'!$A$7:$A$1000)-ROW('Product Master'!$A$7)+1)/(('Product Master'!$A$7:$A$1000&lt;&gt;"")*('Product Master'!$P$7:$P$1000="Low Stock")),ROWS($A$12:A137))),"")</f>
        <v/>
      </c>
      <c r="B137" t="str">
        <f>IF($A137="","",INDEX('Product Master'!$B$7:$B$1000,MATCH($A137,'Product Master'!$A$7:$A$1000,0)))</f>
        <v/>
      </c>
      <c r="C137" t="str">
        <f>IF($A137="","",INDEX('Product Master'!$C$7:$C$1000,MATCH($A137,'Product Master'!$A$7:$A$1000,0)))</f>
        <v/>
      </c>
      <c r="D137" t="str">
        <f>IF($A137="","",INDEX('Product Master'!$M$7:$M$1000,MATCH($A137,'Product Master'!$A$7:$A$1000,0)))</f>
        <v/>
      </c>
      <c r="E137" t="str">
        <f>IF($A137="","",INDEX('Product Master'!$N$7:$N$1000,MATCH($A137,'Product Master'!$A$7:$A$1000,0)))</f>
        <v/>
      </c>
      <c r="F137" t="str">
        <f>IF($A137="","",INDEX('Product Master'!$P$7:$P$1000,MATCH($A137,'Product Master'!$A$7:$A$1000,0)))</f>
        <v/>
      </c>
      <c r="I137" t="str">
        <f>IFERROR(INDEX('Product Master'!$A$7:$A$1000,_xlfn.AGGREGATE(15,6,(ROW('Product Master'!$A$7:$A$1000)-ROW('Product Master'!$A$7)+1)/(('Product Master'!$A$7:$A$1000&lt;&gt;"")*('Product Master'!$P$7:$P$1000="Out of Stock")),ROWS($I$12:I137))),"")</f>
        <v/>
      </c>
      <c r="J137" t="str">
        <f>IF($I137="","",INDEX('Product Master'!$B$7:$B$1000,MATCH($I137,'Product Master'!$A$7:$A$1000,0)))</f>
        <v/>
      </c>
      <c r="K137" t="str">
        <f>IF($I137="","",INDEX('Product Master'!$C$7:$C$1000,MATCH($I137,'Product Master'!$A$7:$A$1000,0)))</f>
        <v/>
      </c>
      <c r="L137" t="str">
        <f>IF($I137="","",INDEX('Product Master'!$M$7:$M$1000,MATCH($I137,'Product Master'!$A$7:$A$1000,0)))</f>
        <v/>
      </c>
      <c r="M137" t="str">
        <f>IF($I137="","",INDEX('Product Master'!$N$7:$N$1000,MATCH($I137,'Product Master'!$A$7:$A$1000,0)))</f>
        <v/>
      </c>
    </row>
    <row r="138" spans="1:13" x14ac:dyDescent="0.3">
      <c r="A138" t="str">
        <f>IFERROR(INDEX('Product Master'!$A$7:$A$1000,_xlfn.AGGREGATE(15,6,(ROW('Product Master'!$A$7:$A$1000)-ROW('Product Master'!$A$7)+1)/(('Product Master'!$A$7:$A$1000&lt;&gt;"")*('Product Master'!$P$7:$P$1000="Low Stock")),ROWS($A$12:A138))),"")</f>
        <v/>
      </c>
      <c r="B138" t="str">
        <f>IF($A138="","",INDEX('Product Master'!$B$7:$B$1000,MATCH($A138,'Product Master'!$A$7:$A$1000,0)))</f>
        <v/>
      </c>
      <c r="C138" t="str">
        <f>IF($A138="","",INDEX('Product Master'!$C$7:$C$1000,MATCH($A138,'Product Master'!$A$7:$A$1000,0)))</f>
        <v/>
      </c>
      <c r="D138" t="str">
        <f>IF($A138="","",INDEX('Product Master'!$M$7:$M$1000,MATCH($A138,'Product Master'!$A$7:$A$1000,0)))</f>
        <v/>
      </c>
      <c r="E138" t="str">
        <f>IF($A138="","",INDEX('Product Master'!$N$7:$N$1000,MATCH($A138,'Product Master'!$A$7:$A$1000,0)))</f>
        <v/>
      </c>
      <c r="F138" t="str">
        <f>IF($A138="","",INDEX('Product Master'!$P$7:$P$1000,MATCH($A138,'Product Master'!$A$7:$A$1000,0)))</f>
        <v/>
      </c>
      <c r="I138" t="str">
        <f>IFERROR(INDEX('Product Master'!$A$7:$A$1000,_xlfn.AGGREGATE(15,6,(ROW('Product Master'!$A$7:$A$1000)-ROW('Product Master'!$A$7)+1)/(('Product Master'!$A$7:$A$1000&lt;&gt;"")*('Product Master'!$P$7:$P$1000="Out of Stock")),ROWS($I$12:I138))),"")</f>
        <v/>
      </c>
      <c r="J138" t="str">
        <f>IF($I138="","",INDEX('Product Master'!$B$7:$B$1000,MATCH($I138,'Product Master'!$A$7:$A$1000,0)))</f>
        <v/>
      </c>
      <c r="K138" t="str">
        <f>IF($I138="","",INDEX('Product Master'!$C$7:$C$1000,MATCH($I138,'Product Master'!$A$7:$A$1000,0)))</f>
        <v/>
      </c>
      <c r="L138" t="str">
        <f>IF($I138="","",INDEX('Product Master'!$M$7:$M$1000,MATCH($I138,'Product Master'!$A$7:$A$1000,0)))</f>
        <v/>
      </c>
      <c r="M138" t="str">
        <f>IF($I138="","",INDEX('Product Master'!$N$7:$N$1000,MATCH($I138,'Product Master'!$A$7:$A$1000,0)))</f>
        <v/>
      </c>
    </row>
    <row r="139" spans="1:13" x14ac:dyDescent="0.3">
      <c r="A139" t="str">
        <f>IFERROR(INDEX('Product Master'!$A$7:$A$1000,_xlfn.AGGREGATE(15,6,(ROW('Product Master'!$A$7:$A$1000)-ROW('Product Master'!$A$7)+1)/(('Product Master'!$A$7:$A$1000&lt;&gt;"")*('Product Master'!$P$7:$P$1000="Low Stock")),ROWS($A$12:A139))),"")</f>
        <v/>
      </c>
      <c r="B139" t="str">
        <f>IF($A139="","",INDEX('Product Master'!$B$7:$B$1000,MATCH($A139,'Product Master'!$A$7:$A$1000,0)))</f>
        <v/>
      </c>
      <c r="C139" t="str">
        <f>IF($A139="","",INDEX('Product Master'!$C$7:$C$1000,MATCH($A139,'Product Master'!$A$7:$A$1000,0)))</f>
        <v/>
      </c>
      <c r="D139" t="str">
        <f>IF($A139="","",INDEX('Product Master'!$M$7:$M$1000,MATCH($A139,'Product Master'!$A$7:$A$1000,0)))</f>
        <v/>
      </c>
      <c r="E139" t="str">
        <f>IF($A139="","",INDEX('Product Master'!$N$7:$N$1000,MATCH($A139,'Product Master'!$A$7:$A$1000,0)))</f>
        <v/>
      </c>
      <c r="F139" t="str">
        <f>IF($A139="","",INDEX('Product Master'!$P$7:$P$1000,MATCH($A139,'Product Master'!$A$7:$A$1000,0)))</f>
        <v/>
      </c>
      <c r="I139" t="str">
        <f>IFERROR(INDEX('Product Master'!$A$7:$A$1000,_xlfn.AGGREGATE(15,6,(ROW('Product Master'!$A$7:$A$1000)-ROW('Product Master'!$A$7)+1)/(('Product Master'!$A$7:$A$1000&lt;&gt;"")*('Product Master'!$P$7:$P$1000="Out of Stock")),ROWS($I$12:I139))),"")</f>
        <v/>
      </c>
      <c r="J139" t="str">
        <f>IF($I139="","",INDEX('Product Master'!$B$7:$B$1000,MATCH($I139,'Product Master'!$A$7:$A$1000,0)))</f>
        <v/>
      </c>
      <c r="K139" t="str">
        <f>IF($I139="","",INDEX('Product Master'!$C$7:$C$1000,MATCH($I139,'Product Master'!$A$7:$A$1000,0)))</f>
        <v/>
      </c>
      <c r="L139" t="str">
        <f>IF($I139="","",INDEX('Product Master'!$M$7:$M$1000,MATCH($I139,'Product Master'!$A$7:$A$1000,0)))</f>
        <v/>
      </c>
      <c r="M139" t="str">
        <f>IF($I139="","",INDEX('Product Master'!$N$7:$N$1000,MATCH($I139,'Product Master'!$A$7:$A$1000,0)))</f>
        <v/>
      </c>
    </row>
    <row r="140" spans="1:13" x14ac:dyDescent="0.3">
      <c r="A140" t="str">
        <f>IFERROR(INDEX('Product Master'!$A$7:$A$1000,_xlfn.AGGREGATE(15,6,(ROW('Product Master'!$A$7:$A$1000)-ROW('Product Master'!$A$7)+1)/(('Product Master'!$A$7:$A$1000&lt;&gt;"")*('Product Master'!$P$7:$P$1000="Low Stock")),ROWS($A$12:A140))),"")</f>
        <v/>
      </c>
      <c r="B140" t="str">
        <f>IF($A140="","",INDEX('Product Master'!$B$7:$B$1000,MATCH($A140,'Product Master'!$A$7:$A$1000,0)))</f>
        <v/>
      </c>
      <c r="C140" t="str">
        <f>IF($A140="","",INDEX('Product Master'!$C$7:$C$1000,MATCH($A140,'Product Master'!$A$7:$A$1000,0)))</f>
        <v/>
      </c>
      <c r="D140" t="str">
        <f>IF($A140="","",INDEX('Product Master'!$M$7:$M$1000,MATCH($A140,'Product Master'!$A$7:$A$1000,0)))</f>
        <v/>
      </c>
      <c r="E140" t="str">
        <f>IF($A140="","",INDEX('Product Master'!$N$7:$N$1000,MATCH($A140,'Product Master'!$A$7:$A$1000,0)))</f>
        <v/>
      </c>
      <c r="F140" t="str">
        <f>IF($A140="","",INDEX('Product Master'!$P$7:$P$1000,MATCH($A140,'Product Master'!$A$7:$A$1000,0)))</f>
        <v/>
      </c>
      <c r="I140" t="str">
        <f>IFERROR(INDEX('Product Master'!$A$7:$A$1000,_xlfn.AGGREGATE(15,6,(ROW('Product Master'!$A$7:$A$1000)-ROW('Product Master'!$A$7)+1)/(('Product Master'!$A$7:$A$1000&lt;&gt;"")*('Product Master'!$P$7:$P$1000="Out of Stock")),ROWS($I$12:I140))),"")</f>
        <v/>
      </c>
      <c r="J140" t="str">
        <f>IF($I140="","",INDEX('Product Master'!$B$7:$B$1000,MATCH($I140,'Product Master'!$A$7:$A$1000,0)))</f>
        <v/>
      </c>
      <c r="K140" t="str">
        <f>IF($I140="","",INDEX('Product Master'!$C$7:$C$1000,MATCH($I140,'Product Master'!$A$7:$A$1000,0)))</f>
        <v/>
      </c>
      <c r="L140" t="str">
        <f>IF($I140="","",INDEX('Product Master'!$M$7:$M$1000,MATCH($I140,'Product Master'!$A$7:$A$1000,0)))</f>
        <v/>
      </c>
      <c r="M140" t="str">
        <f>IF($I140="","",INDEX('Product Master'!$N$7:$N$1000,MATCH($I140,'Product Master'!$A$7:$A$1000,0)))</f>
        <v/>
      </c>
    </row>
    <row r="141" spans="1:13" x14ac:dyDescent="0.3">
      <c r="A141" t="str">
        <f>IFERROR(INDEX('Product Master'!$A$7:$A$1000,_xlfn.AGGREGATE(15,6,(ROW('Product Master'!$A$7:$A$1000)-ROW('Product Master'!$A$7)+1)/(('Product Master'!$A$7:$A$1000&lt;&gt;"")*('Product Master'!$P$7:$P$1000="Low Stock")),ROWS($A$12:A141))),"")</f>
        <v/>
      </c>
      <c r="B141" t="str">
        <f>IF($A141="","",INDEX('Product Master'!$B$7:$B$1000,MATCH($A141,'Product Master'!$A$7:$A$1000,0)))</f>
        <v/>
      </c>
      <c r="C141" t="str">
        <f>IF($A141="","",INDEX('Product Master'!$C$7:$C$1000,MATCH($A141,'Product Master'!$A$7:$A$1000,0)))</f>
        <v/>
      </c>
      <c r="D141" t="str">
        <f>IF($A141="","",INDEX('Product Master'!$M$7:$M$1000,MATCH($A141,'Product Master'!$A$7:$A$1000,0)))</f>
        <v/>
      </c>
      <c r="E141" t="str">
        <f>IF($A141="","",INDEX('Product Master'!$N$7:$N$1000,MATCH($A141,'Product Master'!$A$7:$A$1000,0)))</f>
        <v/>
      </c>
      <c r="F141" t="str">
        <f>IF($A141="","",INDEX('Product Master'!$P$7:$P$1000,MATCH($A141,'Product Master'!$A$7:$A$1000,0)))</f>
        <v/>
      </c>
      <c r="I141" t="str">
        <f>IFERROR(INDEX('Product Master'!$A$7:$A$1000,_xlfn.AGGREGATE(15,6,(ROW('Product Master'!$A$7:$A$1000)-ROW('Product Master'!$A$7)+1)/(('Product Master'!$A$7:$A$1000&lt;&gt;"")*('Product Master'!$P$7:$P$1000="Out of Stock")),ROWS($I$12:I141))),"")</f>
        <v/>
      </c>
      <c r="J141" t="str">
        <f>IF($I141="","",INDEX('Product Master'!$B$7:$B$1000,MATCH($I141,'Product Master'!$A$7:$A$1000,0)))</f>
        <v/>
      </c>
      <c r="K141" t="str">
        <f>IF($I141="","",INDEX('Product Master'!$C$7:$C$1000,MATCH($I141,'Product Master'!$A$7:$A$1000,0)))</f>
        <v/>
      </c>
      <c r="L141" t="str">
        <f>IF($I141="","",INDEX('Product Master'!$M$7:$M$1000,MATCH($I141,'Product Master'!$A$7:$A$1000,0)))</f>
        <v/>
      </c>
      <c r="M141" t="str">
        <f>IF($I141="","",INDEX('Product Master'!$N$7:$N$1000,MATCH($I141,'Product Master'!$A$7:$A$1000,0)))</f>
        <v/>
      </c>
    </row>
    <row r="142" spans="1:13" x14ac:dyDescent="0.3">
      <c r="A142" t="str">
        <f>IFERROR(INDEX('Product Master'!$A$7:$A$1000,_xlfn.AGGREGATE(15,6,(ROW('Product Master'!$A$7:$A$1000)-ROW('Product Master'!$A$7)+1)/(('Product Master'!$A$7:$A$1000&lt;&gt;"")*('Product Master'!$P$7:$P$1000="Low Stock")),ROWS($A$12:A142))),"")</f>
        <v/>
      </c>
      <c r="B142" t="str">
        <f>IF($A142="","",INDEX('Product Master'!$B$7:$B$1000,MATCH($A142,'Product Master'!$A$7:$A$1000,0)))</f>
        <v/>
      </c>
      <c r="C142" t="str">
        <f>IF($A142="","",INDEX('Product Master'!$C$7:$C$1000,MATCH($A142,'Product Master'!$A$7:$A$1000,0)))</f>
        <v/>
      </c>
      <c r="D142" t="str">
        <f>IF($A142="","",INDEX('Product Master'!$M$7:$M$1000,MATCH($A142,'Product Master'!$A$7:$A$1000,0)))</f>
        <v/>
      </c>
      <c r="E142" t="str">
        <f>IF($A142="","",INDEX('Product Master'!$N$7:$N$1000,MATCH($A142,'Product Master'!$A$7:$A$1000,0)))</f>
        <v/>
      </c>
      <c r="F142" t="str">
        <f>IF($A142="","",INDEX('Product Master'!$P$7:$P$1000,MATCH($A142,'Product Master'!$A$7:$A$1000,0)))</f>
        <v/>
      </c>
      <c r="I142" t="str">
        <f>IFERROR(INDEX('Product Master'!$A$7:$A$1000,_xlfn.AGGREGATE(15,6,(ROW('Product Master'!$A$7:$A$1000)-ROW('Product Master'!$A$7)+1)/(('Product Master'!$A$7:$A$1000&lt;&gt;"")*('Product Master'!$P$7:$P$1000="Out of Stock")),ROWS($I$12:I142))),"")</f>
        <v/>
      </c>
      <c r="J142" t="str">
        <f>IF($I142="","",INDEX('Product Master'!$B$7:$B$1000,MATCH($I142,'Product Master'!$A$7:$A$1000,0)))</f>
        <v/>
      </c>
      <c r="K142" t="str">
        <f>IF($I142="","",INDEX('Product Master'!$C$7:$C$1000,MATCH($I142,'Product Master'!$A$7:$A$1000,0)))</f>
        <v/>
      </c>
      <c r="L142" t="str">
        <f>IF($I142="","",INDEX('Product Master'!$M$7:$M$1000,MATCH($I142,'Product Master'!$A$7:$A$1000,0)))</f>
        <v/>
      </c>
      <c r="M142" t="str">
        <f>IF($I142="","",INDEX('Product Master'!$N$7:$N$1000,MATCH($I142,'Product Master'!$A$7:$A$1000,0)))</f>
        <v/>
      </c>
    </row>
    <row r="143" spans="1:13" x14ac:dyDescent="0.3">
      <c r="A143" t="str">
        <f>IFERROR(INDEX('Product Master'!$A$7:$A$1000,_xlfn.AGGREGATE(15,6,(ROW('Product Master'!$A$7:$A$1000)-ROW('Product Master'!$A$7)+1)/(('Product Master'!$A$7:$A$1000&lt;&gt;"")*('Product Master'!$P$7:$P$1000="Low Stock")),ROWS($A$12:A143))),"")</f>
        <v/>
      </c>
      <c r="B143" t="str">
        <f>IF($A143="","",INDEX('Product Master'!$B$7:$B$1000,MATCH($A143,'Product Master'!$A$7:$A$1000,0)))</f>
        <v/>
      </c>
      <c r="C143" t="str">
        <f>IF($A143="","",INDEX('Product Master'!$C$7:$C$1000,MATCH($A143,'Product Master'!$A$7:$A$1000,0)))</f>
        <v/>
      </c>
      <c r="D143" t="str">
        <f>IF($A143="","",INDEX('Product Master'!$M$7:$M$1000,MATCH($A143,'Product Master'!$A$7:$A$1000,0)))</f>
        <v/>
      </c>
      <c r="E143" t="str">
        <f>IF($A143="","",INDEX('Product Master'!$N$7:$N$1000,MATCH($A143,'Product Master'!$A$7:$A$1000,0)))</f>
        <v/>
      </c>
      <c r="F143" t="str">
        <f>IF($A143="","",INDEX('Product Master'!$P$7:$P$1000,MATCH($A143,'Product Master'!$A$7:$A$1000,0)))</f>
        <v/>
      </c>
      <c r="I143" t="str">
        <f>IFERROR(INDEX('Product Master'!$A$7:$A$1000,_xlfn.AGGREGATE(15,6,(ROW('Product Master'!$A$7:$A$1000)-ROW('Product Master'!$A$7)+1)/(('Product Master'!$A$7:$A$1000&lt;&gt;"")*('Product Master'!$P$7:$P$1000="Out of Stock")),ROWS($I$12:I143))),"")</f>
        <v/>
      </c>
      <c r="J143" t="str">
        <f>IF($I143="","",INDEX('Product Master'!$B$7:$B$1000,MATCH($I143,'Product Master'!$A$7:$A$1000,0)))</f>
        <v/>
      </c>
      <c r="K143" t="str">
        <f>IF($I143="","",INDEX('Product Master'!$C$7:$C$1000,MATCH($I143,'Product Master'!$A$7:$A$1000,0)))</f>
        <v/>
      </c>
      <c r="L143" t="str">
        <f>IF($I143="","",INDEX('Product Master'!$M$7:$M$1000,MATCH($I143,'Product Master'!$A$7:$A$1000,0)))</f>
        <v/>
      </c>
      <c r="M143" t="str">
        <f>IF($I143="","",INDEX('Product Master'!$N$7:$N$1000,MATCH($I143,'Product Master'!$A$7:$A$1000,0)))</f>
        <v/>
      </c>
    </row>
    <row r="144" spans="1:13" x14ac:dyDescent="0.3">
      <c r="A144" t="str">
        <f>IFERROR(INDEX('Product Master'!$A$7:$A$1000,_xlfn.AGGREGATE(15,6,(ROW('Product Master'!$A$7:$A$1000)-ROW('Product Master'!$A$7)+1)/(('Product Master'!$A$7:$A$1000&lt;&gt;"")*('Product Master'!$P$7:$P$1000="Low Stock")),ROWS($A$12:A144))),"")</f>
        <v/>
      </c>
      <c r="B144" t="str">
        <f>IF($A144="","",INDEX('Product Master'!$B$7:$B$1000,MATCH($A144,'Product Master'!$A$7:$A$1000,0)))</f>
        <v/>
      </c>
      <c r="C144" t="str">
        <f>IF($A144="","",INDEX('Product Master'!$C$7:$C$1000,MATCH($A144,'Product Master'!$A$7:$A$1000,0)))</f>
        <v/>
      </c>
      <c r="D144" t="str">
        <f>IF($A144="","",INDEX('Product Master'!$M$7:$M$1000,MATCH($A144,'Product Master'!$A$7:$A$1000,0)))</f>
        <v/>
      </c>
      <c r="E144" t="str">
        <f>IF($A144="","",INDEX('Product Master'!$N$7:$N$1000,MATCH($A144,'Product Master'!$A$7:$A$1000,0)))</f>
        <v/>
      </c>
      <c r="F144" t="str">
        <f>IF($A144="","",INDEX('Product Master'!$P$7:$P$1000,MATCH($A144,'Product Master'!$A$7:$A$1000,0)))</f>
        <v/>
      </c>
      <c r="I144" t="str">
        <f>IFERROR(INDEX('Product Master'!$A$7:$A$1000,_xlfn.AGGREGATE(15,6,(ROW('Product Master'!$A$7:$A$1000)-ROW('Product Master'!$A$7)+1)/(('Product Master'!$A$7:$A$1000&lt;&gt;"")*('Product Master'!$P$7:$P$1000="Out of Stock")),ROWS($I$12:I144))),"")</f>
        <v/>
      </c>
      <c r="J144" t="str">
        <f>IF($I144="","",INDEX('Product Master'!$B$7:$B$1000,MATCH($I144,'Product Master'!$A$7:$A$1000,0)))</f>
        <v/>
      </c>
      <c r="K144" t="str">
        <f>IF($I144="","",INDEX('Product Master'!$C$7:$C$1000,MATCH($I144,'Product Master'!$A$7:$A$1000,0)))</f>
        <v/>
      </c>
      <c r="L144" t="str">
        <f>IF($I144="","",INDEX('Product Master'!$M$7:$M$1000,MATCH($I144,'Product Master'!$A$7:$A$1000,0)))</f>
        <v/>
      </c>
      <c r="M144" t="str">
        <f>IF($I144="","",INDEX('Product Master'!$N$7:$N$1000,MATCH($I144,'Product Master'!$A$7:$A$1000,0)))</f>
        <v/>
      </c>
    </row>
    <row r="145" spans="1:13" x14ac:dyDescent="0.3">
      <c r="A145" t="str">
        <f>IFERROR(INDEX('Product Master'!$A$7:$A$1000,_xlfn.AGGREGATE(15,6,(ROW('Product Master'!$A$7:$A$1000)-ROW('Product Master'!$A$7)+1)/(('Product Master'!$A$7:$A$1000&lt;&gt;"")*('Product Master'!$P$7:$P$1000="Low Stock")),ROWS($A$12:A145))),"")</f>
        <v/>
      </c>
      <c r="B145" t="str">
        <f>IF($A145="","",INDEX('Product Master'!$B$7:$B$1000,MATCH($A145,'Product Master'!$A$7:$A$1000,0)))</f>
        <v/>
      </c>
      <c r="C145" t="str">
        <f>IF($A145="","",INDEX('Product Master'!$C$7:$C$1000,MATCH($A145,'Product Master'!$A$7:$A$1000,0)))</f>
        <v/>
      </c>
      <c r="D145" t="str">
        <f>IF($A145="","",INDEX('Product Master'!$M$7:$M$1000,MATCH($A145,'Product Master'!$A$7:$A$1000,0)))</f>
        <v/>
      </c>
      <c r="E145" t="str">
        <f>IF($A145="","",INDEX('Product Master'!$N$7:$N$1000,MATCH($A145,'Product Master'!$A$7:$A$1000,0)))</f>
        <v/>
      </c>
      <c r="F145" t="str">
        <f>IF($A145="","",INDEX('Product Master'!$P$7:$P$1000,MATCH($A145,'Product Master'!$A$7:$A$1000,0)))</f>
        <v/>
      </c>
      <c r="I145" t="str">
        <f>IFERROR(INDEX('Product Master'!$A$7:$A$1000,_xlfn.AGGREGATE(15,6,(ROW('Product Master'!$A$7:$A$1000)-ROW('Product Master'!$A$7)+1)/(('Product Master'!$A$7:$A$1000&lt;&gt;"")*('Product Master'!$P$7:$P$1000="Out of Stock")),ROWS($I$12:I145))),"")</f>
        <v/>
      </c>
      <c r="J145" t="str">
        <f>IF($I145="","",INDEX('Product Master'!$B$7:$B$1000,MATCH($I145,'Product Master'!$A$7:$A$1000,0)))</f>
        <v/>
      </c>
      <c r="K145" t="str">
        <f>IF($I145="","",INDEX('Product Master'!$C$7:$C$1000,MATCH($I145,'Product Master'!$A$7:$A$1000,0)))</f>
        <v/>
      </c>
      <c r="L145" t="str">
        <f>IF($I145="","",INDEX('Product Master'!$M$7:$M$1000,MATCH($I145,'Product Master'!$A$7:$A$1000,0)))</f>
        <v/>
      </c>
      <c r="M145" t="str">
        <f>IF($I145="","",INDEX('Product Master'!$N$7:$N$1000,MATCH($I145,'Product Master'!$A$7:$A$1000,0)))</f>
        <v/>
      </c>
    </row>
    <row r="146" spans="1:13" x14ac:dyDescent="0.3">
      <c r="A146" t="str">
        <f>IFERROR(INDEX('Product Master'!$A$7:$A$1000,_xlfn.AGGREGATE(15,6,(ROW('Product Master'!$A$7:$A$1000)-ROW('Product Master'!$A$7)+1)/(('Product Master'!$A$7:$A$1000&lt;&gt;"")*('Product Master'!$P$7:$P$1000="Low Stock")),ROWS($A$12:A146))),"")</f>
        <v/>
      </c>
      <c r="B146" t="str">
        <f>IF($A146="","",INDEX('Product Master'!$B$7:$B$1000,MATCH($A146,'Product Master'!$A$7:$A$1000,0)))</f>
        <v/>
      </c>
      <c r="C146" t="str">
        <f>IF($A146="","",INDEX('Product Master'!$C$7:$C$1000,MATCH($A146,'Product Master'!$A$7:$A$1000,0)))</f>
        <v/>
      </c>
      <c r="D146" t="str">
        <f>IF($A146="","",INDEX('Product Master'!$M$7:$M$1000,MATCH($A146,'Product Master'!$A$7:$A$1000,0)))</f>
        <v/>
      </c>
      <c r="E146" t="str">
        <f>IF($A146="","",INDEX('Product Master'!$N$7:$N$1000,MATCH($A146,'Product Master'!$A$7:$A$1000,0)))</f>
        <v/>
      </c>
      <c r="F146" t="str">
        <f>IF($A146="","",INDEX('Product Master'!$P$7:$P$1000,MATCH($A146,'Product Master'!$A$7:$A$1000,0)))</f>
        <v/>
      </c>
      <c r="I146" t="str">
        <f>IFERROR(INDEX('Product Master'!$A$7:$A$1000,_xlfn.AGGREGATE(15,6,(ROW('Product Master'!$A$7:$A$1000)-ROW('Product Master'!$A$7)+1)/(('Product Master'!$A$7:$A$1000&lt;&gt;"")*('Product Master'!$P$7:$P$1000="Out of Stock")),ROWS($I$12:I146))),"")</f>
        <v/>
      </c>
      <c r="J146" t="str">
        <f>IF($I146="","",INDEX('Product Master'!$B$7:$B$1000,MATCH($I146,'Product Master'!$A$7:$A$1000,0)))</f>
        <v/>
      </c>
      <c r="K146" t="str">
        <f>IF($I146="","",INDEX('Product Master'!$C$7:$C$1000,MATCH($I146,'Product Master'!$A$7:$A$1000,0)))</f>
        <v/>
      </c>
      <c r="L146" t="str">
        <f>IF($I146="","",INDEX('Product Master'!$M$7:$M$1000,MATCH($I146,'Product Master'!$A$7:$A$1000,0)))</f>
        <v/>
      </c>
      <c r="M146" t="str">
        <f>IF($I146="","",INDEX('Product Master'!$N$7:$N$1000,MATCH($I146,'Product Master'!$A$7:$A$1000,0)))</f>
        <v/>
      </c>
    </row>
    <row r="147" spans="1:13" x14ac:dyDescent="0.3">
      <c r="A147" t="str">
        <f>IFERROR(INDEX('Product Master'!$A$7:$A$1000,_xlfn.AGGREGATE(15,6,(ROW('Product Master'!$A$7:$A$1000)-ROW('Product Master'!$A$7)+1)/(('Product Master'!$A$7:$A$1000&lt;&gt;"")*('Product Master'!$P$7:$P$1000="Low Stock")),ROWS($A$12:A147))),"")</f>
        <v/>
      </c>
      <c r="B147" t="str">
        <f>IF($A147="","",INDEX('Product Master'!$B$7:$B$1000,MATCH($A147,'Product Master'!$A$7:$A$1000,0)))</f>
        <v/>
      </c>
      <c r="C147" t="str">
        <f>IF($A147="","",INDEX('Product Master'!$C$7:$C$1000,MATCH($A147,'Product Master'!$A$7:$A$1000,0)))</f>
        <v/>
      </c>
      <c r="D147" t="str">
        <f>IF($A147="","",INDEX('Product Master'!$M$7:$M$1000,MATCH($A147,'Product Master'!$A$7:$A$1000,0)))</f>
        <v/>
      </c>
      <c r="E147" t="str">
        <f>IF($A147="","",INDEX('Product Master'!$N$7:$N$1000,MATCH($A147,'Product Master'!$A$7:$A$1000,0)))</f>
        <v/>
      </c>
      <c r="F147" t="str">
        <f>IF($A147="","",INDEX('Product Master'!$P$7:$P$1000,MATCH($A147,'Product Master'!$A$7:$A$1000,0)))</f>
        <v/>
      </c>
      <c r="I147" t="str">
        <f>IFERROR(INDEX('Product Master'!$A$7:$A$1000,_xlfn.AGGREGATE(15,6,(ROW('Product Master'!$A$7:$A$1000)-ROW('Product Master'!$A$7)+1)/(('Product Master'!$A$7:$A$1000&lt;&gt;"")*('Product Master'!$P$7:$P$1000="Out of Stock")),ROWS($I$12:I147))),"")</f>
        <v/>
      </c>
      <c r="J147" t="str">
        <f>IF($I147="","",INDEX('Product Master'!$B$7:$B$1000,MATCH($I147,'Product Master'!$A$7:$A$1000,0)))</f>
        <v/>
      </c>
      <c r="K147" t="str">
        <f>IF($I147="","",INDEX('Product Master'!$C$7:$C$1000,MATCH($I147,'Product Master'!$A$7:$A$1000,0)))</f>
        <v/>
      </c>
      <c r="L147" t="str">
        <f>IF($I147="","",INDEX('Product Master'!$M$7:$M$1000,MATCH($I147,'Product Master'!$A$7:$A$1000,0)))</f>
        <v/>
      </c>
      <c r="M147" t="str">
        <f>IF($I147="","",INDEX('Product Master'!$N$7:$N$1000,MATCH($I147,'Product Master'!$A$7:$A$1000,0)))</f>
        <v/>
      </c>
    </row>
    <row r="148" spans="1:13" x14ac:dyDescent="0.3">
      <c r="A148" t="str">
        <f>IFERROR(INDEX('Product Master'!$A$7:$A$1000,_xlfn.AGGREGATE(15,6,(ROW('Product Master'!$A$7:$A$1000)-ROW('Product Master'!$A$7)+1)/(('Product Master'!$A$7:$A$1000&lt;&gt;"")*('Product Master'!$P$7:$P$1000="Low Stock")),ROWS($A$12:A148))),"")</f>
        <v/>
      </c>
      <c r="B148" t="str">
        <f>IF($A148="","",INDEX('Product Master'!$B$7:$B$1000,MATCH($A148,'Product Master'!$A$7:$A$1000,0)))</f>
        <v/>
      </c>
      <c r="C148" t="str">
        <f>IF($A148="","",INDEX('Product Master'!$C$7:$C$1000,MATCH($A148,'Product Master'!$A$7:$A$1000,0)))</f>
        <v/>
      </c>
      <c r="D148" t="str">
        <f>IF($A148="","",INDEX('Product Master'!$M$7:$M$1000,MATCH($A148,'Product Master'!$A$7:$A$1000,0)))</f>
        <v/>
      </c>
      <c r="E148" t="str">
        <f>IF($A148="","",INDEX('Product Master'!$N$7:$N$1000,MATCH($A148,'Product Master'!$A$7:$A$1000,0)))</f>
        <v/>
      </c>
      <c r="F148" t="str">
        <f>IF($A148="","",INDEX('Product Master'!$P$7:$P$1000,MATCH($A148,'Product Master'!$A$7:$A$1000,0)))</f>
        <v/>
      </c>
      <c r="I148" t="str">
        <f>IFERROR(INDEX('Product Master'!$A$7:$A$1000,_xlfn.AGGREGATE(15,6,(ROW('Product Master'!$A$7:$A$1000)-ROW('Product Master'!$A$7)+1)/(('Product Master'!$A$7:$A$1000&lt;&gt;"")*('Product Master'!$P$7:$P$1000="Out of Stock")),ROWS($I$12:I148))),"")</f>
        <v/>
      </c>
      <c r="J148" t="str">
        <f>IF($I148="","",INDEX('Product Master'!$B$7:$B$1000,MATCH($I148,'Product Master'!$A$7:$A$1000,0)))</f>
        <v/>
      </c>
      <c r="K148" t="str">
        <f>IF($I148="","",INDEX('Product Master'!$C$7:$C$1000,MATCH($I148,'Product Master'!$A$7:$A$1000,0)))</f>
        <v/>
      </c>
      <c r="L148" t="str">
        <f>IF($I148="","",INDEX('Product Master'!$M$7:$M$1000,MATCH($I148,'Product Master'!$A$7:$A$1000,0)))</f>
        <v/>
      </c>
      <c r="M148" t="str">
        <f>IF($I148="","",INDEX('Product Master'!$N$7:$N$1000,MATCH($I148,'Product Master'!$A$7:$A$1000,0)))</f>
        <v/>
      </c>
    </row>
    <row r="149" spans="1:13" x14ac:dyDescent="0.3">
      <c r="A149" t="str">
        <f>IFERROR(INDEX('Product Master'!$A$7:$A$1000,_xlfn.AGGREGATE(15,6,(ROW('Product Master'!$A$7:$A$1000)-ROW('Product Master'!$A$7)+1)/(('Product Master'!$A$7:$A$1000&lt;&gt;"")*('Product Master'!$P$7:$P$1000="Low Stock")),ROWS($A$12:A149))),"")</f>
        <v/>
      </c>
      <c r="B149" t="str">
        <f>IF($A149="","",INDEX('Product Master'!$B$7:$B$1000,MATCH($A149,'Product Master'!$A$7:$A$1000,0)))</f>
        <v/>
      </c>
      <c r="C149" t="str">
        <f>IF($A149="","",INDEX('Product Master'!$C$7:$C$1000,MATCH($A149,'Product Master'!$A$7:$A$1000,0)))</f>
        <v/>
      </c>
      <c r="D149" t="str">
        <f>IF($A149="","",INDEX('Product Master'!$M$7:$M$1000,MATCH($A149,'Product Master'!$A$7:$A$1000,0)))</f>
        <v/>
      </c>
      <c r="E149" t="str">
        <f>IF($A149="","",INDEX('Product Master'!$N$7:$N$1000,MATCH($A149,'Product Master'!$A$7:$A$1000,0)))</f>
        <v/>
      </c>
      <c r="F149" t="str">
        <f>IF($A149="","",INDEX('Product Master'!$P$7:$P$1000,MATCH($A149,'Product Master'!$A$7:$A$1000,0)))</f>
        <v/>
      </c>
      <c r="I149" t="str">
        <f>IFERROR(INDEX('Product Master'!$A$7:$A$1000,_xlfn.AGGREGATE(15,6,(ROW('Product Master'!$A$7:$A$1000)-ROW('Product Master'!$A$7)+1)/(('Product Master'!$A$7:$A$1000&lt;&gt;"")*('Product Master'!$P$7:$P$1000="Out of Stock")),ROWS($I$12:I149))),"")</f>
        <v/>
      </c>
      <c r="J149" t="str">
        <f>IF($I149="","",INDEX('Product Master'!$B$7:$B$1000,MATCH($I149,'Product Master'!$A$7:$A$1000,0)))</f>
        <v/>
      </c>
      <c r="K149" t="str">
        <f>IF($I149="","",INDEX('Product Master'!$C$7:$C$1000,MATCH($I149,'Product Master'!$A$7:$A$1000,0)))</f>
        <v/>
      </c>
      <c r="L149" t="str">
        <f>IF($I149="","",INDEX('Product Master'!$M$7:$M$1000,MATCH($I149,'Product Master'!$A$7:$A$1000,0)))</f>
        <v/>
      </c>
      <c r="M149" t="str">
        <f>IF($I149="","",INDEX('Product Master'!$N$7:$N$1000,MATCH($I149,'Product Master'!$A$7:$A$1000,0)))</f>
        <v/>
      </c>
    </row>
    <row r="150" spans="1:13" x14ac:dyDescent="0.3">
      <c r="A150" t="str">
        <f>IFERROR(INDEX('Product Master'!$A$7:$A$1000,_xlfn.AGGREGATE(15,6,(ROW('Product Master'!$A$7:$A$1000)-ROW('Product Master'!$A$7)+1)/(('Product Master'!$A$7:$A$1000&lt;&gt;"")*('Product Master'!$P$7:$P$1000="Low Stock")),ROWS($A$12:A150))),"")</f>
        <v/>
      </c>
      <c r="B150" t="str">
        <f>IF($A150="","",INDEX('Product Master'!$B$7:$B$1000,MATCH($A150,'Product Master'!$A$7:$A$1000,0)))</f>
        <v/>
      </c>
      <c r="C150" t="str">
        <f>IF($A150="","",INDEX('Product Master'!$C$7:$C$1000,MATCH($A150,'Product Master'!$A$7:$A$1000,0)))</f>
        <v/>
      </c>
      <c r="D150" t="str">
        <f>IF($A150="","",INDEX('Product Master'!$M$7:$M$1000,MATCH($A150,'Product Master'!$A$7:$A$1000,0)))</f>
        <v/>
      </c>
      <c r="E150" t="str">
        <f>IF($A150="","",INDEX('Product Master'!$N$7:$N$1000,MATCH($A150,'Product Master'!$A$7:$A$1000,0)))</f>
        <v/>
      </c>
      <c r="F150" t="str">
        <f>IF($A150="","",INDEX('Product Master'!$P$7:$P$1000,MATCH($A150,'Product Master'!$A$7:$A$1000,0)))</f>
        <v/>
      </c>
      <c r="I150" t="str">
        <f>IFERROR(INDEX('Product Master'!$A$7:$A$1000,_xlfn.AGGREGATE(15,6,(ROW('Product Master'!$A$7:$A$1000)-ROW('Product Master'!$A$7)+1)/(('Product Master'!$A$7:$A$1000&lt;&gt;"")*('Product Master'!$P$7:$P$1000="Out of Stock")),ROWS($I$12:I150))),"")</f>
        <v/>
      </c>
      <c r="J150" t="str">
        <f>IF($I150="","",INDEX('Product Master'!$B$7:$B$1000,MATCH($I150,'Product Master'!$A$7:$A$1000,0)))</f>
        <v/>
      </c>
      <c r="K150" t="str">
        <f>IF($I150="","",INDEX('Product Master'!$C$7:$C$1000,MATCH($I150,'Product Master'!$A$7:$A$1000,0)))</f>
        <v/>
      </c>
      <c r="L150" t="str">
        <f>IF($I150="","",INDEX('Product Master'!$M$7:$M$1000,MATCH($I150,'Product Master'!$A$7:$A$1000,0)))</f>
        <v/>
      </c>
      <c r="M150" t="str">
        <f>IF($I150="","",INDEX('Product Master'!$N$7:$N$1000,MATCH($I150,'Product Master'!$A$7:$A$1000,0)))</f>
        <v/>
      </c>
    </row>
    <row r="151" spans="1:13" x14ac:dyDescent="0.3">
      <c r="A151" t="str">
        <f>IFERROR(INDEX('Product Master'!$A$7:$A$1000,_xlfn.AGGREGATE(15,6,(ROW('Product Master'!$A$7:$A$1000)-ROW('Product Master'!$A$7)+1)/(('Product Master'!$A$7:$A$1000&lt;&gt;"")*('Product Master'!$P$7:$P$1000="Low Stock")),ROWS($A$12:A151))),"")</f>
        <v/>
      </c>
      <c r="B151" t="str">
        <f>IF($A151="","",INDEX('Product Master'!$B$7:$B$1000,MATCH($A151,'Product Master'!$A$7:$A$1000,0)))</f>
        <v/>
      </c>
      <c r="C151" t="str">
        <f>IF($A151="","",INDEX('Product Master'!$C$7:$C$1000,MATCH($A151,'Product Master'!$A$7:$A$1000,0)))</f>
        <v/>
      </c>
      <c r="D151" t="str">
        <f>IF($A151="","",INDEX('Product Master'!$M$7:$M$1000,MATCH($A151,'Product Master'!$A$7:$A$1000,0)))</f>
        <v/>
      </c>
      <c r="E151" t="str">
        <f>IF($A151="","",INDEX('Product Master'!$N$7:$N$1000,MATCH($A151,'Product Master'!$A$7:$A$1000,0)))</f>
        <v/>
      </c>
      <c r="F151" t="str">
        <f>IF($A151="","",INDEX('Product Master'!$P$7:$P$1000,MATCH($A151,'Product Master'!$A$7:$A$1000,0)))</f>
        <v/>
      </c>
      <c r="I151" t="str">
        <f>IFERROR(INDEX('Product Master'!$A$7:$A$1000,_xlfn.AGGREGATE(15,6,(ROW('Product Master'!$A$7:$A$1000)-ROW('Product Master'!$A$7)+1)/(('Product Master'!$A$7:$A$1000&lt;&gt;"")*('Product Master'!$P$7:$P$1000="Out of Stock")),ROWS($I$12:I151))),"")</f>
        <v/>
      </c>
      <c r="J151" t="str">
        <f>IF($I151="","",INDEX('Product Master'!$B$7:$B$1000,MATCH($I151,'Product Master'!$A$7:$A$1000,0)))</f>
        <v/>
      </c>
      <c r="K151" t="str">
        <f>IF($I151="","",INDEX('Product Master'!$C$7:$C$1000,MATCH($I151,'Product Master'!$A$7:$A$1000,0)))</f>
        <v/>
      </c>
      <c r="L151" t="str">
        <f>IF($I151="","",INDEX('Product Master'!$M$7:$M$1000,MATCH($I151,'Product Master'!$A$7:$A$1000,0)))</f>
        <v/>
      </c>
      <c r="M151" t="str">
        <f>IF($I151="","",INDEX('Product Master'!$N$7:$N$1000,MATCH($I151,'Product Master'!$A$7:$A$1000,0)))</f>
        <v/>
      </c>
    </row>
    <row r="152" spans="1:13" x14ac:dyDescent="0.3">
      <c r="A152" t="str">
        <f>IFERROR(INDEX('Product Master'!$A$7:$A$1000,_xlfn.AGGREGATE(15,6,(ROW('Product Master'!$A$7:$A$1000)-ROW('Product Master'!$A$7)+1)/(('Product Master'!$A$7:$A$1000&lt;&gt;"")*('Product Master'!$P$7:$P$1000="Low Stock")),ROWS($A$12:A152))),"")</f>
        <v/>
      </c>
      <c r="B152" t="str">
        <f>IF($A152="","",INDEX('Product Master'!$B$7:$B$1000,MATCH($A152,'Product Master'!$A$7:$A$1000,0)))</f>
        <v/>
      </c>
      <c r="C152" t="str">
        <f>IF($A152="","",INDEX('Product Master'!$C$7:$C$1000,MATCH($A152,'Product Master'!$A$7:$A$1000,0)))</f>
        <v/>
      </c>
      <c r="D152" t="str">
        <f>IF($A152="","",INDEX('Product Master'!$M$7:$M$1000,MATCH($A152,'Product Master'!$A$7:$A$1000,0)))</f>
        <v/>
      </c>
      <c r="E152" t="str">
        <f>IF($A152="","",INDEX('Product Master'!$N$7:$N$1000,MATCH($A152,'Product Master'!$A$7:$A$1000,0)))</f>
        <v/>
      </c>
      <c r="F152" t="str">
        <f>IF($A152="","",INDEX('Product Master'!$P$7:$P$1000,MATCH($A152,'Product Master'!$A$7:$A$1000,0)))</f>
        <v/>
      </c>
      <c r="I152" t="str">
        <f>IFERROR(INDEX('Product Master'!$A$7:$A$1000,_xlfn.AGGREGATE(15,6,(ROW('Product Master'!$A$7:$A$1000)-ROW('Product Master'!$A$7)+1)/(('Product Master'!$A$7:$A$1000&lt;&gt;"")*('Product Master'!$P$7:$P$1000="Out of Stock")),ROWS($I$12:I152))),"")</f>
        <v/>
      </c>
      <c r="J152" t="str">
        <f>IF($I152="","",INDEX('Product Master'!$B$7:$B$1000,MATCH($I152,'Product Master'!$A$7:$A$1000,0)))</f>
        <v/>
      </c>
      <c r="K152" t="str">
        <f>IF($I152="","",INDEX('Product Master'!$C$7:$C$1000,MATCH($I152,'Product Master'!$A$7:$A$1000,0)))</f>
        <v/>
      </c>
      <c r="L152" t="str">
        <f>IF($I152="","",INDEX('Product Master'!$M$7:$M$1000,MATCH($I152,'Product Master'!$A$7:$A$1000,0)))</f>
        <v/>
      </c>
      <c r="M152" t="str">
        <f>IF($I152="","",INDEX('Product Master'!$N$7:$N$1000,MATCH($I152,'Product Master'!$A$7:$A$1000,0)))</f>
        <v/>
      </c>
    </row>
    <row r="153" spans="1:13" x14ac:dyDescent="0.3">
      <c r="A153" t="str">
        <f>IFERROR(INDEX('Product Master'!$A$7:$A$1000,_xlfn.AGGREGATE(15,6,(ROW('Product Master'!$A$7:$A$1000)-ROW('Product Master'!$A$7)+1)/(('Product Master'!$A$7:$A$1000&lt;&gt;"")*('Product Master'!$P$7:$P$1000="Low Stock")),ROWS($A$12:A153))),"")</f>
        <v/>
      </c>
      <c r="B153" t="str">
        <f>IF($A153="","",INDEX('Product Master'!$B$7:$B$1000,MATCH($A153,'Product Master'!$A$7:$A$1000,0)))</f>
        <v/>
      </c>
      <c r="C153" t="str">
        <f>IF($A153="","",INDEX('Product Master'!$C$7:$C$1000,MATCH($A153,'Product Master'!$A$7:$A$1000,0)))</f>
        <v/>
      </c>
      <c r="D153" t="str">
        <f>IF($A153="","",INDEX('Product Master'!$M$7:$M$1000,MATCH($A153,'Product Master'!$A$7:$A$1000,0)))</f>
        <v/>
      </c>
      <c r="E153" t="str">
        <f>IF($A153="","",INDEX('Product Master'!$N$7:$N$1000,MATCH($A153,'Product Master'!$A$7:$A$1000,0)))</f>
        <v/>
      </c>
      <c r="F153" t="str">
        <f>IF($A153="","",INDEX('Product Master'!$P$7:$P$1000,MATCH($A153,'Product Master'!$A$7:$A$1000,0)))</f>
        <v/>
      </c>
      <c r="I153" t="str">
        <f>IFERROR(INDEX('Product Master'!$A$7:$A$1000,_xlfn.AGGREGATE(15,6,(ROW('Product Master'!$A$7:$A$1000)-ROW('Product Master'!$A$7)+1)/(('Product Master'!$A$7:$A$1000&lt;&gt;"")*('Product Master'!$P$7:$P$1000="Out of Stock")),ROWS($I$12:I153))),"")</f>
        <v/>
      </c>
      <c r="J153" t="str">
        <f>IF($I153="","",INDEX('Product Master'!$B$7:$B$1000,MATCH($I153,'Product Master'!$A$7:$A$1000,0)))</f>
        <v/>
      </c>
      <c r="K153" t="str">
        <f>IF($I153="","",INDEX('Product Master'!$C$7:$C$1000,MATCH($I153,'Product Master'!$A$7:$A$1000,0)))</f>
        <v/>
      </c>
      <c r="L153" t="str">
        <f>IF($I153="","",INDEX('Product Master'!$M$7:$M$1000,MATCH($I153,'Product Master'!$A$7:$A$1000,0)))</f>
        <v/>
      </c>
      <c r="M153" t="str">
        <f>IF($I153="","",INDEX('Product Master'!$N$7:$N$1000,MATCH($I153,'Product Master'!$A$7:$A$1000,0)))</f>
        <v/>
      </c>
    </row>
    <row r="154" spans="1:13" x14ac:dyDescent="0.3">
      <c r="A154" t="str">
        <f>IFERROR(INDEX('Product Master'!$A$7:$A$1000,_xlfn.AGGREGATE(15,6,(ROW('Product Master'!$A$7:$A$1000)-ROW('Product Master'!$A$7)+1)/(('Product Master'!$A$7:$A$1000&lt;&gt;"")*('Product Master'!$P$7:$P$1000="Low Stock")),ROWS($A$12:A154))),"")</f>
        <v/>
      </c>
      <c r="B154" t="str">
        <f>IF($A154="","",INDEX('Product Master'!$B$7:$B$1000,MATCH($A154,'Product Master'!$A$7:$A$1000,0)))</f>
        <v/>
      </c>
      <c r="C154" t="str">
        <f>IF($A154="","",INDEX('Product Master'!$C$7:$C$1000,MATCH($A154,'Product Master'!$A$7:$A$1000,0)))</f>
        <v/>
      </c>
      <c r="D154" t="str">
        <f>IF($A154="","",INDEX('Product Master'!$M$7:$M$1000,MATCH($A154,'Product Master'!$A$7:$A$1000,0)))</f>
        <v/>
      </c>
      <c r="E154" t="str">
        <f>IF($A154="","",INDEX('Product Master'!$N$7:$N$1000,MATCH($A154,'Product Master'!$A$7:$A$1000,0)))</f>
        <v/>
      </c>
      <c r="F154" t="str">
        <f>IF($A154="","",INDEX('Product Master'!$P$7:$P$1000,MATCH($A154,'Product Master'!$A$7:$A$1000,0)))</f>
        <v/>
      </c>
      <c r="I154" t="str">
        <f>IFERROR(INDEX('Product Master'!$A$7:$A$1000,_xlfn.AGGREGATE(15,6,(ROW('Product Master'!$A$7:$A$1000)-ROW('Product Master'!$A$7)+1)/(('Product Master'!$A$7:$A$1000&lt;&gt;"")*('Product Master'!$P$7:$P$1000="Out of Stock")),ROWS($I$12:I154))),"")</f>
        <v/>
      </c>
      <c r="J154" t="str">
        <f>IF($I154="","",INDEX('Product Master'!$B$7:$B$1000,MATCH($I154,'Product Master'!$A$7:$A$1000,0)))</f>
        <v/>
      </c>
      <c r="K154" t="str">
        <f>IF($I154="","",INDEX('Product Master'!$C$7:$C$1000,MATCH($I154,'Product Master'!$A$7:$A$1000,0)))</f>
        <v/>
      </c>
      <c r="L154" t="str">
        <f>IF($I154="","",INDEX('Product Master'!$M$7:$M$1000,MATCH($I154,'Product Master'!$A$7:$A$1000,0)))</f>
        <v/>
      </c>
      <c r="M154" t="str">
        <f>IF($I154="","",INDEX('Product Master'!$N$7:$N$1000,MATCH($I154,'Product Master'!$A$7:$A$1000,0)))</f>
        <v/>
      </c>
    </row>
    <row r="155" spans="1:13" x14ac:dyDescent="0.3">
      <c r="A155" t="str">
        <f>IFERROR(INDEX('Product Master'!$A$7:$A$1000,_xlfn.AGGREGATE(15,6,(ROW('Product Master'!$A$7:$A$1000)-ROW('Product Master'!$A$7)+1)/(('Product Master'!$A$7:$A$1000&lt;&gt;"")*('Product Master'!$P$7:$P$1000="Low Stock")),ROWS($A$12:A155))),"")</f>
        <v/>
      </c>
      <c r="B155" t="str">
        <f>IF($A155="","",INDEX('Product Master'!$B$7:$B$1000,MATCH($A155,'Product Master'!$A$7:$A$1000,0)))</f>
        <v/>
      </c>
      <c r="C155" t="str">
        <f>IF($A155="","",INDEX('Product Master'!$C$7:$C$1000,MATCH($A155,'Product Master'!$A$7:$A$1000,0)))</f>
        <v/>
      </c>
      <c r="D155" t="str">
        <f>IF($A155="","",INDEX('Product Master'!$M$7:$M$1000,MATCH($A155,'Product Master'!$A$7:$A$1000,0)))</f>
        <v/>
      </c>
      <c r="E155" t="str">
        <f>IF($A155="","",INDEX('Product Master'!$N$7:$N$1000,MATCH($A155,'Product Master'!$A$7:$A$1000,0)))</f>
        <v/>
      </c>
      <c r="F155" t="str">
        <f>IF($A155="","",INDEX('Product Master'!$P$7:$P$1000,MATCH($A155,'Product Master'!$A$7:$A$1000,0)))</f>
        <v/>
      </c>
      <c r="I155" t="str">
        <f>IFERROR(INDEX('Product Master'!$A$7:$A$1000,_xlfn.AGGREGATE(15,6,(ROW('Product Master'!$A$7:$A$1000)-ROW('Product Master'!$A$7)+1)/(('Product Master'!$A$7:$A$1000&lt;&gt;"")*('Product Master'!$P$7:$P$1000="Out of Stock")),ROWS($I$12:I155))),"")</f>
        <v/>
      </c>
      <c r="J155" t="str">
        <f>IF($I155="","",INDEX('Product Master'!$B$7:$B$1000,MATCH($I155,'Product Master'!$A$7:$A$1000,0)))</f>
        <v/>
      </c>
      <c r="K155" t="str">
        <f>IF($I155="","",INDEX('Product Master'!$C$7:$C$1000,MATCH($I155,'Product Master'!$A$7:$A$1000,0)))</f>
        <v/>
      </c>
      <c r="L155" t="str">
        <f>IF($I155="","",INDEX('Product Master'!$M$7:$M$1000,MATCH($I155,'Product Master'!$A$7:$A$1000,0)))</f>
        <v/>
      </c>
      <c r="M155" t="str">
        <f>IF($I155="","",INDEX('Product Master'!$N$7:$N$1000,MATCH($I155,'Product Master'!$A$7:$A$1000,0)))</f>
        <v/>
      </c>
    </row>
    <row r="156" spans="1:13" x14ac:dyDescent="0.3">
      <c r="A156" t="str">
        <f>IFERROR(INDEX('Product Master'!$A$7:$A$1000,_xlfn.AGGREGATE(15,6,(ROW('Product Master'!$A$7:$A$1000)-ROW('Product Master'!$A$7)+1)/(('Product Master'!$A$7:$A$1000&lt;&gt;"")*('Product Master'!$P$7:$P$1000="Low Stock")),ROWS($A$12:A156))),"")</f>
        <v/>
      </c>
      <c r="B156" t="str">
        <f>IF($A156="","",INDEX('Product Master'!$B$7:$B$1000,MATCH($A156,'Product Master'!$A$7:$A$1000,0)))</f>
        <v/>
      </c>
      <c r="C156" t="str">
        <f>IF($A156="","",INDEX('Product Master'!$C$7:$C$1000,MATCH($A156,'Product Master'!$A$7:$A$1000,0)))</f>
        <v/>
      </c>
      <c r="D156" t="str">
        <f>IF($A156="","",INDEX('Product Master'!$M$7:$M$1000,MATCH($A156,'Product Master'!$A$7:$A$1000,0)))</f>
        <v/>
      </c>
      <c r="E156" t="str">
        <f>IF($A156="","",INDEX('Product Master'!$N$7:$N$1000,MATCH($A156,'Product Master'!$A$7:$A$1000,0)))</f>
        <v/>
      </c>
      <c r="F156" t="str">
        <f>IF($A156="","",INDEX('Product Master'!$P$7:$P$1000,MATCH($A156,'Product Master'!$A$7:$A$1000,0)))</f>
        <v/>
      </c>
      <c r="I156" t="str">
        <f>IFERROR(INDEX('Product Master'!$A$7:$A$1000,_xlfn.AGGREGATE(15,6,(ROW('Product Master'!$A$7:$A$1000)-ROW('Product Master'!$A$7)+1)/(('Product Master'!$A$7:$A$1000&lt;&gt;"")*('Product Master'!$P$7:$P$1000="Out of Stock")),ROWS($I$12:I156))),"")</f>
        <v/>
      </c>
      <c r="J156" t="str">
        <f>IF($I156="","",INDEX('Product Master'!$B$7:$B$1000,MATCH($I156,'Product Master'!$A$7:$A$1000,0)))</f>
        <v/>
      </c>
      <c r="K156" t="str">
        <f>IF($I156="","",INDEX('Product Master'!$C$7:$C$1000,MATCH($I156,'Product Master'!$A$7:$A$1000,0)))</f>
        <v/>
      </c>
      <c r="L156" t="str">
        <f>IF($I156="","",INDEX('Product Master'!$M$7:$M$1000,MATCH($I156,'Product Master'!$A$7:$A$1000,0)))</f>
        <v/>
      </c>
      <c r="M156" t="str">
        <f>IF($I156="","",INDEX('Product Master'!$N$7:$N$1000,MATCH($I156,'Product Master'!$A$7:$A$1000,0)))</f>
        <v/>
      </c>
    </row>
    <row r="157" spans="1:13" x14ac:dyDescent="0.3">
      <c r="A157" t="str">
        <f>IFERROR(INDEX('Product Master'!$A$7:$A$1000,_xlfn.AGGREGATE(15,6,(ROW('Product Master'!$A$7:$A$1000)-ROW('Product Master'!$A$7)+1)/(('Product Master'!$A$7:$A$1000&lt;&gt;"")*('Product Master'!$P$7:$P$1000="Low Stock")),ROWS($A$12:A157))),"")</f>
        <v/>
      </c>
      <c r="B157" t="str">
        <f>IF($A157="","",INDEX('Product Master'!$B$7:$B$1000,MATCH($A157,'Product Master'!$A$7:$A$1000,0)))</f>
        <v/>
      </c>
      <c r="C157" t="str">
        <f>IF($A157="","",INDEX('Product Master'!$C$7:$C$1000,MATCH($A157,'Product Master'!$A$7:$A$1000,0)))</f>
        <v/>
      </c>
      <c r="D157" t="str">
        <f>IF($A157="","",INDEX('Product Master'!$M$7:$M$1000,MATCH($A157,'Product Master'!$A$7:$A$1000,0)))</f>
        <v/>
      </c>
      <c r="E157" t="str">
        <f>IF($A157="","",INDEX('Product Master'!$N$7:$N$1000,MATCH($A157,'Product Master'!$A$7:$A$1000,0)))</f>
        <v/>
      </c>
      <c r="F157" t="str">
        <f>IF($A157="","",INDEX('Product Master'!$P$7:$P$1000,MATCH($A157,'Product Master'!$A$7:$A$1000,0)))</f>
        <v/>
      </c>
      <c r="I157" t="str">
        <f>IFERROR(INDEX('Product Master'!$A$7:$A$1000,_xlfn.AGGREGATE(15,6,(ROW('Product Master'!$A$7:$A$1000)-ROW('Product Master'!$A$7)+1)/(('Product Master'!$A$7:$A$1000&lt;&gt;"")*('Product Master'!$P$7:$P$1000="Out of Stock")),ROWS($I$12:I157))),"")</f>
        <v/>
      </c>
      <c r="J157" t="str">
        <f>IF($I157="","",INDEX('Product Master'!$B$7:$B$1000,MATCH($I157,'Product Master'!$A$7:$A$1000,0)))</f>
        <v/>
      </c>
      <c r="K157" t="str">
        <f>IF($I157="","",INDEX('Product Master'!$C$7:$C$1000,MATCH($I157,'Product Master'!$A$7:$A$1000,0)))</f>
        <v/>
      </c>
      <c r="L157" t="str">
        <f>IF($I157="","",INDEX('Product Master'!$M$7:$M$1000,MATCH($I157,'Product Master'!$A$7:$A$1000,0)))</f>
        <v/>
      </c>
      <c r="M157" t="str">
        <f>IF($I157="","",INDEX('Product Master'!$N$7:$N$1000,MATCH($I157,'Product Master'!$A$7:$A$1000,0)))</f>
        <v/>
      </c>
    </row>
    <row r="158" spans="1:13" x14ac:dyDescent="0.3">
      <c r="A158" t="str">
        <f>IFERROR(INDEX('Product Master'!$A$7:$A$1000,_xlfn.AGGREGATE(15,6,(ROW('Product Master'!$A$7:$A$1000)-ROW('Product Master'!$A$7)+1)/(('Product Master'!$A$7:$A$1000&lt;&gt;"")*('Product Master'!$P$7:$P$1000="Low Stock")),ROWS($A$12:A158))),"")</f>
        <v/>
      </c>
      <c r="B158" t="str">
        <f>IF($A158="","",INDEX('Product Master'!$B$7:$B$1000,MATCH($A158,'Product Master'!$A$7:$A$1000,0)))</f>
        <v/>
      </c>
      <c r="C158" t="str">
        <f>IF($A158="","",INDEX('Product Master'!$C$7:$C$1000,MATCH($A158,'Product Master'!$A$7:$A$1000,0)))</f>
        <v/>
      </c>
      <c r="D158" t="str">
        <f>IF($A158="","",INDEX('Product Master'!$M$7:$M$1000,MATCH($A158,'Product Master'!$A$7:$A$1000,0)))</f>
        <v/>
      </c>
      <c r="E158" t="str">
        <f>IF($A158="","",INDEX('Product Master'!$N$7:$N$1000,MATCH($A158,'Product Master'!$A$7:$A$1000,0)))</f>
        <v/>
      </c>
      <c r="F158" t="str">
        <f>IF($A158="","",INDEX('Product Master'!$P$7:$P$1000,MATCH($A158,'Product Master'!$A$7:$A$1000,0)))</f>
        <v/>
      </c>
      <c r="I158" t="str">
        <f>IFERROR(INDEX('Product Master'!$A$7:$A$1000,_xlfn.AGGREGATE(15,6,(ROW('Product Master'!$A$7:$A$1000)-ROW('Product Master'!$A$7)+1)/(('Product Master'!$A$7:$A$1000&lt;&gt;"")*('Product Master'!$P$7:$P$1000="Out of Stock")),ROWS($I$12:I158))),"")</f>
        <v/>
      </c>
      <c r="J158" t="str">
        <f>IF($I158="","",INDEX('Product Master'!$B$7:$B$1000,MATCH($I158,'Product Master'!$A$7:$A$1000,0)))</f>
        <v/>
      </c>
      <c r="K158" t="str">
        <f>IF($I158="","",INDEX('Product Master'!$C$7:$C$1000,MATCH($I158,'Product Master'!$A$7:$A$1000,0)))</f>
        <v/>
      </c>
      <c r="L158" t="str">
        <f>IF($I158="","",INDEX('Product Master'!$M$7:$M$1000,MATCH($I158,'Product Master'!$A$7:$A$1000,0)))</f>
        <v/>
      </c>
      <c r="M158" t="str">
        <f>IF($I158="","",INDEX('Product Master'!$N$7:$N$1000,MATCH($I158,'Product Master'!$A$7:$A$1000,0)))</f>
        <v/>
      </c>
    </row>
    <row r="159" spans="1:13" x14ac:dyDescent="0.3">
      <c r="A159" t="str">
        <f>IFERROR(INDEX('Product Master'!$A$7:$A$1000,_xlfn.AGGREGATE(15,6,(ROW('Product Master'!$A$7:$A$1000)-ROW('Product Master'!$A$7)+1)/(('Product Master'!$A$7:$A$1000&lt;&gt;"")*('Product Master'!$P$7:$P$1000="Low Stock")),ROWS($A$12:A159))),"")</f>
        <v/>
      </c>
      <c r="B159" t="str">
        <f>IF($A159="","",INDEX('Product Master'!$B$7:$B$1000,MATCH($A159,'Product Master'!$A$7:$A$1000,0)))</f>
        <v/>
      </c>
      <c r="C159" t="str">
        <f>IF($A159="","",INDEX('Product Master'!$C$7:$C$1000,MATCH($A159,'Product Master'!$A$7:$A$1000,0)))</f>
        <v/>
      </c>
      <c r="D159" t="str">
        <f>IF($A159="","",INDEX('Product Master'!$M$7:$M$1000,MATCH($A159,'Product Master'!$A$7:$A$1000,0)))</f>
        <v/>
      </c>
      <c r="E159" t="str">
        <f>IF($A159="","",INDEX('Product Master'!$N$7:$N$1000,MATCH($A159,'Product Master'!$A$7:$A$1000,0)))</f>
        <v/>
      </c>
      <c r="F159" t="str">
        <f>IF($A159="","",INDEX('Product Master'!$P$7:$P$1000,MATCH($A159,'Product Master'!$A$7:$A$1000,0)))</f>
        <v/>
      </c>
      <c r="I159" t="str">
        <f>IFERROR(INDEX('Product Master'!$A$7:$A$1000,_xlfn.AGGREGATE(15,6,(ROW('Product Master'!$A$7:$A$1000)-ROW('Product Master'!$A$7)+1)/(('Product Master'!$A$7:$A$1000&lt;&gt;"")*('Product Master'!$P$7:$P$1000="Out of Stock")),ROWS($I$12:I159))),"")</f>
        <v/>
      </c>
      <c r="J159" t="str">
        <f>IF($I159="","",INDEX('Product Master'!$B$7:$B$1000,MATCH($I159,'Product Master'!$A$7:$A$1000,0)))</f>
        <v/>
      </c>
      <c r="K159" t="str">
        <f>IF($I159="","",INDEX('Product Master'!$C$7:$C$1000,MATCH($I159,'Product Master'!$A$7:$A$1000,0)))</f>
        <v/>
      </c>
      <c r="L159" t="str">
        <f>IF($I159="","",INDEX('Product Master'!$M$7:$M$1000,MATCH($I159,'Product Master'!$A$7:$A$1000,0)))</f>
        <v/>
      </c>
      <c r="M159" t="str">
        <f>IF($I159="","",INDEX('Product Master'!$N$7:$N$1000,MATCH($I159,'Product Master'!$A$7:$A$1000,0)))</f>
        <v/>
      </c>
    </row>
    <row r="160" spans="1:13" x14ac:dyDescent="0.3">
      <c r="A160" t="str">
        <f>IFERROR(INDEX('Product Master'!$A$7:$A$1000,_xlfn.AGGREGATE(15,6,(ROW('Product Master'!$A$7:$A$1000)-ROW('Product Master'!$A$7)+1)/(('Product Master'!$A$7:$A$1000&lt;&gt;"")*('Product Master'!$P$7:$P$1000="Low Stock")),ROWS($A$12:A160))),"")</f>
        <v/>
      </c>
      <c r="B160" t="str">
        <f>IF($A160="","",INDEX('Product Master'!$B$7:$B$1000,MATCH($A160,'Product Master'!$A$7:$A$1000,0)))</f>
        <v/>
      </c>
      <c r="C160" t="str">
        <f>IF($A160="","",INDEX('Product Master'!$C$7:$C$1000,MATCH($A160,'Product Master'!$A$7:$A$1000,0)))</f>
        <v/>
      </c>
      <c r="D160" t="str">
        <f>IF($A160="","",INDEX('Product Master'!$M$7:$M$1000,MATCH($A160,'Product Master'!$A$7:$A$1000,0)))</f>
        <v/>
      </c>
      <c r="E160" t="str">
        <f>IF($A160="","",INDEX('Product Master'!$N$7:$N$1000,MATCH($A160,'Product Master'!$A$7:$A$1000,0)))</f>
        <v/>
      </c>
      <c r="F160" t="str">
        <f>IF($A160="","",INDEX('Product Master'!$P$7:$P$1000,MATCH($A160,'Product Master'!$A$7:$A$1000,0)))</f>
        <v/>
      </c>
      <c r="I160" t="str">
        <f>IFERROR(INDEX('Product Master'!$A$7:$A$1000,_xlfn.AGGREGATE(15,6,(ROW('Product Master'!$A$7:$A$1000)-ROW('Product Master'!$A$7)+1)/(('Product Master'!$A$7:$A$1000&lt;&gt;"")*('Product Master'!$P$7:$P$1000="Out of Stock")),ROWS($I$12:I160))),"")</f>
        <v/>
      </c>
      <c r="J160" t="str">
        <f>IF($I160="","",INDEX('Product Master'!$B$7:$B$1000,MATCH($I160,'Product Master'!$A$7:$A$1000,0)))</f>
        <v/>
      </c>
      <c r="K160" t="str">
        <f>IF($I160="","",INDEX('Product Master'!$C$7:$C$1000,MATCH($I160,'Product Master'!$A$7:$A$1000,0)))</f>
        <v/>
      </c>
      <c r="L160" t="str">
        <f>IF($I160="","",INDEX('Product Master'!$M$7:$M$1000,MATCH($I160,'Product Master'!$A$7:$A$1000,0)))</f>
        <v/>
      </c>
      <c r="M160" t="str">
        <f>IF($I160="","",INDEX('Product Master'!$N$7:$N$1000,MATCH($I160,'Product Master'!$A$7:$A$1000,0)))</f>
        <v/>
      </c>
    </row>
    <row r="161" spans="1:13" x14ac:dyDescent="0.3">
      <c r="A161" t="str">
        <f>IFERROR(INDEX('Product Master'!$A$7:$A$1000,_xlfn.AGGREGATE(15,6,(ROW('Product Master'!$A$7:$A$1000)-ROW('Product Master'!$A$7)+1)/(('Product Master'!$A$7:$A$1000&lt;&gt;"")*('Product Master'!$P$7:$P$1000="Low Stock")),ROWS($A$12:A161))),"")</f>
        <v/>
      </c>
      <c r="B161" t="str">
        <f>IF($A161="","",INDEX('Product Master'!$B$7:$B$1000,MATCH($A161,'Product Master'!$A$7:$A$1000,0)))</f>
        <v/>
      </c>
      <c r="C161" t="str">
        <f>IF($A161="","",INDEX('Product Master'!$C$7:$C$1000,MATCH($A161,'Product Master'!$A$7:$A$1000,0)))</f>
        <v/>
      </c>
      <c r="D161" t="str">
        <f>IF($A161="","",INDEX('Product Master'!$M$7:$M$1000,MATCH($A161,'Product Master'!$A$7:$A$1000,0)))</f>
        <v/>
      </c>
      <c r="E161" t="str">
        <f>IF($A161="","",INDEX('Product Master'!$N$7:$N$1000,MATCH($A161,'Product Master'!$A$7:$A$1000,0)))</f>
        <v/>
      </c>
      <c r="F161" t="str">
        <f>IF($A161="","",INDEX('Product Master'!$P$7:$P$1000,MATCH($A161,'Product Master'!$A$7:$A$1000,0)))</f>
        <v/>
      </c>
      <c r="I161" t="str">
        <f>IFERROR(INDEX('Product Master'!$A$7:$A$1000,_xlfn.AGGREGATE(15,6,(ROW('Product Master'!$A$7:$A$1000)-ROW('Product Master'!$A$7)+1)/(('Product Master'!$A$7:$A$1000&lt;&gt;"")*('Product Master'!$P$7:$P$1000="Out of Stock")),ROWS($I$12:I161))),"")</f>
        <v/>
      </c>
      <c r="J161" t="str">
        <f>IF($I161="","",INDEX('Product Master'!$B$7:$B$1000,MATCH($I161,'Product Master'!$A$7:$A$1000,0)))</f>
        <v/>
      </c>
      <c r="K161" t="str">
        <f>IF($I161="","",INDEX('Product Master'!$C$7:$C$1000,MATCH($I161,'Product Master'!$A$7:$A$1000,0)))</f>
        <v/>
      </c>
      <c r="L161" t="str">
        <f>IF($I161="","",INDEX('Product Master'!$M$7:$M$1000,MATCH($I161,'Product Master'!$A$7:$A$1000,0)))</f>
        <v/>
      </c>
      <c r="M161" t="str">
        <f>IF($I161="","",INDEX('Product Master'!$N$7:$N$1000,MATCH($I161,'Product Master'!$A$7:$A$1000,0)))</f>
        <v/>
      </c>
    </row>
    <row r="162" spans="1:13" x14ac:dyDescent="0.3">
      <c r="A162" t="str">
        <f>IFERROR(INDEX('Product Master'!$A$7:$A$1000,_xlfn.AGGREGATE(15,6,(ROW('Product Master'!$A$7:$A$1000)-ROW('Product Master'!$A$7)+1)/(('Product Master'!$A$7:$A$1000&lt;&gt;"")*('Product Master'!$P$7:$P$1000="Low Stock")),ROWS($A$12:A162))),"")</f>
        <v/>
      </c>
      <c r="B162" t="str">
        <f>IF($A162="","",INDEX('Product Master'!$B$7:$B$1000,MATCH($A162,'Product Master'!$A$7:$A$1000,0)))</f>
        <v/>
      </c>
      <c r="C162" t="str">
        <f>IF($A162="","",INDEX('Product Master'!$C$7:$C$1000,MATCH($A162,'Product Master'!$A$7:$A$1000,0)))</f>
        <v/>
      </c>
      <c r="D162" t="str">
        <f>IF($A162="","",INDEX('Product Master'!$M$7:$M$1000,MATCH($A162,'Product Master'!$A$7:$A$1000,0)))</f>
        <v/>
      </c>
      <c r="E162" t="str">
        <f>IF($A162="","",INDEX('Product Master'!$N$7:$N$1000,MATCH($A162,'Product Master'!$A$7:$A$1000,0)))</f>
        <v/>
      </c>
      <c r="F162" t="str">
        <f>IF($A162="","",INDEX('Product Master'!$P$7:$P$1000,MATCH($A162,'Product Master'!$A$7:$A$1000,0)))</f>
        <v/>
      </c>
      <c r="I162" t="str">
        <f>IFERROR(INDEX('Product Master'!$A$7:$A$1000,_xlfn.AGGREGATE(15,6,(ROW('Product Master'!$A$7:$A$1000)-ROW('Product Master'!$A$7)+1)/(('Product Master'!$A$7:$A$1000&lt;&gt;"")*('Product Master'!$P$7:$P$1000="Out of Stock")),ROWS($I$12:I162))),"")</f>
        <v/>
      </c>
      <c r="J162" t="str">
        <f>IF($I162="","",INDEX('Product Master'!$B$7:$B$1000,MATCH($I162,'Product Master'!$A$7:$A$1000,0)))</f>
        <v/>
      </c>
      <c r="K162" t="str">
        <f>IF($I162="","",INDEX('Product Master'!$C$7:$C$1000,MATCH($I162,'Product Master'!$A$7:$A$1000,0)))</f>
        <v/>
      </c>
      <c r="L162" t="str">
        <f>IF($I162="","",INDEX('Product Master'!$M$7:$M$1000,MATCH($I162,'Product Master'!$A$7:$A$1000,0)))</f>
        <v/>
      </c>
      <c r="M162" t="str">
        <f>IF($I162="","",INDEX('Product Master'!$N$7:$N$1000,MATCH($I162,'Product Master'!$A$7:$A$1000,0)))</f>
        <v/>
      </c>
    </row>
    <row r="163" spans="1:13" x14ac:dyDescent="0.3">
      <c r="A163" t="str">
        <f>IFERROR(INDEX('Product Master'!$A$7:$A$1000,_xlfn.AGGREGATE(15,6,(ROW('Product Master'!$A$7:$A$1000)-ROW('Product Master'!$A$7)+1)/(('Product Master'!$A$7:$A$1000&lt;&gt;"")*('Product Master'!$P$7:$P$1000="Low Stock")),ROWS($A$12:A163))),"")</f>
        <v/>
      </c>
      <c r="B163" t="str">
        <f>IF($A163="","",INDEX('Product Master'!$B$7:$B$1000,MATCH($A163,'Product Master'!$A$7:$A$1000,0)))</f>
        <v/>
      </c>
      <c r="C163" t="str">
        <f>IF($A163="","",INDEX('Product Master'!$C$7:$C$1000,MATCH($A163,'Product Master'!$A$7:$A$1000,0)))</f>
        <v/>
      </c>
      <c r="D163" t="str">
        <f>IF($A163="","",INDEX('Product Master'!$M$7:$M$1000,MATCH($A163,'Product Master'!$A$7:$A$1000,0)))</f>
        <v/>
      </c>
      <c r="E163" t="str">
        <f>IF($A163="","",INDEX('Product Master'!$N$7:$N$1000,MATCH($A163,'Product Master'!$A$7:$A$1000,0)))</f>
        <v/>
      </c>
      <c r="F163" t="str">
        <f>IF($A163="","",INDEX('Product Master'!$P$7:$P$1000,MATCH($A163,'Product Master'!$A$7:$A$1000,0)))</f>
        <v/>
      </c>
      <c r="I163" t="str">
        <f>IFERROR(INDEX('Product Master'!$A$7:$A$1000,_xlfn.AGGREGATE(15,6,(ROW('Product Master'!$A$7:$A$1000)-ROW('Product Master'!$A$7)+1)/(('Product Master'!$A$7:$A$1000&lt;&gt;"")*('Product Master'!$P$7:$P$1000="Out of Stock")),ROWS($I$12:I163))),"")</f>
        <v/>
      </c>
      <c r="J163" t="str">
        <f>IF($I163="","",INDEX('Product Master'!$B$7:$B$1000,MATCH($I163,'Product Master'!$A$7:$A$1000,0)))</f>
        <v/>
      </c>
      <c r="K163" t="str">
        <f>IF($I163="","",INDEX('Product Master'!$C$7:$C$1000,MATCH($I163,'Product Master'!$A$7:$A$1000,0)))</f>
        <v/>
      </c>
      <c r="L163" t="str">
        <f>IF($I163="","",INDEX('Product Master'!$M$7:$M$1000,MATCH($I163,'Product Master'!$A$7:$A$1000,0)))</f>
        <v/>
      </c>
      <c r="M163" t="str">
        <f>IF($I163="","",INDEX('Product Master'!$N$7:$N$1000,MATCH($I163,'Product Master'!$A$7:$A$1000,0)))</f>
        <v/>
      </c>
    </row>
    <row r="164" spans="1:13" x14ac:dyDescent="0.3">
      <c r="A164" t="str">
        <f>IFERROR(INDEX('Product Master'!$A$7:$A$1000,_xlfn.AGGREGATE(15,6,(ROW('Product Master'!$A$7:$A$1000)-ROW('Product Master'!$A$7)+1)/(('Product Master'!$A$7:$A$1000&lt;&gt;"")*('Product Master'!$P$7:$P$1000="Low Stock")),ROWS($A$12:A164))),"")</f>
        <v/>
      </c>
      <c r="B164" t="str">
        <f>IF($A164="","",INDEX('Product Master'!$B$7:$B$1000,MATCH($A164,'Product Master'!$A$7:$A$1000,0)))</f>
        <v/>
      </c>
      <c r="C164" t="str">
        <f>IF($A164="","",INDEX('Product Master'!$C$7:$C$1000,MATCH($A164,'Product Master'!$A$7:$A$1000,0)))</f>
        <v/>
      </c>
      <c r="D164" t="str">
        <f>IF($A164="","",INDEX('Product Master'!$M$7:$M$1000,MATCH($A164,'Product Master'!$A$7:$A$1000,0)))</f>
        <v/>
      </c>
      <c r="E164" t="str">
        <f>IF($A164="","",INDEX('Product Master'!$N$7:$N$1000,MATCH($A164,'Product Master'!$A$7:$A$1000,0)))</f>
        <v/>
      </c>
      <c r="F164" t="str">
        <f>IF($A164="","",INDEX('Product Master'!$P$7:$P$1000,MATCH($A164,'Product Master'!$A$7:$A$1000,0)))</f>
        <v/>
      </c>
      <c r="I164" t="str">
        <f>IFERROR(INDEX('Product Master'!$A$7:$A$1000,_xlfn.AGGREGATE(15,6,(ROW('Product Master'!$A$7:$A$1000)-ROW('Product Master'!$A$7)+1)/(('Product Master'!$A$7:$A$1000&lt;&gt;"")*('Product Master'!$P$7:$P$1000="Out of Stock")),ROWS($I$12:I164))),"")</f>
        <v/>
      </c>
      <c r="J164" t="str">
        <f>IF($I164="","",INDEX('Product Master'!$B$7:$B$1000,MATCH($I164,'Product Master'!$A$7:$A$1000,0)))</f>
        <v/>
      </c>
      <c r="K164" t="str">
        <f>IF($I164="","",INDEX('Product Master'!$C$7:$C$1000,MATCH($I164,'Product Master'!$A$7:$A$1000,0)))</f>
        <v/>
      </c>
      <c r="L164" t="str">
        <f>IF($I164="","",INDEX('Product Master'!$M$7:$M$1000,MATCH($I164,'Product Master'!$A$7:$A$1000,0)))</f>
        <v/>
      </c>
      <c r="M164" t="str">
        <f>IF($I164="","",INDEX('Product Master'!$N$7:$N$1000,MATCH($I164,'Product Master'!$A$7:$A$1000,0)))</f>
        <v/>
      </c>
    </row>
    <row r="165" spans="1:13" x14ac:dyDescent="0.3">
      <c r="A165" t="str">
        <f>IFERROR(INDEX('Product Master'!$A$7:$A$1000,_xlfn.AGGREGATE(15,6,(ROW('Product Master'!$A$7:$A$1000)-ROW('Product Master'!$A$7)+1)/(('Product Master'!$A$7:$A$1000&lt;&gt;"")*('Product Master'!$P$7:$P$1000="Low Stock")),ROWS($A$12:A165))),"")</f>
        <v/>
      </c>
      <c r="B165" t="str">
        <f>IF($A165="","",INDEX('Product Master'!$B$7:$B$1000,MATCH($A165,'Product Master'!$A$7:$A$1000,0)))</f>
        <v/>
      </c>
      <c r="C165" t="str">
        <f>IF($A165="","",INDEX('Product Master'!$C$7:$C$1000,MATCH($A165,'Product Master'!$A$7:$A$1000,0)))</f>
        <v/>
      </c>
      <c r="D165" t="str">
        <f>IF($A165="","",INDEX('Product Master'!$M$7:$M$1000,MATCH($A165,'Product Master'!$A$7:$A$1000,0)))</f>
        <v/>
      </c>
      <c r="E165" t="str">
        <f>IF($A165="","",INDEX('Product Master'!$N$7:$N$1000,MATCH($A165,'Product Master'!$A$7:$A$1000,0)))</f>
        <v/>
      </c>
      <c r="F165" t="str">
        <f>IF($A165="","",INDEX('Product Master'!$P$7:$P$1000,MATCH($A165,'Product Master'!$A$7:$A$1000,0)))</f>
        <v/>
      </c>
      <c r="I165" t="str">
        <f>IFERROR(INDEX('Product Master'!$A$7:$A$1000,_xlfn.AGGREGATE(15,6,(ROW('Product Master'!$A$7:$A$1000)-ROW('Product Master'!$A$7)+1)/(('Product Master'!$A$7:$A$1000&lt;&gt;"")*('Product Master'!$P$7:$P$1000="Out of Stock")),ROWS($I$12:I165))),"")</f>
        <v/>
      </c>
      <c r="J165" t="str">
        <f>IF($I165="","",INDEX('Product Master'!$B$7:$B$1000,MATCH($I165,'Product Master'!$A$7:$A$1000,0)))</f>
        <v/>
      </c>
      <c r="K165" t="str">
        <f>IF($I165="","",INDEX('Product Master'!$C$7:$C$1000,MATCH($I165,'Product Master'!$A$7:$A$1000,0)))</f>
        <v/>
      </c>
      <c r="L165" t="str">
        <f>IF($I165="","",INDEX('Product Master'!$M$7:$M$1000,MATCH($I165,'Product Master'!$A$7:$A$1000,0)))</f>
        <v/>
      </c>
      <c r="M165" t="str">
        <f>IF($I165="","",INDEX('Product Master'!$N$7:$N$1000,MATCH($I165,'Product Master'!$A$7:$A$1000,0)))</f>
        <v/>
      </c>
    </row>
    <row r="166" spans="1:13" x14ac:dyDescent="0.3">
      <c r="A166" t="str">
        <f>IFERROR(INDEX('Product Master'!$A$7:$A$1000,_xlfn.AGGREGATE(15,6,(ROW('Product Master'!$A$7:$A$1000)-ROW('Product Master'!$A$7)+1)/(('Product Master'!$A$7:$A$1000&lt;&gt;"")*('Product Master'!$P$7:$P$1000="Low Stock")),ROWS($A$12:A166))),"")</f>
        <v/>
      </c>
      <c r="B166" t="str">
        <f>IF($A166="","",INDEX('Product Master'!$B$7:$B$1000,MATCH($A166,'Product Master'!$A$7:$A$1000,0)))</f>
        <v/>
      </c>
      <c r="C166" t="str">
        <f>IF($A166="","",INDEX('Product Master'!$C$7:$C$1000,MATCH($A166,'Product Master'!$A$7:$A$1000,0)))</f>
        <v/>
      </c>
      <c r="D166" t="str">
        <f>IF($A166="","",INDEX('Product Master'!$M$7:$M$1000,MATCH($A166,'Product Master'!$A$7:$A$1000,0)))</f>
        <v/>
      </c>
      <c r="E166" t="str">
        <f>IF($A166="","",INDEX('Product Master'!$N$7:$N$1000,MATCH($A166,'Product Master'!$A$7:$A$1000,0)))</f>
        <v/>
      </c>
      <c r="F166" t="str">
        <f>IF($A166="","",INDEX('Product Master'!$P$7:$P$1000,MATCH($A166,'Product Master'!$A$7:$A$1000,0)))</f>
        <v/>
      </c>
      <c r="I166" t="str">
        <f>IFERROR(INDEX('Product Master'!$A$7:$A$1000,_xlfn.AGGREGATE(15,6,(ROW('Product Master'!$A$7:$A$1000)-ROW('Product Master'!$A$7)+1)/(('Product Master'!$A$7:$A$1000&lt;&gt;"")*('Product Master'!$P$7:$P$1000="Out of Stock")),ROWS($I$12:I166))),"")</f>
        <v/>
      </c>
      <c r="J166" t="str">
        <f>IF($I166="","",INDEX('Product Master'!$B$7:$B$1000,MATCH($I166,'Product Master'!$A$7:$A$1000,0)))</f>
        <v/>
      </c>
      <c r="K166" t="str">
        <f>IF($I166="","",INDEX('Product Master'!$C$7:$C$1000,MATCH($I166,'Product Master'!$A$7:$A$1000,0)))</f>
        <v/>
      </c>
      <c r="L166" t="str">
        <f>IF($I166="","",INDEX('Product Master'!$M$7:$M$1000,MATCH($I166,'Product Master'!$A$7:$A$1000,0)))</f>
        <v/>
      </c>
      <c r="M166" t="str">
        <f>IF($I166="","",INDEX('Product Master'!$N$7:$N$1000,MATCH($I166,'Product Master'!$A$7:$A$1000,0)))</f>
        <v/>
      </c>
    </row>
    <row r="167" spans="1:13" x14ac:dyDescent="0.3">
      <c r="A167" t="str">
        <f>IFERROR(INDEX('Product Master'!$A$7:$A$1000,_xlfn.AGGREGATE(15,6,(ROW('Product Master'!$A$7:$A$1000)-ROW('Product Master'!$A$7)+1)/(('Product Master'!$A$7:$A$1000&lt;&gt;"")*('Product Master'!$P$7:$P$1000="Low Stock")),ROWS($A$12:A167))),"")</f>
        <v/>
      </c>
      <c r="B167" t="str">
        <f>IF($A167="","",INDEX('Product Master'!$B$7:$B$1000,MATCH($A167,'Product Master'!$A$7:$A$1000,0)))</f>
        <v/>
      </c>
      <c r="C167" t="str">
        <f>IF($A167="","",INDEX('Product Master'!$C$7:$C$1000,MATCH($A167,'Product Master'!$A$7:$A$1000,0)))</f>
        <v/>
      </c>
      <c r="D167" t="str">
        <f>IF($A167="","",INDEX('Product Master'!$M$7:$M$1000,MATCH($A167,'Product Master'!$A$7:$A$1000,0)))</f>
        <v/>
      </c>
      <c r="E167" t="str">
        <f>IF($A167="","",INDEX('Product Master'!$N$7:$N$1000,MATCH($A167,'Product Master'!$A$7:$A$1000,0)))</f>
        <v/>
      </c>
      <c r="F167" t="str">
        <f>IF($A167="","",INDEX('Product Master'!$P$7:$P$1000,MATCH($A167,'Product Master'!$A$7:$A$1000,0)))</f>
        <v/>
      </c>
      <c r="I167" t="str">
        <f>IFERROR(INDEX('Product Master'!$A$7:$A$1000,_xlfn.AGGREGATE(15,6,(ROW('Product Master'!$A$7:$A$1000)-ROW('Product Master'!$A$7)+1)/(('Product Master'!$A$7:$A$1000&lt;&gt;"")*('Product Master'!$P$7:$P$1000="Out of Stock")),ROWS($I$12:I167))),"")</f>
        <v/>
      </c>
      <c r="J167" t="str">
        <f>IF($I167="","",INDEX('Product Master'!$B$7:$B$1000,MATCH($I167,'Product Master'!$A$7:$A$1000,0)))</f>
        <v/>
      </c>
      <c r="K167" t="str">
        <f>IF($I167="","",INDEX('Product Master'!$C$7:$C$1000,MATCH($I167,'Product Master'!$A$7:$A$1000,0)))</f>
        <v/>
      </c>
      <c r="L167" t="str">
        <f>IF($I167="","",INDEX('Product Master'!$M$7:$M$1000,MATCH($I167,'Product Master'!$A$7:$A$1000,0)))</f>
        <v/>
      </c>
      <c r="M167" t="str">
        <f>IF($I167="","",INDEX('Product Master'!$N$7:$N$1000,MATCH($I167,'Product Master'!$A$7:$A$1000,0)))</f>
        <v/>
      </c>
    </row>
    <row r="168" spans="1:13" x14ac:dyDescent="0.3">
      <c r="A168" t="str">
        <f>IFERROR(INDEX('Product Master'!$A$7:$A$1000,_xlfn.AGGREGATE(15,6,(ROW('Product Master'!$A$7:$A$1000)-ROW('Product Master'!$A$7)+1)/(('Product Master'!$A$7:$A$1000&lt;&gt;"")*('Product Master'!$P$7:$P$1000="Low Stock")),ROWS($A$12:A168))),"")</f>
        <v/>
      </c>
      <c r="B168" t="str">
        <f>IF($A168="","",INDEX('Product Master'!$B$7:$B$1000,MATCH($A168,'Product Master'!$A$7:$A$1000,0)))</f>
        <v/>
      </c>
      <c r="C168" t="str">
        <f>IF($A168="","",INDEX('Product Master'!$C$7:$C$1000,MATCH($A168,'Product Master'!$A$7:$A$1000,0)))</f>
        <v/>
      </c>
      <c r="D168" t="str">
        <f>IF($A168="","",INDEX('Product Master'!$M$7:$M$1000,MATCH($A168,'Product Master'!$A$7:$A$1000,0)))</f>
        <v/>
      </c>
      <c r="E168" t="str">
        <f>IF($A168="","",INDEX('Product Master'!$N$7:$N$1000,MATCH($A168,'Product Master'!$A$7:$A$1000,0)))</f>
        <v/>
      </c>
      <c r="F168" t="str">
        <f>IF($A168="","",INDEX('Product Master'!$P$7:$P$1000,MATCH($A168,'Product Master'!$A$7:$A$1000,0)))</f>
        <v/>
      </c>
      <c r="I168" t="str">
        <f>IFERROR(INDEX('Product Master'!$A$7:$A$1000,_xlfn.AGGREGATE(15,6,(ROW('Product Master'!$A$7:$A$1000)-ROW('Product Master'!$A$7)+1)/(('Product Master'!$A$7:$A$1000&lt;&gt;"")*('Product Master'!$P$7:$P$1000="Out of Stock")),ROWS($I$12:I168))),"")</f>
        <v/>
      </c>
      <c r="J168" t="str">
        <f>IF($I168="","",INDEX('Product Master'!$B$7:$B$1000,MATCH($I168,'Product Master'!$A$7:$A$1000,0)))</f>
        <v/>
      </c>
      <c r="K168" t="str">
        <f>IF($I168="","",INDEX('Product Master'!$C$7:$C$1000,MATCH($I168,'Product Master'!$A$7:$A$1000,0)))</f>
        <v/>
      </c>
      <c r="L168" t="str">
        <f>IF($I168="","",INDEX('Product Master'!$M$7:$M$1000,MATCH($I168,'Product Master'!$A$7:$A$1000,0)))</f>
        <v/>
      </c>
      <c r="M168" t="str">
        <f>IF($I168="","",INDEX('Product Master'!$N$7:$N$1000,MATCH($I168,'Product Master'!$A$7:$A$1000,0)))</f>
        <v/>
      </c>
    </row>
    <row r="169" spans="1:13" x14ac:dyDescent="0.3">
      <c r="A169" t="str">
        <f>IFERROR(INDEX('Product Master'!$A$7:$A$1000,_xlfn.AGGREGATE(15,6,(ROW('Product Master'!$A$7:$A$1000)-ROW('Product Master'!$A$7)+1)/(('Product Master'!$A$7:$A$1000&lt;&gt;"")*('Product Master'!$P$7:$P$1000="Low Stock")),ROWS($A$12:A169))),"")</f>
        <v/>
      </c>
      <c r="B169" t="str">
        <f>IF($A169="","",INDEX('Product Master'!$B$7:$B$1000,MATCH($A169,'Product Master'!$A$7:$A$1000,0)))</f>
        <v/>
      </c>
      <c r="C169" t="str">
        <f>IF($A169="","",INDEX('Product Master'!$C$7:$C$1000,MATCH($A169,'Product Master'!$A$7:$A$1000,0)))</f>
        <v/>
      </c>
      <c r="D169" t="str">
        <f>IF($A169="","",INDEX('Product Master'!$M$7:$M$1000,MATCH($A169,'Product Master'!$A$7:$A$1000,0)))</f>
        <v/>
      </c>
      <c r="E169" t="str">
        <f>IF($A169="","",INDEX('Product Master'!$N$7:$N$1000,MATCH($A169,'Product Master'!$A$7:$A$1000,0)))</f>
        <v/>
      </c>
      <c r="F169" t="str">
        <f>IF($A169="","",INDEX('Product Master'!$P$7:$P$1000,MATCH($A169,'Product Master'!$A$7:$A$1000,0)))</f>
        <v/>
      </c>
      <c r="I169" t="str">
        <f>IFERROR(INDEX('Product Master'!$A$7:$A$1000,_xlfn.AGGREGATE(15,6,(ROW('Product Master'!$A$7:$A$1000)-ROW('Product Master'!$A$7)+1)/(('Product Master'!$A$7:$A$1000&lt;&gt;"")*('Product Master'!$P$7:$P$1000="Out of Stock")),ROWS($I$12:I169))),"")</f>
        <v/>
      </c>
      <c r="J169" t="str">
        <f>IF($I169="","",INDEX('Product Master'!$B$7:$B$1000,MATCH($I169,'Product Master'!$A$7:$A$1000,0)))</f>
        <v/>
      </c>
      <c r="K169" t="str">
        <f>IF($I169="","",INDEX('Product Master'!$C$7:$C$1000,MATCH($I169,'Product Master'!$A$7:$A$1000,0)))</f>
        <v/>
      </c>
      <c r="L169" t="str">
        <f>IF($I169="","",INDEX('Product Master'!$M$7:$M$1000,MATCH($I169,'Product Master'!$A$7:$A$1000,0)))</f>
        <v/>
      </c>
      <c r="M169" t="str">
        <f>IF($I169="","",INDEX('Product Master'!$N$7:$N$1000,MATCH($I169,'Product Master'!$A$7:$A$1000,0)))</f>
        <v/>
      </c>
    </row>
    <row r="170" spans="1:13" x14ac:dyDescent="0.3">
      <c r="A170" t="str">
        <f>IFERROR(INDEX('Product Master'!$A$7:$A$1000,_xlfn.AGGREGATE(15,6,(ROW('Product Master'!$A$7:$A$1000)-ROW('Product Master'!$A$7)+1)/(('Product Master'!$A$7:$A$1000&lt;&gt;"")*('Product Master'!$P$7:$P$1000="Low Stock")),ROWS($A$12:A170))),"")</f>
        <v/>
      </c>
      <c r="B170" t="str">
        <f>IF($A170="","",INDEX('Product Master'!$B$7:$B$1000,MATCH($A170,'Product Master'!$A$7:$A$1000,0)))</f>
        <v/>
      </c>
      <c r="C170" t="str">
        <f>IF($A170="","",INDEX('Product Master'!$C$7:$C$1000,MATCH($A170,'Product Master'!$A$7:$A$1000,0)))</f>
        <v/>
      </c>
      <c r="D170" t="str">
        <f>IF($A170="","",INDEX('Product Master'!$M$7:$M$1000,MATCH($A170,'Product Master'!$A$7:$A$1000,0)))</f>
        <v/>
      </c>
      <c r="E170" t="str">
        <f>IF($A170="","",INDEX('Product Master'!$N$7:$N$1000,MATCH($A170,'Product Master'!$A$7:$A$1000,0)))</f>
        <v/>
      </c>
      <c r="F170" t="str">
        <f>IF($A170="","",INDEX('Product Master'!$P$7:$P$1000,MATCH($A170,'Product Master'!$A$7:$A$1000,0)))</f>
        <v/>
      </c>
      <c r="I170" t="str">
        <f>IFERROR(INDEX('Product Master'!$A$7:$A$1000,_xlfn.AGGREGATE(15,6,(ROW('Product Master'!$A$7:$A$1000)-ROW('Product Master'!$A$7)+1)/(('Product Master'!$A$7:$A$1000&lt;&gt;"")*('Product Master'!$P$7:$P$1000="Out of Stock")),ROWS($I$12:I170))),"")</f>
        <v/>
      </c>
      <c r="J170" t="str">
        <f>IF($I170="","",INDEX('Product Master'!$B$7:$B$1000,MATCH($I170,'Product Master'!$A$7:$A$1000,0)))</f>
        <v/>
      </c>
      <c r="K170" t="str">
        <f>IF($I170="","",INDEX('Product Master'!$C$7:$C$1000,MATCH($I170,'Product Master'!$A$7:$A$1000,0)))</f>
        <v/>
      </c>
      <c r="L170" t="str">
        <f>IF($I170="","",INDEX('Product Master'!$M$7:$M$1000,MATCH($I170,'Product Master'!$A$7:$A$1000,0)))</f>
        <v/>
      </c>
      <c r="M170" t="str">
        <f>IF($I170="","",INDEX('Product Master'!$N$7:$N$1000,MATCH($I170,'Product Master'!$A$7:$A$1000,0)))</f>
        <v/>
      </c>
    </row>
    <row r="171" spans="1:13" x14ac:dyDescent="0.3">
      <c r="A171" t="str">
        <f>IFERROR(INDEX('Product Master'!$A$7:$A$1000,_xlfn.AGGREGATE(15,6,(ROW('Product Master'!$A$7:$A$1000)-ROW('Product Master'!$A$7)+1)/(('Product Master'!$A$7:$A$1000&lt;&gt;"")*('Product Master'!$P$7:$P$1000="Low Stock")),ROWS($A$12:A171))),"")</f>
        <v/>
      </c>
      <c r="B171" t="str">
        <f>IF($A171="","",INDEX('Product Master'!$B$7:$B$1000,MATCH($A171,'Product Master'!$A$7:$A$1000,0)))</f>
        <v/>
      </c>
      <c r="C171" t="str">
        <f>IF($A171="","",INDEX('Product Master'!$C$7:$C$1000,MATCH($A171,'Product Master'!$A$7:$A$1000,0)))</f>
        <v/>
      </c>
      <c r="D171" t="str">
        <f>IF($A171="","",INDEX('Product Master'!$M$7:$M$1000,MATCH($A171,'Product Master'!$A$7:$A$1000,0)))</f>
        <v/>
      </c>
      <c r="E171" t="str">
        <f>IF($A171="","",INDEX('Product Master'!$N$7:$N$1000,MATCH($A171,'Product Master'!$A$7:$A$1000,0)))</f>
        <v/>
      </c>
      <c r="F171" t="str">
        <f>IF($A171="","",INDEX('Product Master'!$P$7:$P$1000,MATCH($A171,'Product Master'!$A$7:$A$1000,0)))</f>
        <v/>
      </c>
      <c r="I171" t="str">
        <f>IFERROR(INDEX('Product Master'!$A$7:$A$1000,_xlfn.AGGREGATE(15,6,(ROW('Product Master'!$A$7:$A$1000)-ROW('Product Master'!$A$7)+1)/(('Product Master'!$A$7:$A$1000&lt;&gt;"")*('Product Master'!$P$7:$P$1000="Out of Stock")),ROWS($I$12:I171))),"")</f>
        <v/>
      </c>
      <c r="J171" t="str">
        <f>IF($I171="","",INDEX('Product Master'!$B$7:$B$1000,MATCH($I171,'Product Master'!$A$7:$A$1000,0)))</f>
        <v/>
      </c>
      <c r="K171" t="str">
        <f>IF($I171="","",INDEX('Product Master'!$C$7:$C$1000,MATCH($I171,'Product Master'!$A$7:$A$1000,0)))</f>
        <v/>
      </c>
      <c r="L171" t="str">
        <f>IF($I171="","",INDEX('Product Master'!$M$7:$M$1000,MATCH($I171,'Product Master'!$A$7:$A$1000,0)))</f>
        <v/>
      </c>
      <c r="M171" t="str">
        <f>IF($I171="","",INDEX('Product Master'!$N$7:$N$1000,MATCH($I171,'Product Master'!$A$7:$A$1000,0)))</f>
        <v/>
      </c>
    </row>
    <row r="172" spans="1:13" x14ac:dyDescent="0.3">
      <c r="A172" t="str">
        <f>IFERROR(INDEX('Product Master'!$A$7:$A$1000,_xlfn.AGGREGATE(15,6,(ROW('Product Master'!$A$7:$A$1000)-ROW('Product Master'!$A$7)+1)/(('Product Master'!$A$7:$A$1000&lt;&gt;"")*('Product Master'!$P$7:$P$1000="Low Stock")),ROWS($A$12:A172))),"")</f>
        <v/>
      </c>
      <c r="B172" t="str">
        <f>IF($A172="","",INDEX('Product Master'!$B$7:$B$1000,MATCH($A172,'Product Master'!$A$7:$A$1000,0)))</f>
        <v/>
      </c>
      <c r="C172" t="str">
        <f>IF($A172="","",INDEX('Product Master'!$C$7:$C$1000,MATCH($A172,'Product Master'!$A$7:$A$1000,0)))</f>
        <v/>
      </c>
      <c r="D172" t="str">
        <f>IF($A172="","",INDEX('Product Master'!$M$7:$M$1000,MATCH($A172,'Product Master'!$A$7:$A$1000,0)))</f>
        <v/>
      </c>
      <c r="E172" t="str">
        <f>IF($A172="","",INDEX('Product Master'!$N$7:$N$1000,MATCH($A172,'Product Master'!$A$7:$A$1000,0)))</f>
        <v/>
      </c>
      <c r="F172" t="str">
        <f>IF($A172="","",INDEX('Product Master'!$P$7:$P$1000,MATCH($A172,'Product Master'!$A$7:$A$1000,0)))</f>
        <v/>
      </c>
      <c r="I172" t="str">
        <f>IFERROR(INDEX('Product Master'!$A$7:$A$1000,_xlfn.AGGREGATE(15,6,(ROW('Product Master'!$A$7:$A$1000)-ROW('Product Master'!$A$7)+1)/(('Product Master'!$A$7:$A$1000&lt;&gt;"")*('Product Master'!$P$7:$P$1000="Out of Stock")),ROWS($I$12:I172))),"")</f>
        <v/>
      </c>
      <c r="J172" t="str">
        <f>IF($I172="","",INDEX('Product Master'!$B$7:$B$1000,MATCH($I172,'Product Master'!$A$7:$A$1000,0)))</f>
        <v/>
      </c>
      <c r="K172" t="str">
        <f>IF($I172="","",INDEX('Product Master'!$C$7:$C$1000,MATCH($I172,'Product Master'!$A$7:$A$1000,0)))</f>
        <v/>
      </c>
      <c r="L172" t="str">
        <f>IF($I172="","",INDEX('Product Master'!$M$7:$M$1000,MATCH($I172,'Product Master'!$A$7:$A$1000,0)))</f>
        <v/>
      </c>
      <c r="M172" t="str">
        <f>IF($I172="","",INDEX('Product Master'!$N$7:$N$1000,MATCH($I172,'Product Master'!$A$7:$A$1000,0)))</f>
        <v/>
      </c>
    </row>
    <row r="173" spans="1:13" x14ac:dyDescent="0.3">
      <c r="A173" t="str">
        <f>IFERROR(INDEX('Product Master'!$A$7:$A$1000,_xlfn.AGGREGATE(15,6,(ROW('Product Master'!$A$7:$A$1000)-ROW('Product Master'!$A$7)+1)/(('Product Master'!$A$7:$A$1000&lt;&gt;"")*('Product Master'!$P$7:$P$1000="Low Stock")),ROWS($A$12:A173))),"")</f>
        <v/>
      </c>
      <c r="B173" t="str">
        <f>IF($A173="","",INDEX('Product Master'!$B$7:$B$1000,MATCH($A173,'Product Master'!$A$7:$A$1000,0)))</f>
        <v/>
      </c>
      <c r="C173" t="str">
        <f>IF($A173="","",INDEX('Product Master'!$C$7:$C$1000,MATCH($A173,'Product Master'!$A$7:$A$1000,0)))</f>
        <v/>
      </c>
      <c r="D173" t="str">
        <f>IF($A173="","",INDEX('Product Master'!$M$7:$M$1000,MATCH($A173,'Product Master'!$A$7:$A$1000,0)))</f>
        <v/>
      </c>
      <c r="E173" t="str">
        <f>IF($A173="","",INDEX('Product Master'!$N$7:$N$1000,MATCH($A173,'Product Master'!$A$7:$A$1000,0)))</f>
        <v/>
      </c>
      <c r="F173" t="str">
        <f>IF($A173="","",INDEX('Product Master'!$P$7:$P$1000,MATCH($A173,'Product Master'!$A$7:$A$1000,0)))</f>
        <v/>
      </c>
      <c r="I173" t="str">
        <f>IFERROR(INDEX('Product Master'!$A$7:$A$1000,_xlfn.AGGREGATE(15,6,(ROW('Product Master'!$A$7:$A$1000)-ROW('Product Master'!$A$7)+1)/(('Product Master'!$A$7:$A$1000&lt;&gt;"")*('Product Master'!$P$7:$P$1000="Out of Stock")),ROWS($I$12:I173))),"")</f>
        <v/>
      </c>
      <c r="J173" t="str">
        <f>IF($I173="","",INDEX('Product Master'!$B$7:$B$1000,MATCH($I173,'Product Master'!$A$7:$A$1000,0)))</f>
        <v/>
      </c>
      <c r="K173" t="str">
        <f>IF($I173="","",INDEX('Product Master'!$C$7:$C$1000,MATCH($I173,'Product Master'!$A$7:$A$1000,0)))</f>
        <v/>
      </c>
      <c r="L173" t="str">
        <f>IF($I173="","",INDEX('Product Master'!$M$7:$M$1000,MATCH($I173,'Product Master'!$A$7:$A$1000,0)))</f>
        <v/>
      </c>
      <c r="M173" t="str">
        <f>IF($I173="","",INDEX('Product Master'!$N$7:$N$1000,MATCH($I173,'Product Master'!$A$7:$A$1000,0)))</f>
        <v/>
      </c>
    </row>
    <row r="174" spans="1:13" x14ac:dyDescent="0.3">
      <c r="A174" t="str">
        <f>IFERROR(INDEX('Product Master'!$A$7:$A$1000,_xlfn.AGGREGATE(15,6,(ROW('Product Master'!$A$7:$A$1000)-ROW('Product Master'!$A$7)+1)/(('Product Master'!$A$7:$A$1000&lt;&gt;"")*('Product Master'!$P$7:$P$1000="Low Stock")),ROWS($A$12:A174))),"")</f>
        <v/>
      </c>
      <c r="B174" t="str">
        <f>IF($A174="","",INDEX('Product Master'!$B$7:$B$1000,MATCH($A174,'Product Master'!$A$7:$A$1000,0)))</f>
        <v/>
      </c>
      <c r="C174" t="str">
        <f>IF($A174="","",INDEX('Product Master'!$C$7:$C$1000,MATCH($A174,'Product Master'!$A$7:$A$1000,0)))</f>
        <v/>
      </c>
      <c r="D174" t="str">
        <f>IF($A174="","",INDEX('Product Master'!$M$7:$M$1000,MATCH($A174,'Product Master'!$A$7:$A$1000,0)))</f>
        <v/>
      </c>
      <c r="E174" t="str">
        <f>IF($A174="","",INDEX('Product Master'!$N$7:$N$1000,MATCH($A174,'Product Master'!$A$7:$A$1000,0)))</f>
        <v/>
      </c>
      <c r="F174" t="str">
        <f>IF($A174="","",INDEX('Product Master'!$P$7:$P$1000,MATCH($A174,'Product Master'!$A$7:$A$1000,0)))</f>
        <v/>
      </c>
      <c r="I174" t="str">
        <f>IFERROR(INDEX('Product Master'!$A$7:$A$1000,_xlfn.AGGREGATE(15,6,(ROW('Product Master'!$A$7:$A$1000)-ROW('Product Master'!$A$7)+1)/(('Product Master'!$A$7:$A$1000&lt;&gt;"")*('Product Master'!$P$7:$P$1000="Out of Stock")),ROWS($I$12:I174))),"")</f>
        <v/>
      </c>
      <c r="J174" t="str">
        <f>IF($I174="","",INDEX('Product Master'!$B$7:$B$1000,MATCH($I174,'Product Master'!$A$7:$A$1000,0)))</f>
        <v/>
      </c>
      <c r="K174" t="str">
        <f>IF($I174="","",INDEX('Product Master'!$C$7:$C$1000,MATCH($I174,'Product Master'!$A$7:$A$1000,0)))</f>
        <v/>
      </c>
      <c r="L174" t="str">
        <f>IF($I174="","",INDEX('Product Master'!$M$7:$M$1000,MATCH($I174,'Product Master'!$A$7:$A$1000,0)))</f>
        <v/>
      </c>
      <c r="M174" t="str">
        <f>IF($I174="","",INDEX('Product Master'!$N$7:$N$1000,MATCH($I174,'Product Master'!$A$7:$A$1000,0)))</f>
        <v/>
      </c>
    </row>
    <row r="175" spans="1:13" x14ac:dyDescent="0.3">
      <c r="A175" t="str">
        <f>IFERROR(INDEX('Product Master'!$A$7:$A$1000,_xlfn.AGGREGATE(15,6,(ROW('Product Master'!$A$7:$A$1000)-ROW('Product Master'!$A$7)+1)/(('Product Master'!$A$7:$A$1000&lt;&gt;"")*('Product Master'!$P$7:$P$1000="Low Stock")),ROWS($A$12:A175))),"")</f>
        <v/>
      </c>
      <c r="B175" t="str">
        <f>IF($A175="","",INDEX('Product Master'!$B$7:$B$1000,MATCH($A175,'Product Master'!$A$7:$A$1000,0)))</f>
        <v/>
      </c>
      <c r="C175" t="str">
        <f>IF($A175="","",INDEX('Product Master'!$C$7:$C$1000,MATCH($A175,'Product Master'!$A$7:$A$1000,0)))</f>
        <v/>
      </c>
      <c r="D175" t="str">
        <f>IF($A175="","",INDEX('Product Master'!$M$7:$M$1000,MATCH($A175,'Product Master'!$A$7:$A$1000,0)))</f>
        <v/>
      </c>
      <c r="E175" t="str">
        <f>IF($A175="","",INDEX('Product Master'!$N$7:$N$1000,MATCH($A175,'Product Master'!$A$7:$A$1000,0)))</f>
        <v/>
      </c>
      <c r="F175" t="str">
        <f>IF($A175="","",INDEX('Product Master'!$P$7:$P$1000,MATCH($A175,'Product Master'!$A$7:$A$1000,0)))</f>
        <v/>
      </c>
      <c r="I175" t="str">
        <f>IFERROR(INDEX('Product Master'!$A$7:$A$1000,_xlfn.AGGREGATE(15,6,(ROW('Product Master'!$A$7:$A$1000)-ROW('Product Master'!$A$7)+1)/(('Product Master'!$A$7:$A$1000&lt;&gt;"")*('Product Master'!$P$7:$P$1000="Out of Stock")),ROWS($I$12:I175))),"")</f>
        <v/>
      </c>
      <c r="J175" t="str">
        <f>IF($I175="","",INDEX('Product Master'!$B$7:$B$1000,MATCH($I175,'Product Master'!$A$7:$A$1000,0)))</f>
        <v/>
      </c>
      <c r="K175" t="str">
        <f>IF($I175="","",INDEX('Product Master'!$C$7:$C$1000,MATCH($I175,'Product Master'!$A$7:$A$1000,0)))</f>
        <v/>
      </c>
      <c r="L175" t="str">
        <f>IF($I175="","",INDEX('Product Master'!$M$7:$M$1000,MATCH($I175,'Product Master'!$A$7:$A$1000,0)))</f>
        <v/>
      </c>
      <c r="M175" t="str">
        <f>IF($I175="","",INDEX('Product Master'!$N$7:$N$1000,MATCH($I175,'Product Master'!$A$7:$A$1000,0)))</f>
        <v/>
      </c>
    </row>
    <row r="176" spans="1:13" x14ac:dyDescent="0.3">
      <c r="A176" t="str">
        <f>IFERROR(INDEX('Product Master'!$A$7:$A$1000,_xlfn.AGGREGATE(15,6,(ROW('Product Master'!$A$7:$A$1000)-ROW('Product Master'!$A$7)+1)/(('Product Master'!$A$7:$A$1000&lt;&gt;"")*('Product Master'!$P$7:$P$1000="Low Stock")),ROWS($A$12:A176))),"")</f>
        <v/>
      </c>
      <c r="B176" t="str">
        <f>IF($A176="","",INDEX('Product Master'!$B$7:$B$1000,MATCH($A176,'Product Master'!$A$7:$A$1000,0)))</f>
        <v/>
      </c>
      <c r="C176" t="str">
        <f>IF($A176="","",INDEX('Product Master'!$C$7:$C$1000,MATCH($A176,'Product Master'!$A$7:$A$1000,0)))</f>
        <v/>
      </c>
      <c r="D176" t="str">
        <f>IF($A176="","",INDEX('Product Master'!$M$7:$M$1000,MATCH($A176,'Product Master'!$A$7:$A$1000,0)))</f>
        <v/>
      </c>
      <c r="E176" t="str">
        <f>IF($A176="","",INDEX('Product Master'!$N$7:$N$1000,MATCH($A176,'Product Master'!$A$7:$A$1000,0)))</f>
        <v/>
      </c>
      <c r="F176" t="str">
        <f>IF($A176="","",INDEX('Product Master'!$P$7:$P$1000,MATCH($A176,'Product Master'!$A$7:$A$1000,0)))</f>
        <v/>
      </c>
      <c r="I176" t="str">
        <f>IFERROR(INDEX('Product Master'!$A$7:$A$1000,_xlfn.AGGREGATE(15,6,(ROW('Product Master'!$A$7:$A$1000)-ROW('Product Master'!$A$7)+1)/(('Product Master'!$A$7:$A$1000&lt;&gt;"")*('Product Master'!$P$7:$P$1000="Out of Stock")),ROWS($I$12:I176))),"")</f>
        <v/>
      </c>
      <c r="J176" t="str">
        <f>IF($I176="","",INDEX('Product Master'!$B$7:$B$1000,MATCH($I176,'Product Master'!$A$7:$A$1000,0)))</f>
        <v/>
      </c>
      <c r="K176" t="str">
        <f>IF($I176="","",INDEX('Product Master'!$C$7:$C$1000,MATCH($I176,'Product Master'!$A$7:$A$1000,0)))</f>
        <v/>
      </c>
      <c r="L176" t="str">
        <f>IF($I176="","",INDEX('Product Master'!$M$7:$M$1000,MATCH($I176,'Product Master'!$A$7:$A$1000,0)))</f>
        <v/>
      </c>
      <c r="M176" t="str">
        <f>IF($I176="","",INDEX('Product Master'!$N$7:$N$1000,MATCH($I176,'Product Master'!$A$7:$A$1000,0)))</f>
        <v/>
      </c>
    </row>
    <row r="177" spans="1:13" x14ac:dyDescent="0.3">
      <c r="A177" t="str">
        <f>IFERROR(INDEX('Product Master'!$A$7:$A$1000,_xlfn.AGGREGATE(15,6,(ROW('Product Master'!$A$7:$A$1000)-ROW('Product Master'!$A$7)+1)/(('Product Master'!$A$7:$A$1000&lt;&gt;"")*('Product Master'!$P$7:$P$1000="Low Stock")),ROWS($A$12:A177))),"")</f>
        <v/>
      </c>
      <c r="B177" t="str">
        <f>IF($A177="","",INDEX('Product Master'!$B$7:$B$1000,MATCH($A177,'Product Master'!$A$7:$A$1000,0)))</f>
        <v/>
      </c>
      <c r="C177" t="str">
        <f>IF($A177="","",INDEX('Product Master'!$C$7:$C$1000,MATCH($A177,'Product Master'!$A$7:$A$1000,0)))</f>
        <v/>
      </c>
      <c r="D177" t="str">
        <f>IF($A177="","",INDEX('Product Master'!$M$7:$M$1000,MATCH($A177,'Product Master'!$A$7:$A$1000,0)))</f>
        <v/>
      </c>
      <c r="E177" t="str">
        <f>IF($A177="","",INDEX('Product Master'!$N$7:$N$1000,MATCH($A177,'Product Master'!$A$7:$A$1000,0)))</f>
        <v/>
      </c>
      <c r="F177" t="str">
        <f>IF($A177="","",INDEX('Product Master'!$P$7:$P$1000,MATCH($A177,'Product Master'!$A$7:$A$1000,0)))</f>
        <v/>
      </c>
      <c r="I177" t="str">
        <f>IFERROR(INDEX('Product Master'!$A$7:$A$1000,_xlfn.AGGREGATE(15,6,(ROW('Product Master'!$A$7:$A$1000)-ROW('Product Master'!$A$7)+1)/(('Product Master'!$A$7:$A$1000&lt;&gt;"")*('Product Master'!$P$7:$P$1000="Out of Stock")),ROWS($I$12:I177))),"")</f>
        <v/>
      </c>
      <c r="J177" t="str">
        <f>IF($I177="","",INDEX('Product Master'!$B$7:$B$1000,MATCH($I177,'Product Master'!$A$7:$A$1000,0)))</f>
        <v/>
      </c>
      <c r="K177" t="str">
        <f>IF($I177="","",INDEX('Product Master'!$C$7:$C$1000,MATCH($I177,'Product Master'!$A$7:$A$1000,0)))</f>
        <v/>
      </c>
      <c r="L177" t="str">
        <f>IF($I177="","",INDEX('Product Master'!$M$7:$M$1000,MATCH($I177,'Product Master'!$A$7:$A$1000,0)))</f>
        <v/>
      </c>
      <c r="M177" t="str">
        <f>IF($I177="","",INDEX('Product Master'!$N$7:$N$1000,MATCH($I177,'Product Master'!$A$7:$A$1000,0)))</f>
        <v/>
      </c>
    </row>
    <row r="178" spans="1:13" x14ac:dyDescent="0.3">
      <c r="A178" t="str">
        <f>IFERROR(INDEX('Product Master'!$A$7:$A$1000,_xlfn.AGGREGATE(15,6,(ROW('Product Master'!$A$7:$A$1000)-ROW('Product Master'!$A$7)+1)/(('Product Master'!$A$7:$A$1000&lt;&gt;"")*('Product Master'!$P$7:$P$1000="Low Stock")),ROWS($A$12:A178))),"")</f>
        <v/>
      </c>
      <c r="B178" t="str">
        <f>IF($A178="","",INDEX('Product Master'!$B$7:$B$1000,MATCH($A178,'Product Master'!$A$7:$A$1000,0)))</f>
        <v/>
      </c>
      <c r="C178" t="str">
        <f>IF($A178="","",INDEX('Product Master'!$C$7:$C$1000,MATCH($A178,'Product Master'!$A$7:$A$1000,0)))</f>
        <v/>
      </c>
      <c r="D178" t="str">
        <f>IF($A178="","",INDEX('Product Master'!$M$7:$M$1000,MATCH($A178,'Product Master'!$A$7:$A$1000,0)))</f>
        <v/>
      </c>
      <c r="E178" t="str">
        <f>IF($A178="","",INDEX('Product Master'!$N$7:$N$1000,MATCH($A178,'Product Master'!$A$7:$A$1000,0)))</f>
        <v/>
      </c>
      <c r="F178" t="str">
        <f>IF($A178="","",INDEX('Product Master'!$P$7:$P$1000,MATCH($A178,'Product Master'!$A$7:$A$1000,0)))</f>
        <v/>
      </c>
      <c r="I178" t="str">
        <f>IFERROR(INDEX('Product Master'!$A$7:$A$1000,_xlfn.AGGREGATE(15,6,(ROW('Product Master'!$A$7:$A$1000)-ROW('Product Master'!$A$7)+1)/(('Product Master'!$A$7:$A$1000&lt;&gt;"")*('Product Master'!$P$7:$P$1000="Out of Stock")),ROWS($I$12:I178))),"")</f>
        <v/>
      </c>
      <c r="J178" t="str">
        <f>IF($I178="","",INDEX('Product Master'!$B$7:$B$1000,MATCH($I178,'Product Master'!$A$7:$A$1000,0)))</f>
        <v/>
      </c>
      <c r="K178" t="str">
        <f>IF($I178="","",INDEX('Product Master'!$C$7:$C$1000,MATCH($I178,'Product Master'!$A$7:$A$1000,0)))</f>
        <v/>
      </c>
      <c r="L178" t="str">
        <f>IF($I178="","",INDEX('Product Master'!$M$7:$M$1000,MATCH($I178,'Product Master'!$A$7:$A$1000,0)))</f>
        <v/>
      </c>
      <c r="M178" t="str">
        <f>IF($I178="","",INDEX('Product Master'!$N$7:$N$1000,MATCH($I178,'Product Master'!$A$7:$A$1000,0)))</f>
        <v/>
      </c>
    </row>
    <row r="179" spans="1:13" x14ac:dyDescent="0.3">
      <c r="A179" t="str">
        <f>IFERROR(INDEX('Product Master'!$A$7:$A$1000,_xlfn.AGGREGATE(15,6,(ROW('Product Master'!$A$7:$A$1000)-ROW('Product Master'!$A$7)+1)/(('Product Master'!$A$7:$A$1000&lt;&gt;"")*('Product Master'!$P$7:$P$1000="Low Stock")),ROWS($A$12:A179))),"")</f>
        <v/>
      </c>
      <c r="B179" t="str">
        <f>IF($A179="","",INDEX('Product Master'!$B$7:$B$1000,MATCH($A179,'Product Master'!$A$7:$A$1000,0)))</f>
        <v/>
      </c>
      <c r="C179" t="str">
        <f>IF($A179="","",INDEX('Product Master'!$C$7:$C$1000,MATCH($A179,'Product Master'!$A$7:$A$1000,0)))</f>
        <v/>
      </c>
      <c r="D179" t="str">
        <f>IF($A179="","",INDEX('Product Master'!$M$7:$M$1000,MATCH($A179,'Product Master'!$A$7:$A$1000,0)))</f>
        <v/>
      </c>
      <c r="E179" t="str">
        <f>IF($A179="","",INDEX('Product Master'!$N$7:$N$1000,MATCH($A179,'Product Master'!$A$7:$A$1000,0)))</f>
        <v/>
      </c>
      <c r="F179" t="str">
        <f>IF($A179="","",INDEX('Product Master'!$P$7:$P$1000,MATCH($A179,'Product Master'!$A$7:$A$1000,0)))</f>
        <v/>
      </c>
      <c r="I179" t="str">
        <f>IFERROR(INDEX('Product Master'!$A$7:$A$1000,_xlfn.AGGREGATE(15,6,(ROW('Product Master'!$A$7:$A$1000)-ROW('Product Master'!$A$7)+1)/(('Product Master'!$A$7:$A$1000&lt;&gt;"")*('Product Master'!$P$7:$P$1000="Out of Stock")),ROWS($I$12:I179))),"")</f>
        <v/>
      </c>
      <c r="J179" t="str">
        <f>IF($I179="","",INDEX('Product Master'!$B$7:$B$1000,MATCH($I179,'Product Master'!$A$7:$A$1000,0)))</f>
        <v/>
      </c>
      <c r="K179" t="str">
        <f>IF($I179="","",INDEX('Product Master'!$C$7:$C$1000,MATCH($I179,'Product Master'!$A$7:$A$1000,0)))</f>
        <v/>
      </c>
      <c r="L179" t="str">
        <f>IF($I179="","",INDEX('Product Master'!$M$7:$M$1000,MATCH($I179,'Product Master'!$A$7:$A$1000,0)))</f>
        <v/>
      </c>
      <c r="M179" t="str">
        <f>IF($I179="","",INDEX('Product Master'!$N$7:$N$1000,MATCH($I179,'Product Master'!$A$7:$A$1000,0)))</f>
        <v/>
      </c>
    </row>
    <row r="180" spans="1:13" x14ac:dyDescent="0.3">
      <c r="A180" t="str">
        <f>IFERROR(INDEX('Product Master'!$A$7:$A$1000,_xlfn.AGGREGATE(15,6,(ROW('Product Master'!$A$7:$A$1000)-ROW('Product Master'!$A$7)+1)/(('Product Master'!$A$7:$A$1000&lt;&gt;"")*('Product Master'!$P$7:$P$1000="Low Stock")),ROWS($A$12:A180))),"")</f>
        <v/>
      </c>
      <c r="B180" t="str">
        <f>IF($A180="","",INDEX('Product Master'!$B$7:$B$1000,MATCH($A180,'Product Master'!$A$7:$A$1000,0)))</f>
        <v/>
      </c>
      <c r="C180" t="str">
        <f>IF($A180="","",INDEX('Product Master'!$C$7:$C$1000,MATCH($A180,'Product Master'!$A$7:$A$1000,0)))</f>
        <v/>
      </c>
      <c r="D180" t="str">
        <f>IF($A180="","",INDEX('Product Master'!$M$7:$M$1000,MATCH($A180,'Product Master'!$A$7:$A$1000,0)))</f>
        <v/>
      </c>
      <c r="E180" t="str">
        <f>IF($A180="","",INDEX('Product Master'!$N$7:$N$1000,MATCH($A180,'Product Master'!$A$7:$A$1000,0)))</f>
        <v/>
      </c>
      <c r="F180" t="str">
        <f>IF($A180="","",INDEX('Product Master'!$P$7:$P$1000,MATCH($A180,'Product Master'!$A$7:$A$1000,0)))</f>
        <v/>
      </c>
      <c r="I180" t="str">
        <f>IFERROR(INDEX('Product Master'!$A$7:$A$1000,_xlfn.AGGREGATE(15,6,(ROW('Product Master'!$A$7:$A$1000)-ROW('Product Master'!$A$7)+1)/(('Product Master'!$A$7:$A$1000&lt;&gt;"")*('Product Master'!$P$7:$P$1000="Out of Stock")),ROWS($I$12:I180))),"")</f>
        <v/>
      </c>
      <c r="J180" t="str">
        <f>IF($I180="","",INDEX('Product Master'!$B$7:$B$1000,MATCH($I180,'Product Master'!$A$7:$A$1000,0)))</f>
        <v/>
      </c>
      <c r="K180" t="str">
        <f>IF($I180="","",INDEX('Product Master'!$C$7:$C$1000,MATCH($I180,'Product Master'!$A$7:$A$1000,0)))</f>
        <v/>
      </c>
      <c r="L180" t="str">
        <f>IF($I180="","",INDEX('Product Master'!$M$7:$M$1000,MATCH($I180,'Product Master'!$A$7:$A$1000,0)))</f>
        <v/>
      </c>
      <c r="M180" t="str">
        <f>IF($I180="","",INDEX('Product Master'!$N$7:$N$1000,MATCH($I180,'Product Master'!$A$7:$A$1000,0)))</f>
        <v/>
      </c>
    </row>
    <row r="181" spans="1:13" x14ac:dyDescent="0.3">
      <c r="A181" t="str">
        <f>IFERROR(INDEX('Product Master'!$A$7:$A$1000,_xlfn.AGGREGATE(15,6,(ROW('Product Master'!$A$7:$A$1000)-ROW('Product Master'!$A$7)+1)/(('Product Master'!$A$7:$A$1000&lt;&gt;"")*('Product Master'!$P$7:$P$1000="Low Stock")),ROWS($A$12:A181))),"")</f>
        <v/>
      </c>
      <c r="B181" t="str">
        <f>IF($A181="","",INDEX('Product Master'!$B$7:$B$1000,MATCH($A181,'Product Master'!$A$7:$A$1000,0)))</f>
        <v/>
      </c>
      <c r="C181" t="str">
        <f>IF($A181="","",INDEX('Product Master'!$C$7:$C$1000,MATCH($A181,'Product Master'!$A$7:$A$1000,0)))</f>
        <v/>
      </c>
      <c r="D181" t="str">
        <f>IF($A181="","",INDEX('Product Master'!$M$7:$M$1000,MATCH($A181,'Product Master'!$A$7:$A$1000,0)))</f>
        <v/>
      </c>
      <c r="E181" t="str">
        <f>IF($A181="","",INDEX('Product Master'!$N$7:$N$1000,MATCH($A181,'Product Master'!$A$7:$A$1000,0)))</f>
        <v/>
      </c>
      <c r="F181" t="str">
        <f>IF($A181="","",INDEX('Product Master'!$P$7:$P$1000,MATCH($A181,'Product Master'!$A$7:$A$1000,0)))</f>
        <v/>
      </c>
      <c r="I181" t="str">
        <f>IFERROR(INDEX('Product Master'!$A$7:$A$1000,_xlfn.AGGREGATE(15,6,(ROW('Product Master'!$A$7:$A$1000)-ROW('Product Master'!$A$7)+1)/(('Product Master'!$A$7:$A$1000&lt;&gt;"")*('Product Master'!$P$7:$P$1000="Out of Stock")),ROWS($I$12:I181))),"")</f>
        <v/>
      </c>
      <c r="J181" t="str">
        <f>IF($I181="","",INDEX('Product Master'!$B$7:$B$1000,MATCH($I181,'Product Master'!$A$7:$A$1000,0)))</f>
        <v/>
      </c>
      <c r="K181" t="str">
        <f>IF($I181="","",INDEX('Product Master'!$C$7:$C$1000,MATCH($I181,'Product Master'!$A$7:$A$1000,0)))</f>
        <v/>
      </c>
      <c r="L181" t="str">
        <f>IF($I181="","",INDEX('Product Master'!$M$7:$M$1000,MATCH($I181,'Product Master'!$A$7:$A$1000,0)))</f>
        <v/>
      </c>
      <c r="M181" t="str">
        <f>IF($I181="","",INDEX('Product Master'!$N$7:$N$1000,MATCH($I181,'Product Master'!$A$7:$A$1000,0)))</f>
        <v/>
      </c>
    </row>
    <row r="182" spans="1:13" x14ac:dyDescent="0.3">
      <c r="A182" t="str">
        <f>IFERROR(INDEX('Product Master'!$A$7:$A$1000,_xlfn.AGGREGATE(15,6,(ROW('Product Master'!$A$7:$A$1000)-ROW('Product Master'!$A$7)+1)/(('Product Master'!$A$7:$A$1000&lt;&gt;"")*('Product Master'!$P$7:$P$1000="Low Stock")),ROWS($A$12:A182))),"")</f>
        <v/>
      </c>
      <c r="B182" t="str">
        <f>IF($A182="","",INDEX('Product Master'!$B$7:$B$1000,MATCH($A182,'Product Master'!$A$7:$A$1000,0)))</f>
        <v/>
      </c>
      <c r="C182" t="str">
        <f>IF($A182="","",INDEX('Product Master'!$C$7:$C$1000,MATCH($A182,'Product Master'!$A$7:$A$1000,0)))</f>
        <v/>
      </c>
      <c r="D182" t="str">
        <f>IF($A182="","",INDEX('Product Master'!$M$7:$M$1000,MATCH($A182,'Product Master'!$A$7:$A$1000,0)))</f>
        <v/>
      </c>
      <c r="E182" t="str">
        <f>IF($A182="","",INDEX('Product Master'!$N$7:$N$1000,MATCH($A182,'Product Master'!$A$7:$A$1000,0)))</f>
        <v/>
      </c>
      <c r="F182" t="str">
        <f>IF($A182="","",INDEX('Product Master'!$P$7:$P$1000,MATCH($A182,'Product Master'!$A$7:$A$1000,0)))</f>
        <v/>
      </c>
      <c r="I182" t="str">
        <f>IFERROR(INDEX('Product Master'!$A$7:$A$1000,_xlfn.AGGREGATE(15,6,(ROW('Product Master'!$A$7:$A$1000)-ROW('Product Master'!$A$7)+1)/(('Product Master'!$A$7:$A$1000&lt;&gt;"")*('Product Master'!$P$7:$P$1000="Out of Stock")),ROWS($I$12:I182))),"")</f>
        <v/>
      </c>
      <c r="J182" t="str">
        <f>IF($I182="","",INDEX('Product Master'!$B$7:$B$1000,MATCH($I182,'Product Master'!$A$7:$A$1000,0)))</f>
        <v/>
      </c>
      <c r="K182" t="str">
        <f>IF($I182="","",INDEX('Product Master'!$C$7:$C$1000,MATCH($I182,'Product Master'!$A$7:$A$1000,0)))</f>
        <v/>
      </c>
      <c r="L182" t="str">
        <f>IF($I182="","",INDEX('Product Master'!$M$7:$M$1000,MATCH($I182,'Product Master'!$A$7:$A$1000,0)))</f>
        <v/>
      </c>
      <c r="M182" t="str">
        <f>IF($I182="","",INDEX('Product Master'!$N$7:$N$1000,MATCH($I182,'Product Master'!$A$7:$A$1000,0)))</f>
        <v/>
      </c>
    </row>
    <row r="183" spans="1:13" x14ac:dyDescent="0.3">
      <c r="A183" t="str">
        <f>IFERROR(INDEX('Product Master'!$A$7:$A$1000,_xlfn.AGGREGATE(15,6,(ROW('Product Master'!$A$7:$A$1000)-ROW('Product Master'!$A$7)+1)/(('Product Master'!$A$7:$A$1000&lt;&gt;"")*('Product Master'!$P$7:$P$1000="Low Stock")),ROWS($A$12:A183))),"")</f>
        <v/>
      </c>
      <c r="B183" t="str">
        <f>IF($A183="","",INDEX('Product Master'!$B$7:$B$1000,MATCH($A183,'Product Master'!$A$7:$A$1000,0)))</f>
        <v/>
      </c>
      <c r="C183" t="str">
        <f>IF($A183="","",INDEX('Product Master'!$C$7:$C$1000,MATCH($A183,'Product Master'!$A$7:$A$1000,0)))</f>
        <v/>
      </c>
      <c r="D183" t="str">
        <f>IF($A183="","",INDEX('Product Master'!$M$7:$M$1000,MATCH($A183,'Product Master'!$A$7:$A$1000,0)))</f>
        <v/>
      </c>
      <c r="E183" t="str">
        <f>IF($A183="","",INDEX('Product Master'!$N$7:$N$1000,MATCH($A183,'Product Master'!$A$7:$A$1000,0)))</f>
        <v/>
      </c>
      <c r="F183" t="str">
        <f>IF($A183="","",INDEX('Product Master'!$P$7:$P$1000,MATCH($A183,'Product Master'!$A$7:$A$1000,0)))</f>
        <v/>
      </c>
      <c r="I183" t="str">
        <f>IFERROR(INDEX('Product Master'!$A$7:$A$1000,_xlfn.AGGREGATE(15,6,(ROW('Product Master'!$A$7:$A$1000)-ROW('Product Master'!$A$7)+1)/(('Product Master'!$A$7:$A$1000&lt;&gt;"")*('Product Master'!$P$7:$P$1000="Out of Stock")),ROWS($I$12:I183))),"")</f>
        <v/>
      </c>
      <c r="J183" t="str">
        <f>IF($I183="","",INDEX('Product Master'!$B$7:$B$1000,MATCH($I183,'Product Master'!$A$7:$A$1000,0)))</f>
        <v/>
      </c>
      <c r="K183" t="str">
        <f>IF($I183="","",INDEX('Product Master'!$C$7:$C$1000,MATCH($I183,'Product Master'!$A$7:$A$1000,0)))</f>
        <v/>
      </c>
      <c r="L183" t="str">
        <f>IF($I183="","",INDEX('Product Master'!$M$7:$M$1000,MATCH($I183,'Product Master'!$A$7:$A$1000,0)))</f>
        <v/>
      </c>
      <c r="M183" t="str">
        <f>IF($I183="","",INDEX('Product Master'!$N$7:$N$1000,MATCH($I183,'Product Master'!$A$7:$A$1000,0)))</f>
        <v/>
      </c>
    </row>
    <row r="184" spans="1:13" x14ac:dyDescent="0.3">
      <c r="A184" t="str">
        <f>IFERROR(INDEX('Product Master'!$A$7:$A$1000,_xlfn.AGGREGATE(15,6,(ROW('Product Master'!$A$7:$A$1000)-ROW('Product Master'!$A$7)+1)/(('Product Master'!$A$7:$A$1000&lt;&gt;"")*('Product Master'!$P$7:$P$1000="Low Stock")),ROWS($A$12:A184))),"")</f>
        <v/>
      </c>
      <c r="B184" t="str">
        <f>IF($A184="","",INDEX('Product Master'!$B$7:$B$1000,MATCH($A184,'Product Master'!$A$7:$A$1000,0)))</f>
        <v/>
      </c>
      <c r="C184" t="str">
        <f>IF($A184="","",INDEX('Product Master'!$C$7:$C$1000,MATCH($A184,'Product Master'!$A$7:$A$1000,0)))</f>
        <v/>
      </c>
      <c r="D184" t="str">
        <f>IF($A184="","",INDEX('Product Master'!$M$7:$M$1000,MATCH($A184,'Product Master'!$A$7:$A$1000,0)))</f>
        <v/>
      </c>
      <c r="E184" t="str">
        <f>IF($A184="","",INDEX('Product Master'!$N$7:$N$1000,MATCH($A184,'Product Master'!$A$7:$A$1000,0)))</f>
        <v/>
      </c>
      <c r="F184" t="str">
        <f>IF($A184="","",INDEX('Product Master'!$P$7:$P$1000,MATCH($A184,'Product Master'!$A$7:$A$1000,0)))</f>
        <v/>
      </c>
      <c r="I184" t="str">
        <f>IFERROR(INDEX('Product Master'!$A$7:$A$1000,_xlfn.AGGREGATE(15,6,(ROW('Product Master'!$A$7:$A$1000)-ROW('Product Master'!$A$7)+1)/(('Product Master'!$A$7:$A$1000&lt;&gt;"")*('Product Master'!$P$7:$P$1000="Out of Stock")),ROWS($I$12:I184))),"")</f>
        <v/>
      </c>
      <c r="J184" t="str">
        <f>IF($I184="","",INDEX('Product Master'!$B$7:$B$1000,MATCH($I184,'Product Master'!$A$7:$A$1000,0)))</f>
        <v/>
      </c>
      <c r="K184" t="str">
        <f>IF($I184="","",INDEX('Product Master'!$C$7:$C$1000,MATCH($I184,'Product Master'!$A$7:$A$1000,0)))</f>
        <v/>
      </c>
      <c r="L184" t="str">
        <f>IF($I184="","",INDEX('Product Master'!$M$7:$M$1000,MATCH($I184,'Product Master'!$A$7:$A$1000,0)))</f>
        <v/>
      </c>
      <c r="M184" t="str">
        <f>IF($I184="","",INDEX('Product Master'!$N$7:$N$1000,MATCH($I184,'Product Master'!$A$7:$A$1000,0)))</f>
        <v/>
      </c>
    </row>
    <row r="185" spans="1:13" x14ac:dyDescent="0.3">
      <c r="A185" t="str">
        <f>IFERROR(INDEX('Product Master'!$A$7:$A$1000,_xlfn.AGGREGATE(15,6,(ROW('Product Master'!$A$7:$A$1000)-ROW('Product Master'!$A$7)+1)/(('Product Master'!$A$7:$A$1000&lt;&gt;"")*('Product Master'!$P$7:$P$1000="Low Stock")),ROWS($A$12:A185))),"")</f>
        <v/>
      </c>
      <c r="B185" t="str">
        <f>IF($A185="","",INDEX('Product Master'!$B$7:$B$1000,MATCH($A185,'Product Master'!$A$7:$A$1000,0)))</f>
        <v/>
      </c>
      <c r="C185" t="str">
        <f>IF($A185="","",INDEX('Product Master'!$C$7:$C$1000,MATCH($A185,'Product Master'!$A$7:$A$1000,0)))</f>
        <v/>
      </c>
      <c r="D185" t="str">
        <f>IF($A185="","",INDEX('Product Master'!$M$7:$M$1000,MATCH($A185,'Product Master'!$A$7:$A$1000,0)))</f>
        <v/>
      </c>
      <c r="E185" t="str">
        <f>IF($A185="","",INDEX('Product Master'!$N$7:$N$1000,MATCH($A185,'Product Master'!$A$7:$A$1000,0)))</f>
        <v/>
      </c>
      <c r="F185" t="str">
        <f>IF($A185="","",INDEX('Product Master'!$P$7:$P$1000,MATCH($A185,'Product Master'!$A$7:$A$1000,0)))</f>
        <v/>
      </c>
      <c r="I185" t="str">
        <f>IFERROR(INDEX('Product Master'!$A$7:$A$1000,_xlfn.AGGREGATE(15,6,(ROW('Product Master'!$A$7:$A$1000)-ROW('Product Master'!$A$7)+1)/(('Product Master'!$A$7:$A$1000&lt;&gt;"")*('Product Master'!$P$7:$P$1000="Out of Stock")),ROWS($I$12:I185))),"")</f>
        <v/>
      </c>
      <c r="J185" t="str">
        <f>IF($I185="","",INDEX('Product Master'!$B$7:$B$1000,MATCH($I185,'Product Master'!$A$7:$A$1000,0)))</f>
        <v/>
      </c>
      <c r="K185" t="str">
        <f>IF($I185="","",INDEX('Product Master'!$C$7:$C$1000,MATCH($I185,'Product Master'!$A$7:$A$1000,0)))</f>
        <v/>
      </c>
      <c r="L185" t="str">
        <f>IF($I185="","",INDEX('Product Master'!$M$7:$M$1000,MATCH($I185,'Product Master'!$A$7:$A$1000,0)))</f>
        <v/>
      </c>
      <c r="M185" t="str">
        <f>IF($I185="","",INDEX('Product Master'!$N$7:$N$1000,MATCH($I185,'Product Master'!$A$7:$A$1000,0)))</f>
        <v/>
      </c>
    </row>
    <row r="186" spans="1:13" x14ac:dyDescent="0.3">
      <c r="A186" t="str">
        <f>IFERROR(INDEX('Product Master'!$A$7:$A$1000,_xlfn.AGGREGATE(15,6,(ROW('Product Master'!$A$7:$A$1000)-ROW('Product Master'!$A$7)+1)/(('Product Master'!$A$7:$A$1000&lt;&gt;"")*('Product Master'!$P$7:$P$1000="Low Stock")),ROWS($A$12:A186))),"")</f>
        <v/>
      </c>
      <c r="B186" t="str">
        <f>IF($A186="","",INDEX('Product Master'!$B$7:$B$1000,MATCH($A186,'Product Master'!$A$7:$A$1000,0)))</f>
        <v/>
      </c>
      <c r="C186" t="str">
        <f>IF($A186="","",INDEX('Product Master'!$C$7:$C$1000,MATCH($A186,'Product Master'!$A$7:$A$1000,0)))</f>
        <v/>
      </c>
      <c r="D186" t="str">
        <f>IF($A186="","",INDEX('Product Master'!$M$7:$M$1000,MATCH($A186,'Product Master'!$A$7:$A$1000,0)))</f>
        <v/>
      </c>
      <c r="E186" t="str">
        <f>IF($A186="","",INDEX('Product Master'!$N$7:$N$1000,MATCH($A186,'Product Master'!$A$7:$A$1000,0)))</f>
        <v/>
      </c>
      <c r="F186" t="str">
        <f>IF($A186="","",INDEX('Product Master'!$P$7:$P$1000,MATCH($A186,'Product Master'!$A$7:$A$1000,0)))</f>
        <v/>
      </c>
      <c r="I186" t="str">
        <f>IFERROR(INDEX('Product Master'!$A$7:$A$1000,_xlfn.AGGREGATE(15,6,(ROW('Product Master'!$A$7:$A$1000)-ROW('Product Master'!$A$7)+1)/(('Product Master'!$A$7:$A$1000&lt;&gt;"")*('Product Master'!$P$7:$P$1000="Out of Stock")),ROWS($I$12:I186))),"")</f>
        <v/>
      </c>
      <c r="J186" t="str">
        <f>IF($I186="","",INDEX('Product Master'!$B$7:$B$1000,MATCH($I186,'Product Master'!$A$7:$A$1000,0)))</f>
        <v/>
      </c>
      <c r="K186" t="str">
        <f>IF($I186="","",INDEX('Product Master'!$C$7:$C$1000,MATCH($I186,'Product Master'!$A$7:$A$1000,0)))</f>
        <v/>
      </c>
      <c r="L186" t="str">
        <f>IF($I186="","",INDEX('Product Master'!$M$7:$M$1000,MATCH($I186,'Product Master'!$A$7:$A$1000,0)))</f>
        <v/>
      </c>
      <c r="M186" t="str">
        <f>IF($I186="","",INDEX('Product Master'!$N$7:$N$1000,MATCH($I186,'Product Master'!$A$7:$A$1000,0)))</f>
        <v/>
      </c>
    </row>
    <row r="187" spans="1:13" x14ac:dyDescent="0.3">
      <c r="A187" t="str">
        <f>IFERROR(INDEX('Product Master'!$A$7:$A$1000,_xlfn.AGGREGATE(15,6,(ROW('Product Master'!$A$7:$A$1000)-ROW('Product Master'!$A$7)+1)/(('Product Master'!$A$7:$A$1000&lt;&gt;"")*('Product Master'!$P$7:$P$1000="Low Stock")),ROWS($A$12:A187))),"")</f>
        <v/>
      </c>
      <c r="B187" t="str">
        <f>IF($A187="","",INDEX('Product Master'!$B$7:$B$1000,MATCH($A187,'Product Master'!$A$7:$A$1000,0)))</f>
        <v/>
      </c>
      <c r="C187" t="str">
        <f>IF($A187="","",INDEX('Product Master'!$C$7:$C$1000,MATCH($A187,'Product Master'!$A$7:$A$1000,0)))</f>
        <v/>
      </c>
      <c r="D187" t="str">
        <f>IF($A187="","",INDEX('Product Master'!$M$7:$M$1000,MATCH($A187,'Product Master'!$A$7:$A$1000,0)))</f>
        <v/>
      </c>
      <c r="E187" t="str">
        <f>IF($A187="","",INDEX('Product Master'!$N$7:$N$1000,MATCH($A187,'Product Master'!$A$7:$A$1000,0)))</f>
        <v/>
      </c>
      <c r="F187" t="str">
        <f>IF($A187="","",INDEX('Product Master'!$P$7:$P$1000,MATCH($A187,'Product Master'!$A$7:$A$1000,0)))</f>
        <v/>
      </c>
      <c r="I187" t="str">
        <f>IFERROR(INDEX('Product Master'!$A$7:$A$1000,_xlfn.AGGREGATE(15,6,(ROW('Product Master'!$A$7:$A$1000)-ROW('Product Master'!$A$7)+1)/(('Product Master'!$A$7:$A$1000&lt;&gt;"")*('Product Master'!$P$7:$P$1000="Out of Stock")),ROWS($I$12:I187))),"")</f>
        <v/>
      </c>
      <c r="J187" t="str">
        <f>IF($I187="","",INDEX('Product Master'!$B$7:$B$1000,MATCH($I187,'Product Master'!$A$7:$A$1000,0)))</f>
        <v/>
      </c>
      <c r="K187" t="str">
        <f>IF($I187="","",INDEX('Product Master'!$C$7:$C$1000,MATCH($I187,'Product Master'!$A$7:$A$1000,0)))</f>
        <v/>
      </c>
      <c r="L187" t="str">
        <f>IF($I187="","",INDEX('Product Master'!$M$7:$M$1000,MATCH($I187,'Product Master'!$A$7:$A$1000,0)))</f>
        <v/>
      </c>
      <c r="M187" t="str">
        <f>IF($I187="","",INDEX('Product Master'!$N$7:$N$1000,MATCH($I187,'Product Master'!$A$7:$A$1000,0)))</f>
        <v/>
      </c>
    </row>
    <row r="188" spans="1:13" x14ac:dyDescent="0.3">
      <c r="A188" t="str">
        <f>IFERROR(INDEX('Product Master'!$A$7:$A$1000,_xlfn.AGGREGATE(15,6,(ROW('Product Master'!$A$7:$A$1000)-ROW('Product Master'!$A$7)+1)/(('Product Master'!$A$7:$A$1000&lt;&gt;"")*('Product Master'!$P$7:$P$1000="Low Stock")),ROWS($A$12:A188))),"")</f>
        <v/>
      </c>
      <c r="B188" t="str">
        <f>IF($A188="","",INDEX('Product Master'!$B$7:$B$1000,MATCH($A188,'Product Master'!$A$7:$A$1000,0)))</f>
        <v/>
      </c>
      <c r="C188" t="str">
        <f>IF($A188="","",INDEX('Product Master'!$C$7:$C$1000,MATCH($A188,'Product Master'!$A$7:$A$1000,0)))</f>
        <v/>
      </c>
      <c r="D188" t="str">
        <f>IF($A188="","",INDEX('Product Master'!$M$7:$M$1000,MATCH($A188,'Product Master'!$A$7:$A$1000,0)))</f>
        <v/>
      </c>
      <c r="E188" t="str">
        <f>IF($A188="","",INDEX('Product Master'!$N$7:$N$1000,MATCH($A188,'Product Master'!$A$7:$A$1000,0)))</f>
        <v/>
      </c>
      <c r="F188" t="str">
        <f>IF($A188="","",INDEX('Product Master'!$P$7:$P$1000,MATCH($A188,'Product Master'!$A$7:$A$1000,0)))</f>
        <v/>
      </c>
      <c r="I188" t="str">
        <f>IFERROR(INDEX('Product Master'!$A$7:$A$1000,_xlfn.AGGREGATE(15,6,(ROW('Product Master'!$A$7:$A$1000)-ROW('Product Master'!$A$7)+1)/(('Product Master'!$A$7:$A$1000&lt;&gt;"")*('Product Master'!$P$7:$P$1000="Out of Stock")),ROWS($I$12:I188))),"")</f>
        <v/>
      </c>
      <c r="J188" t="str">
        <f>IF($I188="","",INDEX('Product Master'!$B$7:$B$1000,MATCH($I188,'Product Master'!$A$7:$A$1000,0)))</f>
        <v/>
      </c>
      <c r="K188" t="str">
        <f>IF($I188="","",INDEX('Product Master'!$C$7:$C$1000,MATCH($I188,'Product Master'!$A$7:$A$1000,0)))</f>
        <v/>
      </c>
      <c r="L188" t="str">
        <f>IF($I188="","",INDEX('Product Master'!$M$7:$M$1000,MATCH($I188,'Product Master'!$A$7:$A$1000,0)))</f>
        <v/>
      </c>
      <c r="M188" t="str">
        <f>IF($I188="","",INDEX('Product Master'!$N$7:$N$1000,MATCH($I188,'Product Master'!$A$7:$A$1000,0)))</f>
        <v/>
      </c>
    </row>
    <row r="189" spans="1:13" x14ac:dyDescent="0.3">
      <c r="A189" t="str">
        <f>IFERROR(INDEX('Product Master'!$A$7:$A$1000,_xlfn.AGGREGATE(15,6,(ROW('Product Master'!$A$7:$A$1000)-ROW('Product Master'!$A$7)+1)/(('Product Master'!$A$7:$A$1000&lt;&gt;"")*('Product Master'!$P$7:$P$1000="Low Stock")),ROWS($A$12:A189))),"")</f>
        <v/>
      </c>
      <c r="B189" t="str">
        <f>IF($A189="","",INDEX('Product Master'!$B$7:$B$1000,MATCH($A189,'Product Master'!$A$7:$A$1000,0)))</f>
        <v/>
      </c>
      <c r="C189" t="str">
        <f>IF($A189="","",INDEX('Product Master'!$C$7:$C$1000,MATCH($A189,'Product Master'!$A$7:$A$1000,0)))</f>
        <v/>
      </c>
      <c r="D189" t="str">
        <f>IF($A189="","",INDEX('Product Master'!$M$7:$M$1000,MATCH($A189,'Product Master'!$A$7:$A$1000,0)))</f>
        <v/>
      </c>
      <c r="E189" t="str">
        <f>IF($A189="","",INDEX('Product Master'!$N$7:$N$1000,MATCH($A189,'Product Master'!$A$7:$A$1000,0)))</f>
        <v/>
      </c>
      <c r="F189" t="str">
        <f>IF($A189="","",INDEX('Product Master'!$P$7:$P$1000,MATCH($A189,'Product Master'!$A$7:$A$1000,0)))</f>
        <v/>
      </c>
      <c r="I189" t="str">
        <f>IFERROR(INDEX('Product Master'!$A$7:$A$1000,_xlfn.AGGREGATE(15,6,(ROW('Product Master'!$A$7:$A$1000)-ROW('Product Master'!$A$7)+1)/(('Product Master'!$A$7:$A$1000&lt;&gt;"")*('Product Master'!$P$7:$P$1000="Out of Stock")),ROWS($I$12:I189))),"")</f>
        <v/>
      </c>
      <c r="J189" t="str">
        <f>IF($I189="","",INDEX('Product Master'!$B$7:$B$1000,MATCH($I189,'Product Master'!$A$7:$A$1000,0)))</f>
        <v/>
      </c>
      <c r="K189" t="str">
        <f>IF($I189="","",INDEX('Product Master'!$C$7:$C$1000,MATCH($I189,'Product Master'!$A$7:$A$1000,0)))</f>
        <v/>
      </c>
      <c r="L189" t="str">
        <f>IF($I189="","",INDEX('Product Master'!$M$7:$M$1000,MATCH($I189,'Product Master'!$A$7:$A$1000,0)))</f>
        <v/>
      </c>
      <c r="M189" t="str">
        <f>IF($I189="","",INDEX('Product Master'!$N$7:$N$1000,MATCH($I189,'Product Master'!$A$7:$A$1000,0)))</f>
        <v/>
      </c>
    </row>
    <row r="190" spans="1:13" x14ac:dyDescent="0.3">
      <c r="A190" t="str">
        <f>IFERROR(INDEX('Product Master'!$A$7:$A$1000,_xlfn.AGGREGATE(15,6,(ROW('Product Master'!$A$7:$A$1000)-ROW('Product Master'!$A$7)+1)/(('Product Master'!$A$7:$A$1000&lt;&gt;"")*('Product Master'!$P$7:$P$1000="Low Stock")),ROWS($A$12:A190))),"")</f>
        <v/>
      </c>
      <c r="B190" t="str">
        <f>IF($A190="","",INDEX('Product Master'!$B$7:$B$1000,MATCH($A190,'Product Master'!$A$7:$A$1000,0)))</f>
        <v/>
      </c>
      <c r="C190" t="str">
        <f>IF($A190="","",INDEX('Product Master'!$C$7:$C$1000,MATCH($A190,'Product Master'!$A$7:$A$1000,0)))</f>
        <v/>
      </c>
      <c r="D190" t="str">
        <f>IF($A190="","",INDEX('Product Master'!$M$7:$M$1000,MATCH($A190,'Product Master'!$A$7:$A$1000,0)))</f>
        <v/>
      </c>
      <c r="E190" t="str">
        <f>IF($A190="","",INDEX('Product Master'!$N$7:$N$1000,MATCH($A190,'Product Master'!$A$7:$A$1000,0)))</f>
        <v/>
      </c>
      <c r="F190" t="str">
        <f>IF($A190="","",INDEX('Product Master'!$P$7:$P$1000,MATCH($A190,'Product Master'!$A$7:$A$1000,0)))</f>
        <v/>
      </c>
      <c r="I190" t="str">
        <f>IFERROR(INDEX('Product Master'!$A$7:$A$1000,_xlfn.AGGREGATE(15,6,(ROW('Product Master'!$A$7:$A$1000)-ROW('Product Master'!$A$7)+1)/(('Product Master'!$A$7:$A$1000&lt;&gt;"")*('Product Master'!$P$7:$P$1000="Out of Stock")),ROWS($I$12:I190))),"")</f>
        <v/>
      </c>
      <c r="J190" t="str">
        <f>IF($I190="","",INDEX('Product Master'!$B$7:$B$1000,MATCH($I190,'Product Master'!$A$7:$A$1000,0)))</f>
        <v/>
      </c>
      <c r="K190" t="str">
        <f>IF($I190="","",INDEX('Product Master'!$C$7:$C$1000,MATCH($I190,'Product Master'!$A$7:$A$1000,0)))</f>
        <v/>
      </c>
      <c r="L190" t="str">
        <f>IF($I190="","",INDEX('Product Master'!$M$7:$M$1000,MATCH($I190,'Product Master'!$A$7:$A$1000,0)))</f>
        <v/>
      </c>
      <c r="M190" t="str">
        <f>IF($I190="","",INDEX('Product Master'!$N$7:$N$1000,MATCH($I190,'Product Master'!$A$7:$A$1000,0)))</f>
        <v/>
      </c>
    </row>
    <row r="191" spans="1:13" x14ac:dyDescent="0.3">
      <c r="A191" t="str">
        <f>IFERROR(INDEX('Product Master'!$A$7:$A$1000,_xlfn.AGGREGATE(15,6,(ROW('Product Master'!$A$7:$A$1000)-ROW('Product Master'!$A$7)+1)/(('Product Master'!$A$7:$A$1000&lt;&gt;"")*('Product Master'!$P$7:$P$1000="Low Stock")),ROWS($A$12:A191))),"")</f>
        <v/>
      </c>
      <c r="B191" t="str">
        <f>IF($A191="","",INDEX('Product Master'!$B$7:$B$1000,MATCH($A191,'Product Master'!$A$7:$A$1000,0)))</f>
        <v/>
      </c>
      <c r="C191" t="str">
        <f>IF($A191="","",INDEX('Product Master'!$C$7:$C$1000,MATCH($A191,'Product Master'!$A$7:$A$1000,0)))</f>
        <v/>
      </c>
      <c r="D191" t="str">
        <f>IF($A191="","",INDEX('Product Master'!$M$7:$M$1000,MATCH($A191,'Product Master'!$A$7:$A$1000,0)))</f>
        <v/>
      </c>
      <c r="E191" t="str">
        <f>IF($A191="","",INDEX('Product Master'!$N$7:$N$1000,MATCH($A191,'Product Master'!$A$7:$A$1000,0)))</f>
        <v/>
      </c>
      <c r="F191" t="str">
        <f>IF($A191="","",INDEX('Product Master'!$P$7:$P$1000,MATCH($A191,'Product Master'!$A$7:$A$1000,0)))</f>
        <v/>
      </c>
      <c r="I191" t="str">
        <f>IFERROR(INDEX('Product Master'!$A$7:$A$1000,_xlfn.AGGREGATE(15,6,(ROW('Product Master'!$A$7:$A$1000)-ROW('Product Master'!$A$7)+1)/(('Product Master'!$A$7:$A$1000&lt;&gt;"")*('Product Master'!$P$7:$P$1000="Out of Stock")),ROWS($I$12:I191))),"")</f>
        <v/>
      </c>
      <c r="J191" t="str">
        <f>IF($I191="","",INDEX('Product Master'!$B$7:$B$1000,MATCH($I191,'Product Master'!$A$7:$A$1000,0)))</f>
        <v/>
      </c>
      <c r="K191" t="str">
        <f>IF($I191="","",INDEX('Product Master'!$C$7:$C$1000,MATCH($I191,'Product Master'!$A$7:$A$1000,0)))</f>
        <v/>
      </c>
      <c r="L191" t="str">
        <f>IF($I191="","",INDEX('Product Master'!$M$7:$M$1000,MATCH($I191,'Product Master'!$A$7:$A$1000,0)))</f>
        <v/>
      </c>
      <c r="M191" t="str">
        <f>IF($I191="","",INDEX('Product Master'!$N$7:$N$1000,MATCH($I191,'Product Master'!$A$7:$A$1000,0)))</f>
        <v/>
      </c>
    </row>
    <row r="192" spans="1:13" x14ac:dyDescent="0.3">
      <c r="A192" t="str">
        <f>IFERROR(INDEX('Product Master'!$A$7:$A$1000,_xlfn.AGGREGATE(15,6,(ROW('Product Master'!$A$7:$A$1000)-ROW('Product Master'!$A$7)+1)/(('Product Master'!$A$7:$A$1000&lt;&gt;"")*('Product Master'!$P$7:$P$1000="Low Stock")),ROWS($A$12:A192))),"")</f>
        <v/>
      </c>
      <c r="B192" t="str">
        <f>IF($A192="","",INDEX('Product Master'!$B$7:$B$1000,MATCH($A192,'Product Master'!$A$7:$A$1000,0)))</f>
        <v/>
      </c>
      <c r="C192" t="str">
        <f>IF($A192="","",INDEX('Product Master'!$C$7:$C$1000,MATCH($A192,'Product Master'!$A$7:$A$1000,0)))</f>
        <v/>
      </c>
      <c r="D192" t="str">
        <f>IF($A192="","",INDEX('Product Master'!$M$7:$M$1000,MATCH($A192,'Product Master'!$A$7:$A$1000,0)))</f>
        <v/>
      </c>
      <c r="E192" t="str">
        <f>IF($A192="","",INDEX('Product Master'!$N$7:$N$1000,MATCH($A192,'Product Master'!$A$7:$A$1000,0)))</f>
        <v/>
      </c>
      <c r="F192" t="str">
        <f>IF($A192="","",INDEX('Product Master'!$P$7:$P$1000,MATCH($A192,'Product Master'!$A$7:$A$1000,0)))</f>
        <v/>
      </c>
      <c r="I192" t="str">
        <f>IFERROR(INDEX('Product Master'!$A$7:$A$1000,_xlfn.AGGREGATE(15,6,(ROW('Product Master'!$A$7:$A$1000)-ROW('Product Master'!$A$7)+1)/(('Product Master'!$A$7:$A$1000&lt;&gt;"")*('Product Master'!$P$7:$P$1000="Out of Stock")),ROWS($I$12:I192))),"")</f>
        <v/>
      </c>
      <c r="J192" t="str">
        <f>IF($I192="","",INDEX('Product Master'!$B$7:$B$1000,MATCH($I192,'Product Master'!$A$7:$A$1000,0)))</f>
        <v/>
      </c>
      <c r="K192" t="str">
        <f>IF($I192="","",INDEX('Product Master'!$C$7:$C$1000,MATCH($I192,'Product Master'!$A$7:$A$1000,0)))</f>
        <v/>
      </c>
      <c r="L192" t="str">
        <f>IF($I192="","",INDEX('Product Master'!$M$7:$M$1000,MATCH($I192,'Product Master'!$A$7:$A$1000,0)))</f>
        <v/>
      </c>
      <c r="M192" t="str">
        <f>IF($I192="","",INDEX('Product Master'!$N$7:$N$1000,MATCH($I192,'Product Master'!$A$7:$A$1000,0)))</f>
        <v/>
      </c>
    </row>
    <row r="193" spans="1:13" x14ac:dyDescent="0.3">
      <c r="A193" t="str">
        <f>IFERROR(INDEX('Product Master'!$A$7:$A$1000,_xlfn.AGGREGATE(15,6,(ROW('Product Master'!$A$7:$A$1000)-ROW('Product Master'!$A$7)+1)/(('Product Master'!$A$7:$A$1000&lt;&gt;"")*('Product Master'!$P$7:$P$1000="Low Stock")),ROWS($A$12:A193))),"")</f>
        <v/>
      </c>
      <c r="B193" t="str">
        <f>IF($A193="","",INDEX('Product Master'!$B$7:$B$1000,MATCH($A193,'Product Master'!$A$7:$A$1000,0)))</f>
        <v/>
      </c>
      <c r="C193" t="str">
        <f>IF($A193="","",INDEX('Product Master'!$C$7:$C$1000,MATCH($A193,'Product Master'!$A$7:$A$1000,0)))</f>
        <v/>
      </c>
      <c r="D193" t="str">
        <f>IF($A193="","",INDEX('Product Master'!$M$7:$M$1000,MATCH($A193,'Product Master'!$A$7:$A$1000,0)))</f>
        <v/>
      </c>
      <c r="E193" t="str">
        <f>IF($A193="","",INDEX('Product Master'!$N$7:$N$1000,MATCH($A193,'Product Master'!$A$7:$A$1000,0)))</f>
        <v/>
      </c>
      <c r="F193" t="str">
        <f>IF($A193="","",INDEX('Product Master'!$P$7:$P$1000,MATCH($A193,'Product Master'!$A$7:$A$1000,0)))</f>
        <v/>
      </c>
      <c r="I193" t="str">
        <f>IFERROR(INDEX('Product Master'!$A$7:$A$1000,_xlfn.AGGREGATE(15,6,(ROW('Product Master'!$A$7:$A$1000)-ROW('Product Master'!$A$7)+1)/(('Product Master'!$A$7:$A$1000&lt;&gt;"")*('Product Master'!$P$7:$P$1000="Out of Stock")),ROWS($I$12:I193))),"")</f>
        <v/>
      </c>
      <c r="J193" t="str">
        <f>IF($I193="","",INDEX('Product Master'!$B$7:$B$1000,MATCH($I193,'Product Master'!$A$7:$A$1000,0)))</f>
        <v/>
      </c>
      <c r="K193" t="str">
        <f>IF($I193="","",INDEX('Product Master'!$C$7:$C$1000,MATCH($I193,'Product Master'!$A$7:$A$1000,0)))</f>
        <v/>
      </c>
      <c r="L193" t="str">
        <f>IF($I193="","",INDEX('Product Master'!$M$7:$M$1000,MATCH($I193,'Product Master'!$A$7:$A$1000,0)))</f>
        <v/>
      </c>
      <c r="M193" t="str">
        <f>IF($I193="","",INDEX('Product Master'!$N$7:$N$1000,MATCH($I193,'Product Master'!$A$7:$A$1000,0)))</f>
        <v/>
      </c>
    </row>
    <row r="194" spans="1:13" x14ac:dyDescent="0.3">
      <c r="A194" t="str">
        <f>IFERROR(INDEX('Product Master'!$A$7:$A$1000,_xlfn.AGGREGATE(15,6,(ROW('Product Master'!$A$7:$A$1000)-ROW('Product Master'!$A$7)+1)/(('Product Master'!$A$7:$A$1000&lt;&gt;"")*('Product Master'!$P$7:$P$1000="Low Stock")),ROWS($A$12:A194))),"")</f>
        <v/>
      </c>
      <c r="B194" t="str">
        <f>IF($A194="","",INDEX('Product Master'!$B$7:$B$1000,MATCH($A194,'Product Master'!$A$7:$A$1000,0)))</f>
        <v/>
      </c>
      <c r="C194" t="str">
        <f>IF($A194="","",INDEX('Product Master'!$C$7:$C$1000,MATCH($A194,'Product Master'!$A$7:$A$1000,0)))</f>
        <v/>
      </c>
      <c r="D194" t="str">
        <f>IF($A194="","",INDEX('Product Master'!$M$7:$M$1000,MATCH($A194,'Product Master'!$A$7:$A$1000,0)))</f>
        <v/>
      </c>
      <c r="E194" t="str">
        <f>IF($A194="","",INDEX('Product Master'!$N$7:$N$1000,MATCH($A194,'Product Master'!$A$7:$A$1000,0)))</f>
        <v/>
      </c>
      <c r="F194" t="str">
        <f>IF($A194="","",INDEX('Product Master'!$P$7:$P$1000,MATCH($A194,'Product Master'!$A$7:$A$1000,0)))</f>
        <v/>
      </c>
      <c r="I194" t="str">
        <f>IFERROR(INDEX('Product Master'!$A$7:$A$1000,_xlfn.AGGREGATE(15,6,(ROW('Product Master'!$A$7:$A$1000)-ROW('Product Master'!$A$7)+1)/(('Product Master'!$A$7:$A$1000&lt;&gt;"")*('Product Master'!$P$7:$P$1000="Out of Stock")),ROWS($I$12:I194))),"")</f>
        <v/>
      </c>
      <c r="J194" t="str">
        <f>IF($I194="","",INDEX('Product Master'!$B$7:$B$1000,MATCH($I194,'Product Master'!$A$7:$A$1000,0)))</f>
        <v/>
      </c>
      <c r="K194" t="str">
        <f>IF($I194="","",INDEX('Product Master'!$C$7:$C$1000,MATCH($I194,'Product Master'!$A$7:$A$1000,0)))</f>
        <v/>
      </c>
      <c r="L194" t="str">
        <f>IF($I194="","",INDEX('Product Master'!$M$7:$M$1000,MATCH($I194,'Product Master'!$A$7:$A$1000,0)))</f>
        <v/>
      </c>
      <c r="M194" t="str">
        <f>IF($I194="","",INDEX('Product Master'!$N$7:$N$1000,MATCH($I194,'Product Master'!$A$7:$A$1000,0)))</f>
        <v/>
      </c>
    </row>
    <row r="195" spans="1:13" x14ac:dyDescent="0.3">
      <c r="A195" t="str">
        <f>IFERROR(INDEX('Product Master'!$A$7:$A$1000,_xlfn.AGGREGATE(15,6,(ROW('Product Master'!$A$7:$A$1000)-ROW('Product Master'!$A$7)+1)/(('Product Master'!$A$7:$A$1000&lt;&gt;"")*('Product Master'!$P$7:$P$1000="Low Stock")),ROWS($A$12:A195))),"")</f>
        <v/>
      </c>
      <c r="B195" t="str">
        <f>IF($A195="","",INDEX('Product Master'!$B$7:$B$1000,MATCH($A195,'Product Master'!$A$7:$A$1000,0)))</f>
        <v/>
      </c>
      <c r="C195" t="str">
        <f>IF($A195="","",INDEX('Product Master'!$C$7:$C$1000,MATCH($A195,'Product Master'!$A$7:$A$1000,0)))</f>
        <v/>
      </c>
      <c r="D195" t="str">
        <f>IF($A195="","",INDEX('Product Master'!$M$7:$M$1000,MATCH($A195,'Product Master'!$A$7:$A$1000,0)))</f>
        <v/>
      </c>
      <c r="E195" t="str">
        <f>IF($A195="","",INDEX('Product Master'!$N$7:$N$1000,MATCH($A195,'Product Master'!$A$7:$A$1000,0)))</f>
        <v/>
      </c>
      <c r="F195" t="str">
        <f>IF($A195="","",INDEX('Product Master'!$P$7:$P$1000,MATCH($A195,'Product Master'!$A$7:$A$1000,0)))</f>
        <v/>
      </c>
      <c r="I195" t="str">
        <f>IFERROR(INDEX('Product Master'!$A$7:$A$1000,_xlfn.AGGREGATE(15,6,(ROW('Product Master'!$A$7:$A$1000)-ROW('Product Master'!$A$7)+1)/(('Product Master'!$A$7:$A$1000&lt;&gt;"")*('Product Master'!$P$7:$P$1000="Out of Stock")),ROWS($I$12:I195))),"")</f>
        <v/>
      </c>
      <c r="J195" t="str">
        <f>IF($I195="","",INDEX('Product Master'!$B$7:$B$1000,MATCH($I195,'Product Master'!$A$7:$A$1000,0)))</f>
        <v/>
      </c>
      <c r="K195" t="str">
        <f>IF($I195="","",INDEX('Product Master'!$C$7:$C$1000,MATCH($I195,'Product Master'!$A$7:$A$1000,0)))</f>
        <v/>
      </c>
      <c r="L195" t="str">
        <f>IF($I195="","",INDEX('Product Master'!$M$7:$M$1000,MATCH($I195,'Product Master'!$A$7:$A$1000,0)))</f>
        <v/>
      </c>
      <c r="M195" t="str">
        <f>IF($I195="","",INDEX('Product Master'!$N$7:$N$1000,MATCH($I195,'Product Master'!$A$7:$A$1000,0)))</f>
        <v/>
      </c>
    </row>
    <row r="196" spans="1:13" x14ac:dyDescent="0.3">
      <c r="A196" t="str">
        <f>IFERROR(INDEX('Product Master'!$A$7:$A$1000,_xlfn.AGGREGATE(15,6,(ROW('Product Master'!$A$7:$A$1000)-ROW('Product Master'!$A$7)+1)/(('Product Master'!$A$7:$A$1000&lt;&gt;"")*('Product Master'!$P$7:$P$1000="Low Stock")),ROWS($A$12:A196))),"")</f>
        <v/>
      </c>
      <c r="B196" t="str">
        <f>IF($A196="","",INDEX('Product Master'!$B$7:$B$1000,MATCH($A196,'Product Master'!$A$7:$A$1000,0)))</f>
        <v/>
      </c>
      <c r="C196" t="str">
        <f>IF($A196="","",INDEX('Product Master'!$C$7:$C$1000,MATCH($A196,'Product Master'!$A$7:$A$1000,0)))</f>
        <v/>
      </c>
      <c r="D196" t="str">
        <f>IF($A196="","",INDEX('Product Master'!$M$7:$M$1000,MATCH($A196,'Product Master'!$A$7:$A$1000,0)))</f>
        <v/>
      </c>
      <c r="E196" t="str">
        <f>IF($A196="","",INDEX('Product Master'!$N$7:$N$1000,MATCH($A196,'Product Master'!$A$7:$A$1000,0)))</f>
        <v/>
      </c>
      <c r="F196" t="str">
        <f>IF($A196="","",INDEX('Product Master'!$P$7:$P$1000,MATCH($A196,'Product Master'!$A$7:$A$1000,0)))</f>
        <v/>
      </c>
      <c r="I196" t="str">
        <f>IFERROR(INDEX('Product Master'!$A$7:$A$1000,_xlfn.AGGREGATE(15,6,(ROW('Product Master'!$A$7:$A$1000)-ROW('Product Master'!$A$7)+1)/(('Product Master'!$A$7:$A$1000&lt;&gt;"")*('Product Master'!$P$7:$P$1000="Out of Stock")),ROWS($I$12:I196))),"")</f>
        <v/>
      </c>
      <c r="J196" t="str">
        <f>IF($I196="","",INDEX('Product Master'!$B$7:$B$1000,MATCH($I196,'Product Master'!$A$7:$A$1000,0)))</f>
        <v/>
      </c>
      <c r="K196" t="str">
        <f>IF($I196="","",INDEX('Product Master'!$C$7:$C$1000,MATCH($I196,'Product Master'!$A$7:$A$1000,0)))</f>
        <v/>
      </c>
      <c r="L196" t="str">
        <f>IF($I196="","",INDEX('Product Master'!$M$7:$M$1000,MATCH($I196,'Product Master'!$A$7:$A$1000,0)))</f>
        <v/>
      </c>
      <c r="M196" t="str">
        <f>IF($I196="","",INDEX('Product Master'!$N$7:$N$1000,MATCH($I196,'Product Master'!$A$7:$A$1000,0)))</f>
        <v/>
      </c>
    </row>
    <row r="197" spans="1:13" x14ac:dyDescent="0.3">
      <c r="A197" t="str">
        <f>IFERROR(INDEX('Product Master'!$A$7:$A$1000,_xlfn.AGGREGATE(15,6,(ROW('Product Master'!$A$7:$A$1000)-ROW('Product Master'!$A$7)+1)/(('Product Master'!$A$7:$A$1000&lt;&gt;"")*('Product Master'!$P$7:$P$1000="Low Stock")),ROWS($A$12:A197))),"")</f>
        <v/>
      </c>
      <c r="B197" t="str">
        <f>IF($A197="","",INDEX('Product Master'!$B$7:$B$1000,MATCH($A197,'Product Master'!$A$7:$A$1000,0)))</f>
        <v/>
      </c>
      <c r="C197" t="str">
        <f>IF($A197="","",INDEX('Product Master'!$C$7:$C$1000,MATCH($A197,'Product Master'!$A$7:$A$1000,0)))</f>
        <v/>
      </c>
      <c r="D197" t="str">
        <f>IF($A197="","",INDEX('Product Master'!$M$7:$M$1000,MATCH($A197,'Product Master'!$A$7:$A$1000,0)))</f>
        <v/>
      </c>
      <c r="E197" t="str">
        <f>IF($A197="","",INDEX('Product Master'!$N$7:$N$1000,MATCH($A197,'Product Master'!$A$7:$A$1000,0)))</f>
        <v/>
      </c>
      <c r="F197" t="str">
        <f>IF($A197="","",INDEX('Product Master'!$P$7:$P$1000,MATCH($A197,'Product Master'!$A$7:$A$1000,0)))</f>
        <v/>
      </c>
      <c r="I197" t="str">
        <f>IFERROR(INDEX('Product Master'!$A$7:$A$1000,_xlfn.AGGREGATE(15,6,(ROW('Product Master'!$A$7:$A$1000)-ROW('Product Master'!$A$7)+1)/(('Product Master'!$A$7:$A$1000&lt;&gt;"")*('Product Master'!$P$7:$P$1000="Out of Stock")),ROWS($I$12:I197))),"")</f>
        <v/>
      </c>
      <c r="J197" t="str">
        <f>IF($I197="","",INDEX('Product Master'!$B$7:$B$1000,MATCH($I197,'Product Master'!$A$7:$A$1000,0)))</f>
        <v/>
      </c>
      <c r="K197" t="str">
        <f>IF($I197="","",INDEX('Product Master'!$C$7:$C$1000,MATCH($I197,'Product Master'!$A$7:$A$1000,0)))</f>
        <v/>
      </c>
      <c r="L197" t="str">
        <f>IF($I197="","",INDEX('Product Master'!$M$7:$M$1000,MATCH($I197,'Product Master'!$A$7:$A$1000,0)))</f>
        <v/>
      </c>
      <c r="M197" t="str">
        <f>IF($I197="","",INDEX('Product Master'!$N$7:$N$1000,MATCH($I197,'Product Master'!$A$7:$A$1000,0)))</f>
        <v/>
      </c>
    </row>
    <row r="198" spans="1:13" x14ac:dyDescent="0.3">
      <c r="A198" t="str">
        <f>IFERROR(INDEX('Product Master'!$A$7:$A$1000,_xlfn.AGGREGATE(15,6,(ROW('Product Master'!$A$7:$A$1000)-ROW('Product Master'!$A$7)+1)/(('Product Master'!$A$7:$A$1000&lt;&gt;"")*('Product Master'!$P$7:$P$1000="Low Stock")),ROWS($A$12:A198))),"")</f>
        <v/>
      </c>
      <c r="B198" t="str">
        <f>IF($A198="","",INDEX('Product Master'!$B$7:$B$1000,MATCH($A198,'Product Master'!$A$7:$A$1000,0)))</f>
        <v/>
      </c>
      <c r="C198" t="str">
        <f>IF($A198="","",INDEX('Product Master'!$C$7:$C$1000,MATCH($A198,'Product Master'!$A$7:$A$1000,0)))</f>
        <v/>
      </c>
      <c r="D198" t="str">
        <f>IF($A198="","",INDEX('Product Master'!$M$7:$M$1000,MATCH($A198,'Product Master'!$A$7:$A$1000,0)))</f>
        <v/>
      </c>
      <c r="E198" t="str">
        <f>IF($A198="","",INDEX('Product Master'!$N$7:$N$1000,MATCH($A198,'Product Master'!$A$7:$A$1000,0)))</f>
        <v/>
      </c>
      <c r="F198" t="str">
        <f>IF($A198="","",INDEX('Product Master'!$P$7:$P$1000,MATCH($A198,'Product Master'!$A$7:$A$1000,0)))</f>
        <v/>
      </c>
      <c r="I198" t="str">
        <f>IFERROR(INDEX('Product Master'!$A$7:$A$1000,_xlfn.AGGREGATE(15,6,(ROW('Product Master'!$A$7:$A$1000)-ROW('Product Master'!$A$7)+1)/(('Product Master'!$A$7:$A$1000&lt;&gt;"")*('Product Master'!$P$7:$P$1000="Out of Stock")),ROWS($I$12:I198))),"")</f>
        <v/>
      </c>
      <c r="J198" t="str">
        <f>IF($I198="","",INDEX('Product Master'!$B$7:$B$1000,MATCH($I198,'Product Master'!$A$7:$A$1000,0)))</f>
        <v/>
      </c>
      <c r="K198" t="str">
        <f>IF($I198="","",INDEX('Product Master'!$C$7:$C$1000,MATCH($I198,'Product Master'!$A$7:$A$1000,0)))</f>
        <v/>
      </c>
      <c r="L198" t="str">
        <f>IF($I198="","",INDEX('Product Master'!$M$7:$M$1000,MATCH($I198,'Product Master'!$A$7:$A$1000,0)))</f>
        <v/>
      </c>
      <c r="M198" t="str">
        <f>IF($I198="","",INDEX('Product Master'!$N$7:$N$1000,MATCH($I198,'Product Master'!$A$7:$A$1000,0)))</f>
        <v/>
      </c>
    </row>
    <row r="199" spans="1:13" x14ac:dyDescent="0.3">
      <c r="A199" t="str">
        <f>IFERROR(INDEX('Product Master'!$A$7:$A$1000,_xlfn.AGGREGATE(15,6,(ROW('Product Master'!$A$7:$A$1000)-ROW('Product Master'!$A$7)+1)/(('Product Master'!$A$7:$A$1000&lt;&gt;"")*('Product Master'!$P$7:$P$1000="Low Stock")),ROWS($A$12:A199))),"")</f>
        <v/>
      </c>
      <c r="B199" t="str">
        <f>IF($A199="","",INDEX('Product Master'!$B$7:$B$1000,MATCH($A199,'Product Master'!$A$7:$A$1000,0)))</f>
        <v/>
      </c>
      <c r="C199" t="str">
        <f>IF($A199="","",INDEX('Product Master'!$C$7:$C$1000,MATCH($A199,'Product Master'!$A$7:$A$1000,0)))</f>
        <v/>
      </c>
      <c r="D199" t="str">
        <f>IF($A199="","",INDEX('Product Master'!$M$7:$M$1000,MATCH($A199,'Product Master'!$A$7:$A$1000,0)))</f>
        <v/>
      </c>
      <c r="E199" t="str">
        <f>IF($A199="","",INDEX('Product Master'!$N$7:$N$1000,MATCH($A199,'Product Master'!$A$7:$A$1000,0)))</f>
        <v/>
      </c>
      <c r="F199" t="str">
        <f>IF($A199="","",INDEX('Product Master'!$P$7:$P$1000,MATCH($A199,'Product Master'!$A$7:$A$1000,0)))</f>
        <v/>
      </c>
      <c r="I199" t="str">
        <f>IFERROR(INDEX('Product Master'!$A$7:$A$1000,_xlfn.AGGREGATE(15,6,(ROW('Product Master'!$A$7:$A$1000)-ROW('Product Master'!$A$7)+1)/(('Product Master'!$A$7:$A$1000&lt;&gt;"")*('Product Master'!$P$7:$P$1000="Out of Stock")),ROWS($I$12:I199))),"")</f>
        <v/>
      </c>
      <c r="J199" t="str">
        <f>IF($I199="","",INDEX('Product Master'!$B$7:$B$1000,MATCH($I199,'Product Master'!$A$7:$A$1000,0)))</f>
        <v/>
      </c>
      <c r="K199" t="str">
        <f>IF($I199="","",INDEX('Product Master'!$C$7:$C$1000,MATCH($I199,'Product Master'!$A$7:$A$1000,0)))</f>
        <v/>
      </c>
      <c r="L199" t="str">
        <f>IF($I199="","",INDEX('Product Master'!$M$7:$M$1000,MATCH($I199,'Product Master'!$A$7:$A$1000,0)))</f>
        <v/>
      </c>
      <c r="M199" t="str">
        <f>IF($I199="","",INDEX('Product Master'!$N$7:$N$1000,MATCH($I199,'Product Master'!$A$7:$A$1000,0)))</f>
        <v/>
      </c>
    </row>
    <row r="200" spans="1:13" x14ac:dyDescent="0.3">
      <c r="A200" t="str">
        <f>IFERROR(INDEX('Product Master'!$A$7:$A$1000,_xlfn.AGGREGATE(15,6,(ROW('Product Master'!$A$7:$A$1000)-ROW('Product Master'!$A$7)+1)/(('Product Master'!$A$7:$A$1000&lt;&gt;"")*('Product Master'!$P$7:$P$1000="Low Stock")),ROWS($A$12:A200))),"")</f>
        <v/>
      </c>
      <c r="B200" t="str">
        <f>IF($A200="","",INDEX('Product Master'!$B$7:$B$1000,MATCH($A200,'Product Master'!$A$7:$A$1000,0)))</f>
        <v/>
      </c>
      <c r="C200" t="str">
        <f>IF($A200="","",INDEX('Product Master'!$C$7:$C$1000,MATCH($A200,'Product Master'!$A$7:$A$1000,0)))</f>
        <v/>
      </c>
      <c r="D200" t="str">
        <f>IF($A200="","",INDEX('Product Master'!$M$7:$M$1000,MATCH($A200,'Product Master'!$A$7:$A$1000,0)))</f>
        <v/>
      </c>
      <c r="E200" t="str">
        <f>IF($A200="","",INDEX('Product Master'!$N$7:$N$1000,MATCH($A200,'Product Master'!$A$7:$A$1000,0)))</f>
        <v/>
      </c>
      <c r="F200" t="str">
        <f>IF($A200="","",INDEX('Product Master'!$P$7:$P$1000,MATCH($A200,'Product Master'!$A$7:$A$1000,0)))</f>
        <v/>
      </c>
      <c r="I200" t="str">
        <f>IFERROR(INDEX('Product Master'!$A$7:$A$1000,_xlfn.AGGREGATE(15,6,(ROW('Product Master'!$A$7:$A$1000)-ROW('Product Master'!$A$7)+1)/(('Product Master'!$A$7:$A$1000&lt;&gt;"")*('Product Master'!$P$7:$P$1000="Out of Stock")),ROWS($I$12:I200))),"")</f>
        <v/>
      </c>
      <c r="J200" t="str">
        <f>IF($I200="","",INDEX('Product Master'!$B$7:$B$1000,MATCH($I200,'Product Master'!$A$7:$A$1000,0)))</f>
        <v/>
      </c>
      <c r="K200" t="str">
        <f>IF($I200="","",INDEX('Product Master'!$C$7:$C$1000,MATCH($I200,'Product Master'!$A$7:$A$1000,0)))</f>
        <v/>
      </c>
      <c r="L200" t="str">
        <f>IF($I200="","",INDEX('Product Master'!$M$7:$M$1000,MATCH($I200,'Product Master'!$A$7:$A$1000,0)))</f>
        <v/>
      </c>
      <c r="M200" t="str">
        <f>IF($I200="","",INDEX('Product Master'!$N$7:$N$1000,MATCH($I200,'Product Master'!$A$7:$A$1000,0)))</f>
        <v/>
      </c>
    </row>
    <row r="201" spans="1:13" x14ac:dyDescent="0.3">
      <c r="A201" t="str">
        <f>IFERROR(INDEX('Product Master'!$A$7:$A$1000,_xlfn.AGGREGATE(15,6,(ROW('Product Master'!$A$7:$A$1000)-ROW('Product Master'!$A$7)+1)/(('Product Master'!$A$7:$A$1000&lt;&gt;"")*('Product Master'!$P$7:$P$1000="Low Stock")),ROWS($A$12:A201))),"")</f>
        <v/>
      </c>
      <c r="B201" t="str">
        <f>IF($A201="","",INDEX('Product Master'!$B$7:$B$1000,MATCH($A201,'Product Master'!$A$7:$A$1000,0)))</f>
        <v/>
      </c>
      <c r="C201" t="str">
        <f>IF($A201="","",INDEX('Product Master'!$C$7:$C$1000,MATCH($A201,'Product Master'!$A$7:$A$1000,0)))</f>
        <v/>
      </c>
      <c r="D201" t="str">
        <f>IF($A201="","",INDEX('Product Master'!$M$7:$M$1000,MATCH($A201,'Product Master'!$A$7:$A$1000,0)))</f>
        <v/>
      </c>
      <c r="E201" t="str">
        <f>IF($A201="","",INDEX('Product Master'!$N$7:$N$1000,MATCH($A201,'Product Master'!$A$7:$A$1000,0)))</f>
        <v/>
      </c>
      <c r="F201" t="str">
        <f>IF($A201="","",INDEX('Product Master'!$P$7:$P$1000,MATCH($A201,'Product Master'!$A$7:$A$1000,0)))</f>
        <v/>
      </c>
      <c r="I201" t="str">
        <f>IFERROR(INDEX('Product Master'!$A$7:$A$1000,_xlfn.AGGREGATE(15,6,(ROW('Product Master'!$A$7:$A$1000)-ROW('Product Master'!$A$7)+1)/(('Product Master'!$A$7:$A$1000&lt;&gt;"")*('Product Master'!$P$7:$P$1000="Out of Stock")),ROWS($I$12:I201))),"")</f>
        <v/>
      </c>
      <c r="J201" t="str">
        <f>IF($I201="","",INDEX('Product Master'!$B$7:$B$1000,MATCH($I201,'Product Master'!$A$7:$A$1000,0)))</f>
        <v/>
      </c>
      <c r="K201" t="str">
        <f>IF($I201="","",INDEX('Product Master'!$C$7:$C$1000,MATCH($I201,'Product Master'!$A$7:$A$1000,0)))</f>
        <v/>
      </c>
      <c r="L201" t="str">
        <f>IF($I201="","",INDEX('Product Master'!$M$7:$M$1000,MATCH($I201,'Product Master'!$A$7:$A$1000,0)))</f>
        <v/>
      </c>
      <c r="M201" t="str">
        <f>IF($I201="","",INDEX('Product Master'!$N$7:$N$1000,MATCH($I201,'Product Master'!$A$7:$A$1000,0)))</f>
        <v/>
      </c>
    </row>
    <row r="202" spans="1:13" x14ac:dyDescent="0.3">
      <c r="A202" t="str">
        <f>IFERROR(INDEX('Product Master'!$A$7:$A$1000,_xlfn.AGGREGATE(15,6,(ROW('Product Master'!$A$7:$A$1000)-ROW('Product Master'!$A$7)+1)/(('Product Master'!$A$7:$A$1000&lt;&gt;"")*('Product Master'!$P$7:$P$1000="Low Stock")),ROWS($A$12:A202))),"")</f>
        <v/>
      </c>
      <c r="B202" t="str">
        <f>IF($A202="","",INDEX('Product Master'!$B$7:$B$1000,MATCH($A202,'Product Master'!$A$7:$A$1000,0)))</f>
        <v/>
      </c>
      <c r="C202" t="str">
        <f>IF($A202="","",INDEX('Product Master'!$C$7:$C$1000,MATCH($A202,'Product Master'!$A$7:$A$1000,0)))</f>
        <v/>
      </c>
      <c r="D202" t="str">
        <f>IF($A202="","",INDEX('Product Master'!$M$7:$M$1000,MATCH($A202,'Product Master'!$A$7:$A$1000,0)))</f>
        <v/>
      </c>
      <c r="E202" t="str">
        <f>IF($A202="","",INDEX('Product Master'!$N$7:$N$1000,MATCH($A202,'Product Master'!$A$7:$A$1000,0)))</f>
        <v/>
      </c>
      <c r="F202" t="str">
        <f>IF($A202="","",INDEX('Product Master'!$P$7:$P$1000,MATCH($A202,'Product Master'!$A$7:$A$1000,0)))</f>
        <v/>
      </c>
      <c r="I202" t="str">
        <f>IFERROR(INDEX('Product Master'!$A$7:$A$1000,_xlfn.AGGREGATE(15,6,(ROW('Product Master'!$A$7:$A$1000)-ROW('Product Master'!$A$7)+1)/(('Product Master'!$A$7:$A$1000&lt;&gt;"")*('Product Master'!$P$7:$P$1000="Out of Stock")),ROWS($I$12:I202))),"")</f>
        <v/>
      </c>
      <c r="J202" t="str">
        <f>IF($I202="","",INDEX('Product Master'!$B$7:$B$1000,MATCH($I202,'Product Master'!$A$7:$A$1000,0)))</f>
        <v/>
      </c>
      <c r="K202" t="str">
        <f>IF($I202="","",INDEX('Product Master'!$C$7:$C$1000,MATCH($I202,'Product Master'!$A$7:$A$1000,0)))</f>
        <v/>
      </c>
      <c r="L202" t="str">
        <f>IF($I202="","",INDEX('Product Master'!$M$7:$M$1000,MATCH($I202,'Product Master'!$A$7:$A$1000,0)))</f>
        <v/>
      </c>
      <c r="M202" t="str">
        <f>IF($I202="","",INDEX('Product Master'!$N$7:$N$1000,MATCH($I202,'Product Master'!$A$7:$A$1000,0)))</f>
        <v/>
      </c>
    </row>
    <row r="203" spans="1:13" x14ac:dyDescent="0.3">
      <c r="A203" t="str">
        <f>IFERROR(INDEX('Product Master'!$A$7:$A$1000,_xlfn.AGGREGATE(15,6,(ROW('Product Master'!$A$7:$A$1000)-ROW('Product Master'!$A$7)+1)/(('Product Master'!$A$7:$A$1000&lt;&gt;"")*('Product Master'!$P$7:$P$1000="Low Stock")),ROWS($A$12:A203))),"")</f>
        <v/>
      </c>
      <c r="B203" t="str">
        <f>IF($A203="","",INDEX('Product Master'!$B$7:$B$1000,MATCH($A203,'Product Master'!$A$7:$A$1000,0)))</f>
        <v/>
      </c>
      <c r="C203" t="str">
        <f>IF($A203="","",INDEX('Product Master'!$C$7:$C$1000,MATCH($A203,'Product Master'!$A$7:$A$1000,0)))</f>
        <v/>
      </c>
      <c r="D203" t="str">
        <f>IF($A203="","",INDEX('Product Master'!$M$7:$M$1000,MATCH($A203,'Product Master'!$A$7:$A$1000,0)))</f>
        <v/>
      </c>
      <c r="E203" t="str">
        <f>IF($A203="","",INDEX('Product Master'!$N$7:$N$1000,MATCH($A203,'Product Master'!$A$7:$A$1000,0)))</f>
        <v/>
      </c>
      <c r="F203" t="str">
        <f>IF($A203="","",INDEX('Product Master'!$P$7:$P$1000,MATCH($A203,'Product Master'!$A$7:$A$1000,0)))</f>
        <v/>
      </c>
      <c r="I203" t="str">
        <f>IFERROR(INDEX('Product Master'!$A$7:$A$1000,_xlfn.AGGREGATE(15,6,(ROW('Product Master'!$A$7:$A$1000)-ROW('Product Master'!$A$7)+1)/(('Product Master'!$A$7:$A$1000&lt;&gt;"")*('Product Master'!$P$7:$P$1000="Out of Stock")),ROWS($I$12:I203))),"")</f>
        <v/>
      </c>
      <c r="J203" t="str">
        <f>IF($I203="","",INDEX('Product Master'!$B$7:$B$1000,MATCH($I203,'Product Master'!$A$7:$A$1000,0)))</f>
        <v/>
      </c>
      <c r="K203" t="str">
        <f>IF($I203="","",INDEX('Product Master'!$C$7:$C$1000,MATCH($I203,'Product Master'!$A$7:$A$1000,0)))</f>
        <v/>
      </c>
      <c r="L203" t="str">
        <f>IF($I203="","",INDEX('Product Master'!$M$7:$M$1000,MATCH($I203,'Product Master'!$A$7:$A$1000,0)))</f>
        <v/>
      </c>
      <c r="M203" t="str">
        <f>IF($I203="","",INDEX('Product Master'!$N$7:$N$1000,MATCH($I203,'Product Master'!$A$7:$A$1000,0)))</f>
        <v/>
      </c>
    </row>
    <row r="204" spans="1:13" x14ac:dyDescent="0.3">
      <c r="A204" t="str">
        <f>IFERROR(INDEX('Product Master'!$A$7:$A$1000,_xlfn.AGGREGATE(15,6,(ROW('Product Master'!$A$7:$A$1000)-ROW('Product Master'!$A$7)+1)/(('Product Master'!$A$7:$A$1000&lt;&gt;"")*('Product Master'!$P$7:$P$1000="Low Stock")),ROWS($A$12:A204))),"")</f>
        <v/>
      </c>
      <c r="B204" t="str">
        <f>IF($A204="","",INDEX('Product Master'!$B$7:$B$1000,MATCH($A204,'Product Master'!$A$7:$A$1000,0)))</f>
        <v/>
      </c>
      <c r="C204" t="str">
        <f>IF($A204="","",INDEX('Product Master'!$C$7:$C$1000,MATCH($A204,'Product Master'!$A$7:$A$1000,0)))</f>
        <v/>
      </c>
      <c r="D204" t="str">
        <f>IF($A204="","",INDEX('Product Master'!$M$7:$M$1000,MATCH($A204,'Product Master'!$A$7:$A$1000,0)))</f>
        <v/>
      </c>
      <c r="E204" t="str">
        <f>IF($A204="","",INDEX('Product Master'!$N$7:$N$1000,MATCH($A204,'Product Master'!$A$7:$A$1000,0)))</f>
        <v/>
      </c>
      <c r="F204" t="str">
        <f>IF($A204="","",INDEX('Product Master'!$P$7:$P$1000,MATCH($A204,'Product Master'!$A$7:$A$1000,0)))</f>
        <v/>
      </c>
      <c r="I204" t="str">
        <f>IFERROR(INDEX('Product Master'!$A$7:$A$1000,_xlfn.AGGREGATE(15,6,(ROW('Product Master'!$A$7:$A$1000)-ROW('Product Master'!$A$7)+1)/(('Product Master'!$A$7:$A$1000&lt;&gt;"")*('Product Master'!$P$7:$P$1000="Out of Stock")),ROWS($I$12:I204))),"")</f>
        <v/>
      </c>
      <c r="J204" t="str">
        <f>IF($I204="","",INDEX('Product Master'!$B$7:$B$1000,MATCH($I204,'Product Master'!$A$7:$A$1000,0)))</f>
        <v/>
      </c>
      <c r="K204" t="str">
        <f>IF($I204="","",INDEX('Product Master'!$C$7:$C$1000,MATCH($I204,'Product Master'!$A$7:$A$1000,0)))</f>
        <v/>
      </c>
      <c r="L204" t="str">
        <f>IF($I204="","",INDEX('Product Master'!$M$7:$M$1000,MATCH($I204,'Product Master'!$A$7:$A$1000,0)))</f>
        <v/>
      </c>
      <c r="M204" t="str">
        <f>IF($I204="","",INDEX('Product Master'!$N$7:$N$1000,MATCH($I204,'Product Master'!$A$7:$A$1000,0)))</f>
        <v/>
      </c>
    </row>
    <row r="205" spans="1:13" x14ac:dyDescent="0.3">
      <c r="A205" t="str">
        <f>IFERROR(INDEX('Product Master'!$A$7:$A$1000,_xlfn.AGGREGATE(15,6,(ROW('Product Master'!$A$7:$A$1000)-ROW('Product Master'!$A$7)+1)/(('Product Master'!$A$7:$A$1000&lt;&gt;"")*('Product Master'!$P$7:$P$1000="Low Stock")),ROWS($A$12:A205))),"")</f>
        <v/>
      </c>
      <c r="B205" t="str">
        <f>IF($A205="","",INDEX('Product Master'!$B$7:$B$1000,MATCH($A205,'Product Master'!$A$7:$A$1000,0)))</f>
        <v/>
      </c>
      <c r="C205" t="str">
        <f>IF($A205="","",INDEX('Product Master'!$C$7:$C$1000,MATCH($A205,'Product Master'!$A$7:$A$1000,0)))</f>
        <v/>
      </c>
      <c r="D205" t="str">
        <f>IF($A205="","",INDEX('Product Master'!$M$7:$M$1000,MATCH($A205,'Product Master'!$A$7:$A$1000,0)))</f>
        <v/>
      </c>
      <c r="E205" t="str">
        <f>IF($A205="","",INDEX('Product Master'!$N$7:$N$1000,MATCH($A205,'Product Master'!$A$7:$A$1000,0)))</f>
        <v/>
      </c>
      <c r="F205" t="str">
        <f>IF($A205="","",INDEX('Product Master'!$P$7:$P$1000,MATCH($A205,'Product Master'!$A$7:$A$1000,0)))</f>
        <v/>
      </c>
      <c r="I205" t="str">
        <f>IFERROR(INDEX('Product Master'!$A$7:$A$1000,_xlfn.AGGREGATE(15,6,(ROW('Product Master'!$A$7:$A$1000)-ROW('Product Master'!$A$7)+1)/(('Product Master'!$A$7:$A$1000&lt;&gt;"")*('Product Master'!$P$7:$P$1000="Out of Stock")),ROWS($I$12:I205))),"")</f>
        <v/>
      </c>
      <c r="J205" t="str">
        <f>IF($I205="","",INDEX('Product Master'!$B$7:$B$1000,MATCH($I205,'Product Master'!$A$7:$A$1000,0)))</f>
        <v/>
      </c>
      <c r="K205" t="str">
        <f>IF($I205="","",INDEX('Product Master'!$C$7:$C$1000,MATCH($I205,'Product Master'!$A$7:$A$1000,0)))</f>
        <v/>
      </c>
      <c r="L205" t="str">
        <f>IF($I205="","",INDEX('Product Master'!$M$7:$M$1000,MATCH($I205,'Product Master'!$A$7:$A$1000,0)))</f>
        <v/>
      </c>
      <c r="M205" t="str">
        <f>IF($I205="","",INDEX('Product Master'!$N$7:$N$1000,MATCH($I205,'Product Master'!$A$7:$A$1000,0)))</f>
        <v/>
      </c>
    </row>
    <row r="206" spans="1:13" x14ac:dyDescent="0.3">
      <c r="A206" t="str">
        <f>IFERROR(INDEX('Product Master'!$A$7:$A$1000,_xlfn.AGGREGATE(15,6,(ROW('Product Master'!$A$7:$A$1000)-ROW('Product Master'!$A$7)+1)/(('Product Master'!$A$7:$A$1000&lt;&gt;"")*('Product Master'!$P$7:$P$1000="Low Stock")),ROWS($A$12:A206))),"")</f>
        <v/>
      </c>
      <c r="B206" t="str">
        <f>IF($A206="","",INDEX('Product Master'!$B$7:$B$1000,MATCH($A206,'Product Master'!$A$7:$A$1000,0)))</f>
        <v/>
      </c>
      <c r="C206" t="str">
        <f>IF($A206="","",INDEX('Product Master'!$C$7:$C$1000,MATCH($A206,'Product Master'!$A$7:$A$1000,0)))</f>
        <v/>
      </c>
      <c r="D206" t="str">
        <f>IF($A206="","",INDEX('Product Master'!$M$7:$M$1000,MATCH($A206,'Product Master'!$A$7:$A$1000,0)))</f>
        <v/>
      </c>
      <c r="E206" t="str">
        <f>IF($A206="","",INDEX('Product Master'!$N$7:$N$1000,MATCH($A206,'Product Master'!$A$7:$A$1000,0)))</f>
        <v/>
      </c>
      <c r="F206" t="str">
        <f>IF($A206="","",INDEX('Product Master'!$P$7:$P$1000,MATCH($A206,'Product Master'!$A$7:$A$1000,0)))</f>
        <v/>
      </c>
      <c r="I206" t="str">
        <f>IFERROR(INDEX('Product Master'!$A$7:$A$1000,_xlfn.AGGREGATE(15,6,(ROW('Product Master'!$A$7:$A$1000)-ROW('Product Master'!$A$7)+1)/(('Product Master'!$A$7:$A$1000&lt;&gt;"")*('Product Master'!$P$7:$P$1000="Out of Stock")),ROWS($I$12:I206))),"")</f>
        <v/>
      </c>
      <c r="J206" t="str">
        <f>IF($I206="","",INDEX('Product Master'!$B$7:$B$1000,MATCH($I206,'Product Master'!$A$7:$A$1000,0)))</f>
        <v/>
      </c>
      <c r="K206" t="str">
        <f>IF($I206="","",INDEX('Product Master'!$C$7:$C$1000,MATCH($I206,'Product Master'!$A$7:$A$1000,0)))</f>
        <v/>
      </c>
      <c r="L206" t="str">
        <f>IF($I206="","",INDEX('Product Master'!$M$7:$M$1000,MATCH($I206,'Product Master'!$A$7:$A$1000,0)))</f>
        <v/>
      </c>
      <c r="M206" t="str">
        <f>IF($I206="","",INDEX('Product Master'!$N$7:$N$1000,MATCH($I206,'Product Master'!$A$7:$A$1000,0)))</f>
        <v/>
      </c>
    </row>
    <row r="207" spans="1:13" x14ac:dyDescent="0.3">
      <c r="A207" t="str">
        <f>IFERROR(INDEX('Product Master'!$A$7:$A$1000,_xlfn.AGGREGATE(15,6,(ROW('Product Master'!$A$7:$A$1000)-ROW('Product Master'!$A$7)+1)/(('Product Master'!$A$7:$A$1000&lt;&gt;"")*('Product Master'!$P$7:$P$1000="Low Stock")),ROWS($A$12:A207))),"")</f>
        <v/>
      </c>
      <c r="B207" t="str">
        <f>IF($A207="","",INDEX('Product Master'!$B$7:$B$1000,MATCH($A207,'Product Master'!$A$7:$A$1000,0)))</f>
        <v/>
      </c>
      <c r="C207" t="str">
        <f>IF($A207="","",INDEX('Product Master'!$C$7:$C$1000,MATCH($A207,'Product Master'!$A$7:$A$1000,0)))</f>
        <v/>
      </c>
      <c r="D207" t="str">
        <f>IF($A207="","",INDEX('Product Master'!$M$7:$M$1000,MATCH($A207,'Product Master'!$A$7:$A$1000,0)))</f>
        <v/>
      </c>
      <c r="E207" t="str">
        <f>IF($A207="","",INDEX('Product Master'!$N$7:$N$1000,MATCH($A207,'Product Master'!$A$7:$A$1000,0)))</f>
        <v/>
      </c>
      <c r="F207" t="str">
        <f>IF($A207="","",INDEX('Product Master'!$P$7:$P$1000,MATCH($A207,'Product Master'!$A$7:$A$1000,0)))</f>
        <v/>
      </c>
      <c r="I207" t="str">
        <f>IFERROR(INDEX('Product Master'!$A$7:$A$1000,_xlfn.AGGREGATE(15,6,(ROW('Product Master'!$A$7:$A$1000)-ROW('Product Master'!$A$7)+1)/(('Product Master'!$A$7:$A$1000&lt;&gt;"")*('Product Master'!$P$7:$P$1000="Out of Stock")),ROWS($I$12:I207))),"")</f>
        <v/>
      </c>
      <c r="J207" t="str">
        <f>IF($I207="","",INDEX('Product Master'!$B$7:$B$1000,MATCH($I207,'Product Master'!$A$7:$A$1000,0)))</f>
        <v/>
      </c>
      <c r="K207" t="str">
        <f>IF($I207="","",INDEX('Product Master'!$C$7:$C$1000,MATCH($I207,'Product Master'!$A$7:$A$1000,0)))</f>
        <v/>
      </c>
      <c r="L207" t="str">
        <f>IF($I207="","",INDEX('Product Master'!$M$7:$M$1000,MATCH($I207,'Product Master'!$A$7:$A$1000,0)))</f>
        <v/>
      </c>
      <c r="M207" t="str">
        <f>IF($I207="","",INDEX('Product Master'!$N$7:$N$1000,MATCH($I207,'Product Master'!$A$7:$A$1000,0)))</f>
        <v/>
      </c>
    </row>
    <row r="208" spans="1:13" x14ac:dyDescent="0.3">
      <c r="A208" t="str">
        <f>IFERROR(INDEX('Product Master'!$A$7:$A$1000,_xlfn.AGGREGATE(15,6,(ROW('Product Master'!$A$7:$A$1000)-ROW('Product Master'!$A$7)+1)/(('Product Master'!$A$7:$A$1000&lt;&gt;"")*('Product Master'!$P$7:$P$1000="Low Stock")),ROWS($A$12:A208))),"")</f>
        <v/>
      </c>
      <c r="B208" t="str">
        <f>IF($A208="","",INDEX('Product Master'!$B$7:$B$1000,MATCH($A208,'Product Master'!$A$7:$A$1000,0)))</f>
        <v/>
      </c>
      <c r="C208" t="str">
        <f>IF($A208="","",INDEX('Product Master'!$C$7:$C$1000,MATCH($A208,'Product Master'!$A$7:$A$1000,0)))</f>
        <v/>
      </c>
      <c r="D208" t="str">
        <f>IF($A208="","",INDEX('Product Master'!$M$7:$M$1000,MATCH($A208,'Product Master'!$A$7:$A$1000,0)))</f>
        <v/>
      </c>
      <c r="E208" t="str">
        <f>IF($A208="","",INDEX('Product Master'!$N$7:$N$1000,MATCH($A208,'Product Master'!$A$7:$A$1000,0)))</f>
        <v/>
      </c>
      <c r="F208" t="str">
        <f>IF($A208="","",INDEX('Product Master'!$P$7:$P$1000,MATCH($A208,'Product Master'!$A$7:$A$1000,0)))</f>
        <v/>
      </c>
      <c r="I208" t="str">
        <f>IFERROR(INDEX('Product Master'!$A$7:$A$1000,_xlfn.AGGREGATE(15,6,(ROW('Product Master'!$A$7:$A$1000)-ROW('Product Master'!$A$7)+1)/(('Product Master'!$A$7:$A$1000&lt;&gt;"")*('Product Master'!$P$7:$P$1000="Out of Stock")),ROWS($I$12:I208))),"")</f>
        <v/>
      </c>
      <c r="J208" t="str">
        <f>IF($I208="","",INDEX('Product Master'!$B$7:$B$1000,MATCH($I208,'Product Master'!$A$7:$A$1000,0)))</f>
        <v/>
      </c>
      <c r="K208" t="str">
        <f>IF($I208="","",INDEX('Product Master'!$C$7:$C$1000,MATCH($I208,'Product Master'!$A$7:$A$1000,0)))</f>
        <v/>
      </c>
      <c r="L208" t="str">
        <f>IF($I208="","",INDEX('Product Master'!$M$7:$M$1000,MATCH($I208,'Product Master'!$A$7:$A$1000,0)))</f>
        <v/>
      </c>
      <c r="M208" t="str">
        <f>IF($I208="","",INDEX('Product Master'!$N$7:$N$1000,MATCH($I208,'Product Master'!$A$7:$A$1000,0)))</f>
        <v/>
      </c>
    </row>
    <row r="209" spans="1:13" x14ac:dyDescent="0.3">
      <c r="A209" t="str">
        <f>IFERROR(INDEX('Product Master'!$A$7:$A$1000,_xlfn.AGGREGATE(15,6,(ROW('Product Master'!$A$7:$A$1000)-ROW('Product Master'!$A$7)+1)/(('Product Master'!$A$7:$A$1000&lt;&gt;"")*('Product Master'!$P$7:$P$1000="Low Stock")),ROWS($A$12:A209))),"")</f>
        <v/>
      </c>
      <c r="B209" t="str">
        <f>IF($A209="","",INDEX('Product Master'!$B$7:$B$1000,MATCH($A209,'Product Master'!$A$7:$A$1000,0)))</f>
        <v/>
      </c>
      <c r="C209" t="str">
        <f>IF($A209="","",INDEX('Product Master'!$C$7:$C$1000,MATCH($A209,'Product Master'!$A$7:$A$1000,0)))</f>
        <v/>
      </c>
      <c r="D209" t="str">
        <f>IF($A209="","",INDEX('Product Master'!$M$7:$M$1000,MATCH($A209,'Product Master'!$A$7:$A$1000,0)))</f>
        <v/>
      </c>
      <c r="E209" t="str">
        <f>IF($A209="","",INDEX('Product Master'!$N$7:$N$1000,MATCH($A209,'Product Master'!$A$7:$A$1000,0)))</f>
        <v/>
      </c>
      <c r="F209" t="str">
        <f>IF($A209="","",INDEX('Product Master'!$P$7:$P$1000,MATCH($A209,'Product Master'!$A$7:$A$1000,0)))</f>
        <v/>
      </c>
      <c r="I209" t="str">
        <f>IFERROR(INDEX('Product Master'!$A$7:$A$1000,_xlfn.AGGREGATE(15,6,(ROW('Product Master'!$A$7:$A$1000)-ROW('Product Master'!$A$7)+1)/(('Product Master'!$A$7:$A$1000&lt;&gt;"")*('Product Master'!$P$7:$P$1000="Out of Stock")),ROWS($I$12:I209))),"")</f>
        <v/>
      </c>
      <c r="J209" t="str">
        <f>IF($I209="","",INDEX('Product Master'!$B$7:$B$1000,MATCH($I209,'Product Master'!$A$7:$A$1000,0)))</f>
        <v/>
      </c>
      <c r="K209" t="str">
        <f>IF($I209="","",INDEX('Product Master'!$C$7:$C$1000,MATCH($I209,'Product Master'!$A$7:$A$1000,0)))</f>
        <v/>
      </c>
      <c r="L209" t="str">
        <f>IF($I209="","",INDEX('Product Master'!$M$7:$M$1000,MATCH($I209,'Product Master'!$A$7:$A$1000,0)))</f>
        <v/>
      </c>
      <c r="M209" t="str">
        <f>IF($I209="","",INDEX('Product Master'!$N$7:$N$1000,MATCH($I209,'Product Master'!$A$7:$A$1000,0)))</f>
        <v/>
      </c>
    </row>
    <row r="210" spans="1:13" x14ac:dyDescent="0.3">
      <c r="A210" t="str">
        <f>IFERROR(INDEX('Product Master'!$A$7:$A$1000,_xlfn.AGGREGATE(15,6,(ROW('Product Master'!$A$7:$A$1000)-ROW('Product Master'!$A$7)+1)/(('Product Master'!$A$7:$A$1000&lt;&gt;"")*('Product Master'!$P$7:$P$1000="Low Stock")),ROWS($A$12:A210))),"")</f>
        <v/>
      </c>
      <c r="B210" t="str">
        <f>IF($A210="","",INDEX('Product Master'!$B$7:$B$1000,MATCH($A210,'Product Master'!$A$7:$A$1000,0)))</f>
        <v/>
      </c>
      <c r="C210" t="str">
        <f>IF($A210="","",INDEX('Product Master'!$C$7:$C$1000,MATCH($A210,'Product Master'!$A$7:$A$1000,0)))</f>
        <v/>
      </c>
      <c r="D210" t="str">
        <f>IF($A210="","",INDEX('Product Master'!$M$7:$M$1000,MATCH($A210,'Product Master'!$A$7:$A$1000,0)))</f>
        <v/>
      </c>
      <c r="E210" t="str">
        <f>IF($A210="","",INDEX('Product Master'!$N$7:$N$1000,MATCH($A210,'Product Master'!$A$7:$A$1000,0)))</f>
        <v/>
      </c>
      <c r="F210" t="str">
        <f>IF($A210="","",INDEX('Product Master'!$P$7:$P$1000,MATCH($A210,'Product Master'!$A$7:$A$1000,0)))</f>
        <v/>
      </c>
      <c r="I210" t="str">
        <f>IFERROR(INDEX('Product Master'!$A$7:$A$1000,_xlfn.AGGREGATE(15,6,(ROW('Product Master'!$A$7:$A$1000)-ROW('Product Master'!$A$7)+1)/(('Product Master'!$A$7:$A$1000&lt;&gt;"")*('Product Master'!$P$7:$P$1000="Out of Stock")),ROWS($I$12:I210))),"")</f>
        <v/>
      </c>
      <c r="J210" t="str">
        <f>IF($I210="","",INDEX('Product Master'!$B$7:$B$1000,MATCH($I210,'Product Master'!$A$7:$A$1000,0)))</f>
        <v/>
      </c>
      <c r="K210" t="str">
        <f>IF($I210="","",INDEX('Product Master'!$C$7:$C$1000,MATCH($I210,'Product Master'!$A$7:$A$1000,0)))</f>
        <v/>
      </c>
      <c r="L210" t="str">
        <f>IF($I210="","",INDEX('Product Master'!$M$7:$M$1000,MATCH($I210,'Product Master'!$A$7:$A$1000,0)))</f>
        <v/>
      </c>
      <c r="M210" t="str">
        <f>IF($I210="","",INDEX('Product Master'!$N$7:$N$1000,MATCH($I210,'Product Master'!$A$7:$A$1000,0)))</f>
        <v/>
      </c>
    </row>
    <row r="211" spans="1:13" x14ac:dyDescent="0.3">
      <c r="A211" t="str">
        <f>IFERROR(INDEX('Product Master'!$A$7:$A$1000,_xlfn.AGGREGATE(15,6,(ROW('Product Master'!$A$7:$A$1000)-ROW('Product Master'!$A$7)+1)/(('Product Master'!$A$7:$A$1000&lt;&gt;"")*('Product Master'!$P$7:$P$1000="Low Stock")),ROWS($A$12:A211))),"")</f>
        <v/>
      </c>
      <c r="B211" t="str">
        <f>IF($A211="","",INDEX('Product Master'!$B$7:$B$1000,MATCH($A211,'Product Master'!$A$7:$A$1000,0)))</f>
        <v/>
      </c>
      <c r="C211" t="str">
        <f>IF($A211="","",INDEX('Product Master'!$C$7:$C$1000,MATCH($A211,'Product Master'!$A$7:$A$1000,0)))</f>
        <v/>
      </c>
      <c r="D211" t="str">
        <f>IF($A211="","",INDEX('Product Master'!$M$7:$M$1000,MATCH($A211,'Product Master'!$A$7:$A$1000,0)))</f>
        <v/>
      </c>
      <c r="E211" t="str">
        <f>IF($A211="","",INDEX('Product Master'!$N$7:$N$1000,MATCH($A211,'Product Master'!$A$7:$A$1000,0)))</f>
        <v/>
      </c>
      <c r="F211" t="str">
        <f>IF($A211="","",INDEX('Product Master'!$P$7:$P$1000,MATCH($A211,'Product Master'!$A$7:$A$1000,0)))</f>
        <v/>
      </c>
      <c r="I211" t="str">
        <f>IFERROR(INDEX('Product Master'!$A$7:$A$1000,_xlfn.AGGREGATE(15,6,(ROW('Product Master'!$A$7:$A$1000)-ROW('Product Master'!$A$7)+1)/(('Product Master'!$A$7:$A$1000&lt;&gt;"")*('Product Master'!$P$7:$P$1000="Out of Stock")),ROWS($I$12:I211))),"")</f>
        <v/>
      </c>
      <c r="J211" t="str">
        <f>IF($I211="","",INDEX('Product Master'!$B$7:$B$1000,MATCH($I211,'Product Master'!$A$7:$A$1000,0)))</f>
        <v/>
      </c>
      <c r="K211" t="str">
        <f>IF($I211="","",INDEX('Product Master'!$C$7:$C$1000,MATCH($I211,'Product Master'!$A$7:$A$1000,0)))</f>
        <v/>
      </c>
      <c r="L211" t="str">
        <f>IF($I211="","",INDEX('Product Master'!$M$7:$M$1000,MATCH($I211,'Product Master'!$A$7:$A$1000,0)))</f>
        <v/>
      </c>
      <c r="M211" t="str">
        <f>IF($I211="","",INDEX('Product Master'!$N$7:$N$1000,MATCH($I211,'Product Master'!$A$7:$A$1000,0)))</f>
        <v/>
      </c>
    </row>
    <row r="212" spans="1:13" x14ac:dyDescent="0.3">
      <c r="A212" t="str">
        <f>IFERROR(INDEX('Product Master'!$A$7:$A$1000,_xlfn.AGGREGATE(15,6,(ROW('Product Master'!$A$7:$A$1000)-ROW('Product Master'!$A$7)+1)/(('Product Master'!$A$7:$A$1000&lt;&gt;"")*('Product Master'!$P$7:$P$1000="Low Stock")),ROWS($A$12:A212))),"")</f>
        <v/>
      </c>
      <c r="B212" t="str">
        <f>IF($A212="","",INDEX('Product Master'!$B$7:$B$1000,MATCH($A212,'Product Master'!$A$7:$A$1000,0)))</f>
        <v/>
      </c>
      <c r="C212" t="str">
        <f>IF($A212="","",INDEX('Product Master'!$C$7:$C$1000,MATCH($A212,'Product Master'!$A$7:$A$1000,0)))</f>
        <v/>
      </c>
      <c r="D212" t="str">
        <f>IF($A212="","",INDEX('Product Master'!$M$7:$M$1000,MATCH($A212,'Product Master'!$A$7:$A$1000,0)))</f>
        <v/>
      </c>
      <c r="E212" t="str">
        <f>IF($A212="","",INDEX('Product Master'!$N$7:$N$1000,MATCH($A212,'Product Master'!$A$7:$A$1000,0)))</f>
        <v/>
      </c>
      <c r="F212" t="str">
        <f>IF($A212="","",INDEX('Product Master'!$P$7:$P$1000,MATCH($A212,'Product Master'!$A$7:$A$1000,0)))</f>
        <v/>
      </c>
      <c r="I212" t="str">
        <f>IFERROR(INDEX('Product Master'!$A$7:$A$1000,_xlfn.AGGREGATE(15,6,(ROW('Product Master'!$A$7:$A$1000)-ROW('Product Master'!$A$7)+1)/(('Product Master'!$A$7:$A$1000&lt;&gt;"")*('Product Master'!$P$7:$P$1000="Out of Stock")),ROWS($I$12:I212))),"")</f>
        <v/>
      </c>
      <c r="J212" t="str">
        <f>IF($I212="","",INDEX('Product Master'!$B$7:$B$1000,MATCH($I212,'Product Master'!$A$7:$A$1000,0)))</f>
        <v/>
      </c>
      <c r="K212" t="str">
        <f>IF($I212="","",INDEX('Product Master'!$C$7:$C$1000,MATCH($I212,'Product Master'!$A$7:$A$1000,0)))</f>
        <v/>
      </c>
      <c r="L212" t="str">
        <f>IF($I212="","",INDEX('Product Master'!$M$7:$M$1000,MATCH($I212,'Product Master'!$A$7:$A$1000,0)))</f>
        <v/>
      </c>
      <c r="M212" t="str">
        <f>IF($I212="","",INDEX('Product Master'!$N$7:$N$1000,MATCH($I212,'Product Master'!$A$7:$A$1000,0)))</f>
        <v/>
      </c>
    </row>
    <row r="213" spans="1:13" x14ac:dyDescent="0.3">
      <c r="A213" t="str">
        <f>IFERROR(INDEX('Product Master'!$A$7:$A$1000,_xlfn.AGGREGATE(15,6,(ROW('Product Master'!$A$7:$A$1000)-ROW('Product Master'!$A$7)+1)/(('Product Master'!$A$7:$A$1000&lt;&gt;"")*('Product Master'!$P$7:$P$1000="Low Stock")),ROWS($A$12:A213))),"")</f>
        <v/>
      </c>
      <c r="B213" t="str">
        <f>IF($A213="","",INDEX('Product Master'!$B$7:$B$1000,MATCH($A213,'Product Master'!$A$7:$A$1000,0)))</f>
        <v/>
      </c>
      <c r="C213" t="str">
        <f>IF($A213="","",INDEX('Product Master'!$C$7:$C$1000,MATCH($A213,'Product Master'!$A$7:$A$1000,0)))</f>
        <v/>
      </c>
      <c r="D213" t="str">
        <f>IF($A213="","",INDEX('Product Master'!$M$7:$M$1000,MATCH($A213,'Product Master'!$A$7:$A$1000,0)))</f>
        <v/>
      </c>
      <c r="E213" t="str">
        <f>IF($A213="","",INDEX('Product Master'!$N$7:$N$1000,MATCH($A213,'Product Master'!$A$7:$A$1000,0)))</f>
        <v/>
      </c>
      <c r="F213" t="str">
        <f>IF($A213="","",INDEX('Product Master'!$P$7:$P$1000,MATCH($A213,'Product Master'!$A$7:$A$1000,0)))</f>
        <v/>
      </c>
      <c r="I213" t="str">
        <f>IFERROR(INDEX('Product Master'!$A$7:$A$1000,_xlfn.AGGREGATE(15,6,(ROW('Product Master'!$A$7:$A$1000)-ROW('Product Master'!$A$7)+1)/(('Product Master'!$A$7:$A$1000&lt;&gt;"")*('Product Master'!$P$7:$P$1000="Out of Stock")),ROWS($I$12:I213))),"")</f>
        <v/>
      </c>
      <c r="J213" t="str">
        <f>IF($I213="","",INDEX('Product Master'!$B$7:$B$1000,MATCH($I213,'Product Master'!$A$7:$A$1000,0)))</f>
        <v/>
      </c>
      <c r="K213" t="str">
        <f>IF($I213="","",INDEX('Product Master'!$C$7:$C$1000,MATCH($I213,'Product Master'!$A$7:$A$1000,0)))</f>
        <v/>
      </c>
      <c r="L213" t="str">
        <f>IF($I213="","",INDEX('Product Master'!$M$7:$M$1000,MATCH($I213,'Product Master'!$A$7:$A$1000,0)))</f>
        <v/>
      </c>
      <c r="M213" t="str">
        <f>IF($I213="","",INDEX('Product Master'!$N$7:$N$1000,MATCH($I213,'Product Master'!$A$7:$A$1000,0)))</f>
        <v/>
      </c>
    </row>
    <row r="214" spans="1:13" x14ac:dyDescent="0.3">
      <c r="A214" t="str">
        <f>IFERROR(INDEX('Product Master'!$A$7:$A$1000,_xlfn.AGGREGATE(15,6,(ROW('Product Master'!$A$7:$A$1000)-ROW('Product Master'!$A$7)+1)/(('Product Master'!$A$7:$A$1000&lt;&gt;"")*('Product Master'!$P$7:$P$1000="Low Stock")),ROWS($A$12:A214))),"")</f>
        <v/>
      </c>
      <c r="B214" t="str">
        <f>IF($A214="","",INDEX('Product Master'!$B$7:$B$1000,MATCH($A214,'Product Master'!$A$7:$A$1000,0)))</f>
        <v/>
      </c>
      <c r="C214" t="str">
        <f>IF($A214="","",INDEX('Product Master'!$C$7:$C$1000,MATCH($A214,'Product Master'!$A$7:$A$1000,0)))</f>
        <v/>
      </c>
      <c r="D214" t="str">
        <f>IF($A214="","",INDEX('Product Master'!$M$7:$M$1000,MATCH($A214,'Product Master'!$A$7:$A$1000,0)))</f>
        <v/>
      </c>
      <c r="E214" t="str">
        <f>IF($A214="","",INDEX('Product Master'!$N$7:$N$1000,MATCH($A214,'Product Master'!$A$7:$A$1000,0)))</f>
        <v/>
      </c>
      <c r="F214" t="str">
        <f>IF($A214="","",INDEX('Product Master'!$P$7:$P$1000,MATCH($A214,'Product Master'!$A$7:$A$1000,0)))</f>
        <v/>
      </c>
      <c r="I214" t="str">
        <f>IFERROR(INDEX('Product Master'!$A$7:$A$1000,_xlfn.AGGREGATE(15,6,(ROW('Product Master'!$A$7:$A$1000)-ROW('Product Master'!$A$7)+1)/(('Product Master'!$A$7:$A$1000&lt;&gt;"")*('Product Master'!$P$7:$P$1000="Out of Stock")),ROWS($I$12:I214))),"")</f>
        <v/>
      </c>
      <c r="J214" t="str">
        <f>IF($I214="","",INDEX('Product Master'!$B$7:$B$1000,MATCH($I214,'Product Master'!$A$7:$A$1000,0)))</f>
        <v/>
      </c>
      <c r="K214" t="str">
        <f>IF($I214="","",INDEX('Product Master'!$C$7:$C$1000,MATCH($I214,'Product Master'!$A$7:$A$1000,0)))</f>
        <v/>
      </c>
      <c r="L214" t="str">
        <f>IF($I214="","",INDEX('Product Master'!$M$7:$M$1000,MATCH($I214,'Product Master'!$A$7:$A$1000,0)))</f>
        <v/>
      </c>
      <c r="M214" t="str">
        <f>IF($I214="","",INDEX('Product Master'!$N$7:$N$1000,MATCH($I214,'Product Master'!$A$7:$A$1000,0)))</f>
        <v/>
      </c>
    </row>
    <row r="215" spans="1:13" x14ac:dyDescent="0.3">
      <c r="A215" t="str">
        <f>IFERROR(INDEX('Product Master'!$A$7:$A$1000,_xlfn.AGGREGATE(15,6,(ROW('Product Master'!$A$7:$A$1000)-ROW('Product Master'!$A$7)+1)/(('Product Master'!$A$7:$A$1000&lt;&gt;"")*('Product Master'!$P$7:$P$1000="Low Stock")),ROWS($A$12:A215))),"")</f>
        <v/>
      </c>
      <c r="B215" t="str">
        <f>IF($A215="","",INDEX('Product Master'!$B$7:$B$1000,MATCH($A215,'Product Master'!$A$7:$A$1000,0)))</f>
        <v/>
      </c>
      <c r="C215" t="str">
        <f>IF($A215="","",INDEX('Product Master'!$C$7:$C$1000,MATCH($A215,'Product Master'!$A$7:$A$1000,0)))</f>
        <v/>
      </c>
      <c r="D215" t="str">
        <f>IF($A215="","",INDEX('Product Master'!$M$7:$M$1000,MATCH($A215,'Product Master'!$A$7:$A$1000,0)))</f>
        <v/>
      </c>
      <c r="E215" t="str">
        <f>IF($A215="","",INDEX('Product Master'!$N$7:$N$1000,MATCH($A215,'Product Master'!$A$7:$A$1000,0)))</f>
        <v/>
      </c>
      <c r="F215" t="str">
        <f>IF($A215="","",INDEX('Product Master'!$P$7:$P$1000,MATCH($A215,'Product Master'!$A$7:$A$1000,0)))</f>
        <v/>
      </c>
      <c r="I215" t="str">
        <f>IFERROR(INDEX('Product Master'!$A$7:$A$1000,_xlfn.AGGREGATE(15,6,(ROW('Product Master'!$A$7:$A$1000)-ROW('Product Master'!$A$7)+1)/(('Product Master'!$A$7:$A$1000&lt;&gt;"")*('Product Master'!$P$7:$P$1000="Out of Stock")),ROWS($I$12:I215))),"")</f>
        <v/>
      </c>
      <c r="J215" t="str">
        <f>IF($I215="","",INDEX('Product Master'!$B$7:$B$1000,MATCH($I215,'Product Master'!$A$7:$A$1000,0)))</f>
        <v/>
      </c>
      <c r="K215" t="str">
        <f>IF($I215="","",INDEX('Product Master'!$C$7:$C$1000,MATCH($I215,'Product Master'!$A$7:$A$1000,0)))</f>
        <v/>
      </c>
      <c r="L215" t="str">
        <f>IF($I215="","",INDEX('Product Master'!$M$7:$M$1000,MATCH($I215,'Product Master'!$A$7:$A$1000,0)))</f>
        <v/>
      </c>
      <c r="M215" t="str">
        <f>IF($I215="","",INDEX('Product Master'!$N$7:$N$1000,MATCH($I215,'Product Master'!$A$7:$A$1000,0)))</f>
        <v/>
      </c>
    </row>
    <row r="216" spans="1:13" x14ac:dyDescent="0.3">
      <c r="A216" t="str">
        <f>IFERROR(INDEX('Product Master'!$A$7:$A$1000,_xlfn.AGGREGATE(15,6,(ROW('Product Master'!$A$7:$A$1000)-ROW('Product Master'!$A$7)+1)/(('Product Master'!$A$7:$A$1000&lt;&gt;"")*('Product Master'!$P$7:$P$1000="Low Stock")),ROWS($A$12:A216))),"")</f>
        <v/>
      </c>
      <c r="B216" t="str">
        <f>IF($A216="","",INDEX('Product Master'!$B$7:$B$1000,MATCH($A216,'Product Master'!$A$7:$A$1000,0)))</f>
        <v/>
      </c>
      <c r="C216" t="str">
        <f>IF($A216="","",INDEX('Product Master'!$C$7:$C$1000,MATCH($A216,'Product Master'!$A$7:$A$1000,0)))</f>
        <v/>
      </c>
      <c r="D216" t="str">
        <f>IF($A216="","",INDEX('Product Master'!$M$7:$M$1000,MATCH($A216,'Product Master'!$A$7:$A$1000,0)))</f>
        <v/>
      </c>
      <c r="E216" t="str">
        <f>IF($A216="","",INDEX('Product Master'!$N$7:$N$1000,MATCH($A216,'Product Master'!$A$7:$A$1000,0)))</f>
        <v/>
      </c>
      <c r="F216" t="str">
        <f>IF($A216="","",INDEX('Product Master'!$P$7:$P$1000,MATCH($A216,'Product Master'!$A$7:$A$1000,0)))</f>
        <v/>
      </c>
      <c r="I216" t="str">
        <f>IFERROR(INDEX('Product Master'!$A$7:$A$1000,_xlfn.AGGREGATE(15,6,(ROW('Product Master'!$A$7:$A$1000)-ROW('Product Master'!$A$7)+1)/(('Product Master'!$A$7:$A$1000&lt;&gt;"")*('Product Master'!$P$7:$P$1000="Out of Stock")),ROWS($I$12:I216))),"")</f>
        <v/>
      </c>
      <c r="J216" t="str">
        <f>IF($I216="","",INDEX('Product Master'!$B$7:$B$1000,MATCH($I216,'Product Master'!$A$7:$A$1000,0)))</f>
        <v/>
      </c>
      <c r="K216" t="str">
        <f>IF($I216="","",INDEX('Product Master'!$C$7:$C$1000,MATCH($I216,'Product Master'!$A$7:$A$1000,0)))</f>
        <v/>
      </c>
      <c r="L216" t="str">
        <f>IF($I216="","",INDEX('Product Master'!$M$7:$M$1000,MATCH($I216,'Product Master'!$A$7:$A$1000,0)))</f>
        <v/>
      </c>
      <c r="M216" t="str">
        <f>IF($I216="","",INDEX('Product Master'!$N$7:$N$1000,MATCH($I216,'Product Master'!$A$7:$A$1000,0)))</f>
        <v/>
      </c>
    </row>
    <row r="217" spans="1:13" x14ac:dyDescent="0.3">
      <c r="A217" t="str">
        <f>IFERROR(INDEX('Product Master'!$A$7:$A$1000,_xlfn.AGGREGATE(15,6,(ROW('Product Master'!$A$7:$A$1000)-ROW('Product Master'!$A$7)+1)/(('Product Master'!$A$7:$A$1000&lt;&gt;"")*('Product Master'!$P$7:$P$1000="Low Stock")),ROWS($A$12:A217))),"")</f>
        <v/>
      </c>
      <c r="B217" t="str">
        <f>IF($A217="","",INDEX('Product Master'!$B$7:$B$1000,MATCH($A217,'Product Master'!$A$7:$A$1000,0)))</f>
        <v/>
      </c>
      <c r="C217" t="str">
        <f>IF($A217="","",INDEX('Product Master'!$C$7:$C$1000,MATCH($A217,'Product Master'!$A$7:$A$1000,0)))</f>
        <v/>
      </c>
      <c r="D217" t="str">
        <f>IF($A217="","",INDEX('Product Master'!$M$7:$M$1000,MATCH($A217,'Product Master'!$A$7:$A$1000,0)))</f>
        <v/>
      </c>
      <c r="E217" t="str">
        <f>IF($A217="","",INDEX('Product Master'!$N$7:$N$1000,MATCH($A217,'Product Master'!$A$7:$A$1000,0)))</f>
        <v/>
      </c>
      <c r="F217" t="str">
        <f>IF($A217="","",INDEX('Product Master'!$P$7:$P$1000,MATCH($A217,'Product Master'!$A$7:$A$1000,0)))</f>
        <v/>
      </c>
      <c r="I217" t="str">
        <f>IFERROR(INDEX('Product Master'!$A$7:$A$1000,_xlfn.AGGREGATE(15,6,(ROW('Product Master'!$A$7:$A$1000)-ROW('Product Master'!$A$7)+1)/(('Product Master'!$A$7:$A$1000&lt;&gt;"")*('Product Master'!$P$7:$P$1000="Out of Stock")),ROWS($I$12:I217))),"")</f>
        <v/>
      </c>
      <c r="J217" t="str">
        <f>IF($I217="","",INDEX('Product Master'!$B$7:$B$1000,MATCH($I217,'Product Master'!$A$7:$A$1000,0)))</f>
        <v/>
      </c>
      <c r="K217" t="str">
        <f>IF($I217="","",INDEX('Product Master'!$C$7:$C$1000,MATCH($I217,'Product Master'!$A$7:$A$1000,0)))</f>
        <v/>
      </c>
      <c r="L217" t="str">
        <f>IF($I217="","",INDEX('Product Master'!$M$7:$M$1000,MATCH($I217,'Product Master'!$A$7:$A$1000,0)))</f>
        <v/>
      </c>
      <c r="M217" t="str">
        <f>IF($I217="","",INDEX('Product Master'!$N$7:$N$1000,MATCH($I217,'Product Master'!$A$7:$A$1000,0)))</f>
        <v/>
      </c>
    </row>
    <row r="218" spans="1:13" x14ac:dyDescent="0.3">
      <c r="A218" t="str">
        <f>IFERROR(INDEX('Product Master'!$A$7:$A$1000,_xlfn.AGGREGATE(15,6,(ROW('Product Master'!$A$7:$A$1000)-ROW('Product Master'!$A$7)+1)/(('Product Master'!$A$7:$A$1000&lt;&gt;"")*('Product Master'!$P$7:$P$1000="Low Stock")),ROWS($A$12:A218))),"")</f>
        <v/>
      </c>
      <c r="B218" t="str">
        <f>IF($A218="","",INDEX('Product Master'!$B$7:$B$1000,MATCH($A218,'Product Master'!$A$7:$A$1000,0)))</f>
        <v/>
      </c>
      <c r="C218" t="str">
        <f>IF($A218="","",INDEX('Product Master'!$C$7:$C$1000,MATCH($A218,'Product Master'!$A$7:$A$1000,0)))</f>
        <v/>
      </c>
      <c r="D218" t="str">
        <f>IF($A218="","",INDEX('Product Master'!$M$7:$M$1000,MATCH($A218,'Product Master'!$A$7:$A$1000,0)))</f>
        <v/>
      </c>
      <c r="E218" t="str">
        <f>IF($A218="","",INDEX('Product Master'!$N$7:$N$1000,MATCH($A218,'Product Master'!$A$7:$A$1000,0)))</f>
        <v/>
      </c>
      <c r="F218" t="str">
        <f>IF($A218="","",INDEX('Product Master'!$P$7:$P$1000,MATCH($A218,'Product Master'!$A$7:$A$1000,0)))</f>
        <v/>
      </c>
      <c r="I218" t="str">
        <f>IFERROR(INDEX('Product Master'!$A$7:$A$1000,_xlfn.AGGREGATE(15,6,(ROW('Product Master'!$A$7:$A$1000)-ROW('Product Master'!$A$7)+1)/(('Product Master'!$A$7:$A$1000&lt;&gt;"")*('Product Master'!$P$7:$P$1000="Out of Stock")),ROWS($I$12:I218))),"")</f>
        <v/>
      </c>
      <c r="J218" t="str">
        <f>IF($I218="","",INDEX('Product Master'!$B$7:$B$1000,MATCH($I218,'Product Master'!$A$7:$A$1000,0)))</f>
        <v/>
      </c>
      <c r="K218" t="str">
        <f>IF($I218="","",INDEX('Product Master'!$C$7:$C$1000,MATCH($I218,'Product Master'!$A$7:$A$1000,0)))</f>
        <v/>
      </c>
      <c r="L218" t="str">
        <f>IF($I218="","",INDEX('Product Master'!$M$7:$M$1000,MATCH($I218,'Product Master'!$A$7:$A$1000,0)))</f>
        <v/>
      </c>
      <c r="M218" t="str">
        <f>IF($I218="","",INDEX('Product Master'!$N$7:$N$1000,MATCH($I218,'Product Master'!$A$7:$A$1000,0)))</f>
        <v/>
      </c>
    </row>
    <row r="219" spans="1:13" x14ac:dyDescent="0.3">
      <c r="A219" t="str">
        <f>IFERROR(INDEX('Product Master'!$A$7:$A$1000,_xlfn.AGGREGATE(15,6,(ROW('Product Master'!$A$7:$A$1000)-ROW('Product Master'!$A$7)+1)/(('Product Master'!$A$7:$A$1000&lt;&gt;"")*('Product Master'!$P$7:$P$1000="Low Stock")),ROWS($A$12:A219))),"")</f>
        <v/>
      </c>
      <c r="B219" t="str">
        <f>IF($A219="","",INDEX('Product Master'!$B$7:$B$1000,MATCH($A219,'Product Master'!$A$7:$A$1000,0)))</f>
        <v/>
      </c>
      <c r="C219" t="str">
        <f>IF($A219="","",INDEX('Product Master'!$C$7:$C$1000,MATCH($A219,'Product Master'!$A$7:$A$1000,0)))</f>
        <v/>
      </c>
      <c r="D219" t="str">
        <f>IF($A219="","",INDEX('Product Master'!$M$7:$M$1000,MATCH($A219,'Product Master'!$A$7:$A$1000,0)))</f>
        <v/>
      </c>
      <c r="E219" t="str">
        <f>IF($A219="","",INDEX('Product Master'!$N$7:$N$1000,MATCH($A219,'Product Master'!$A$7:$A$1000,0)))</f>
        <v/>
      </c>
      <c r="F219" t="str">
        <f>IF($A219="","",INDEX('Product Master'!$P$7:$P$1000,MATCH($A219,'Product Master'!$A$7:$A$1000,0)))</f>
        <v/>
      </c>
      <c r="I219" t="str">
        <f>IFERROR(INDEX('Product Master'!$A$7:$A$1000,_xlfn.AGGREGATE(15,6,(ROW('Product Master'!$A$7:$A$1000)-ROW('Product Master'!$A$7)+1)/(('Product Master'!$A$7:$A$1000&lt;&gt;"")*('Product Master'!$P$7:$P$1000="Out of Stock")),ROWS($I$12:I219))),"")</f>
        <v/>
      </c>
      <c r="J219" t="str">
        <f>IF($I219="","",INDEX('Product Master'!$B$7:$B$1000,MATCH($I219,'Product Master'!$A$7:$A$1000,0)))</f>
        <v/>
      </c>
      <c r="K219" t="str">
        <f>IF($I219="","",INDEX('Product Master'!$C$7:$C$1000,MATCH($I219,'Product Master'!$A$7:$A$1000,0)))</f>
        <v/>
      </c>
      <c r="L219" t="str">
        <f>IF($I219="","",INDEX('Product Master'!$M$7:$M$1000,MATCH($I219,'Product Master'!$A$7:$A$1000,0)))</f>
        <v/>
      </c>
      <c r="M219" t="str">
        <f>IF($I219="","",INDEX('Product Master'!$N$7:$N$1000,MATCH($I219,'Product Master'!$A$7:$A$1000,0)))</f>
        <v/>
      </c>
    </row>
    <row r="220" spans="1:13" x14ac:dyDescent="0.3">
      <c r="A220" t="str">
        <f>IFERROR(INDEX('Product Master'!$A$7:$A$1000,_xlfn.AGGREGATE(15,6,(ROW('Product Master'!$A$7:$A$1000)-ROW('Product Master'!$A$7)+1)/(('Product Master'!$A$7:$A$1000&lt;&gt;"")*('Product Master'!$P$7:$P$1000="Low Stock")),ROWS($A$12:A220))),"")</f>
        <v/>
      </c>
      <c r="B220" t="str">
        <f>IF($A220="","",INDEX('Product Master'!$B$7:$B$1000,MATCH($A220,'Product Master'!$A$7:$A$1000,0)))</f>
        <v/>
      </c>
      <c r="C220" t="str">
        <f>IF($A220="","",INDEX('Product Master'!$C$7:$C$1000,MATCH($A220,'Product Master'!$A$7:$A$1000,0)))</f>
        <v/>
      </c>
      <c r="D220" t="str">
        <f>IF($A220="","",INDEX('Product Master'!$M$7:$M$1000,MATCH($A220,'Product Master'!$A$7:$A$1000,0)))</f>
        <v/>
      </c>
      <c r="E220" t="str">
        <f>IF($A220="","",INDEX('Product Master'!$N$7:$N$1000,MATCH($A220,'Product Master'!$A$7:$A$1000,0)))</f>
        <v/>
      </c>
      <c r="F220" t="str">
        <f>IF($A220="","",INDEX('Product Master'!$P$7:$P$1000,MATCH($A220,'Product Master'!$A$7:$A$1000,0)))</f>
        <v/>
      </c>
      <c r="I220" t="str">
        <f>IFERROR(INDEX('Product Master'!$A$7:$A$1000,_xlfn.AGGREGATE(15,6,(ROW('Product Master'!$A$7:$A$1000)-ROW('Product Master'!$A$7)+1)/(('Product Master'!$A$7:$A$1000&lt;&gt;"")*('Product Master'!$P$7:$P$1000="Out of Stock")),ROWS($I$12:I220))),"")</f>
        <v/>
      </c>
      <c r="J220" t="str">
        <f>IF($I220="","",INDEX('Product Master'!$B$7:$B$1000,MATCH($I220,'Product Master'!$A$7:$A$1000,0)))</f>
        <v/>
      </c>
      <c r="K220" t="str">
        <f>IF($I220="","",INDEX('Product Master'!$C$7:$C$1000,MATCH($I220,'Product Master'!$A$7:$A$1000,0)))</f>
        <v/>
      </c>
      <c r="L220" t="str">
        <f>IF($I220="","",INDEX('Product Master'!$M$7:$M$1000,MATCH($I220,'Product Master'!$A$7:$A$1000,0)))</f>
        <v/>
      </c>
      <c r="M220" t="str">
        <f>IF($I220="","",INDEX('Product Master'!$N$7:$N$1000,MATCH($I220,'Product Master'!$A$7:$A$1000,0)))</f>
        <v/>
      </c>
    </row>
    <row r="221" spans="1:13" x14ac:dyDescent="0.3">
      <c r="A221" t="str">
        <f>IFERROR(INDEX('Product Master'!$A$7:$A$1000,_xlfn.AGGREGATE(15,6,(ROW('Product Master'!$A$7:$A$1000)-ROW('Product Master'!$A$7)+1)/(('Product Master'!$A$7:$A$1000&lt;&gt;"")*('Product Master'!$P$7:$P$1000="Low Stock")),ROWS($A$12:A221))),"")</f>
        <v/>
      </c>
      <c r="B221" t="str">
        <f>IF($A221="","",INDEX('Product Master'!$B$7:$B$1000,MATCH($A221,'Product Master'!$A$7:$A$1000,0)))</f>
        <v/>
      </c>
      <c r="C221" t="str">
        <f>IF($A221="","",INDEX('Product Master'!$C$7:$C$1000,MATCH($A221,'Product Master'!$A$7:$A$1000,0)))</f>
        <v/>
      </c>
      <c r="D221" t="str">
        <f>IF($A221="","",INDEX('Product Master'!$M$7:$M$1000,MATCH($A221,'Product Master'!$A$7:$A$1000,0)))</f>
        <v/>
      </c>
      <c r="E221" t="str">
        <f>IF($A221="","",INDEX('Product Master'!$N$7:$N$1000,MATCH($A221,'Product Master'!$A$7:$A$1000,0)))</f>
        <v/>
      </c>
      <c r="F221" t="str">
        <f>IF($A221="","",INDEX('Product Master'!$P$7:$P$1000,MATCH($A221,'Product Master'!$A$7:$A$1000,0)))</f>
        <v/>
      </c>
      <c r="I221" t="str">
        <f>IFERROR(INDEX('Product Master'!$A$7:$A$1000,_xlfn.AGGREGATE(15,6,(ROW('Product Master'!$A$7:$A$1000)-ROW('Product Master'!$A$7)+1)/(('Product Master'!$A$7:$A$1000&lt;&gt;"")*('Product Master'!$P$7:$P$1000="Out of Stock")),ROWS($I$12:I221))),"")</f>
        <v/>
      </c>
      <c r="J221" t="str">
        <f>IF($I221="","",INDEX('Product Master'!$B$7:$B$1000,MATCH($I221,'Product Master'!$A$7:$A$1000,0)))</f>
        <v/>
      </c>
      <c r="K221" t="str">
        <f>IF($I221="","",INDEX('Product Master'!$C$7:$C$1000,MATCH($I221,'Product Master'!$A$7:$A$1000,0)))</f>
        <v/>
      </c>
      <c r="L221" t="str">
        <f>IF($I221="","",INDEX('Product Master'!$M$7:$M$1000,MATCH($I221,'Product Master'!$A$7:$A$1000,0)))</f>
        <v/>
      </c>
      <c r="M221" t="str">
        <f>IF($I221="","",INDEX('Product Master'!$N$7:$N$1000,MATCH($I221,'Product Master'!$A$7:$A$1000,0)))</f>
        <v/>
      </c>
    </row>
    <row r="222" spans="1:13" x14ac:dyDescent="0.3">
      <c r="A222" t="str">
        <f>IFERROR(INDEX('Product Master'!$A$7:$A$1000,_xlfn.AGGREGATE(15,6,(ROW('Product Master'!$A$7:$A$1000)-ROW('Product Master'!$A$7)+1)/(('Product Master'!$A$7:$A$1000&lt;&gt;"")*('Product Master'!$P$7:$P$1000="Low Stock")),ROWS($A$12:A222))),"")</f>
        <v/>
      </c>
      <c r="B222" t="str">
        <f>IF($A222="","",INDEX('Product Master'!$B$7:$B$1000,MATCH($A222,'Product Master'!$A$7:$A$1000,0)))</f>
        <v/>
      </c>
      <c r="C222" t="str">
        <f>IF($A222="","",INDEX('Product Master'!$C$7:$C$1000,MATCH($A222,'Product Master'!$A$7:$A$1000,0)))</f>
        <v/>
      </c>
      <c r="D222" t="str">
        <f>IF($A222="","",INDEX('Product Master'!$M$7:$M$1000,MATCH($A222,'Product Master'!$A$7:$A$1000,0)))</f>
        <v/>
      </c>
      <c r="E222" t="str">
        <f>IF($A222="","",INDEX('Product Master'!$N$7:$N$1000,MATCH($A222,'Product Master'!$A$7:$A$1000,0)))</f>
        <v/>
      </c>
      <c r="F222" t="str">
        <f>IF($A222="","",INDEX('Product Master'!$P$7:$P$1000,MATCH($A222,'Product Master'!$A$7:$A$1000,0)))</f>
        <v/>
      </c>
      <c r="I222" t="str">
        <f>IFERROR(INDEX('Product Master'!$A$7:$A$1000,_xlfn.AGGREGATE(15,6,(ROW('Product Master'!$A$7:$A$1000)-ROW('Product Master'!$A$7)+1)/(('Product Master'!$A$7:$A$1000&lt;&gt;"")*('Product Master'!$P$7:$P$1000="Out of Stock")),ROWS($I$12:I222))),"")</f>
        <v/>
      </c>
      <c r="J222" t="str">
        <f>IF($I222="","",INDEX('Product Master'!$B$7:$B$1000,MATCH($I222,'Product Master'!$A$7:$A$1000,0)))</f>
        <v/>
      </c>
      <c r="K222" t="str">
        <f>IF($I222="","",INDEX('Product Master'!$C$7:$C$1000,MATCH($I222,'Product Master'!$A$7:$A$1000,0)))</f>
        <v/>
      </c>
      <c r="L222" t="str">
        <f>IF($I222="","",INDEX('Product Master'!$M$7:$M$1000,MATCH($I222,'Product Master'!$A$7:$A$1000,0)))</f>
        <v/>
      </c>
      <c r="M222" t="str">
        <f>IF($I222="","",INDEX('Product Master'!$N$7:$N$1000,MATCH($I222,'Product Master'!$A$7:$A$1000,0)))</f>
        <v/>
      </c>
    </row>
    <row r="223" spans="1:13" x14ac:dyDescent="0.3">
      <c r="A223" t="str">
        <f>IFERROR(INDEX('Product Master'!$A$7:$A$1000,_xlfn.AGGREGATE(15,6,(ROW('Product Master'!$A$7:$A$1000)-ROW('Product Master'!$A$7)+1)/(('Product Master'!$A$7:$A$1000&lt;&gt;"")*('Product Master'!$P$7:$P$1000="Low Stock")),ROWS($A$12:A223))),"")</f>
        <v/>
      </c>
      <c r="B223" t="str">
        <f>IF($A223="","",INDEX('Product Master'!$B$7:$B$1000,MATCH($A223,'Product Master'!$A$7:$A$1000,0)))</f>
        <v/>
      </c>
      <c r="C223" t="str">
        <f>IF($A223="","",INDEX('Product Master'!$C$7:$C$1000,MATCH($A223,'Product Master'!$A$7:$A$1000,0)))</f>
        <v/>
      </c>
      <c r="D223" t="str">
        <f>IF($A223="","",INDEX('Product Master'!$M$7:$M$1000,MATCH($A223,'Product Master'!$A$7:$A$1000,0)))</f>
        <v/>
      </c>
      <c r="E223" t="str">
        <f>IF($A223="","",INDEX('Product Master'!$N$7:$N$1000,MATCH($A223,'Product Master'!$A$7:$A$1000,0)))</f>
        <v/>
      </c>
      <c r="F223" t="str">
        <f>IF($A223="","",INDEX('Product Master'!$P$7:$P$1000,MATCH($A223,'Product Master'!$A$7:$A$1000,0)))</f>
        <v/>
      </c>
      <c r="I223" t="str">
        <f>IFERROR(INDEX('Product Master'!$A$7:$A$1000,_xlfn.AGGREGATE(15,6,(ROW('Product Master'!$A$7:$A$1000)-ROW('Product Master'!$A$7)+1)/(('Product Master'!$A$7:$A$1000&lt;&gt;"")*('Product Master'!$P$7:$P$1000="Out of Stock")),ROWS($I$12:I223))),"")</f>
        <v/>
      </c>
      <c r="J223" t="str">
        <f>IF($I223="","",INDEX('Product Master'!$B$7:$B$1000,MATCH($I223,'Product Master'!$A$7:$A$1000,0)))</f>
        <v/>
      </c>
      <c r="K223" t="str">
        <f>IF($I223="","",INDEX('Product Master'!$C$7:$C$1000,MATCH($I223,'Product Master'!$A$7:$A$1000,0)))</f>
        <v/>
      </c>
      <c r="L223" t="str">
        <f>IF($I223="","",INDEX('Product Master'!$M$7:$M$1000,MATCH($I223,'Product Master'!$A$7:$A$1000,0)))</f>
        <v/>
      </c>
      <c r="M223" t="str">
        <f>IF($I223="","",INDEX('Product Master'!$N$7:$N$1000,MATCH($I223,'Product Master'!$A$7:$A$1000,0)))</f>
        <v/>
      </c>
    </row>
    <row r="224" spans="1:13" x14ac:dyDescent="0.3">
      <c r="A224" t="str">
        <f>IFERROR(INDEX('Product Master'!$A$7:$A$1000,_xlfn.AGGREGATE(15,6,(ROW('Product Master'!$A$7:$A$1000)-ROW('Product Master'!$A$7)+1)/(('Product Master'!$A$7:$A$1000&lt;&gt;"")*('Product Master'!$P$7:$P$1000="Low Stock")),ROWS($A$12:A224))),"")</f>
        <v/>
      </c>
      <c r="B224" t="str">
        <f>IF($A224="","",INDEX('Product Master'!$B$7:$B$1000,MATCH($A224,'Product Master'!$A$7:$A$1000,0)))</f>
        <v/>
      </c>
      <c r="C224" t="str">
        <f>IF($A224="","",INDEX('Product Master'!$C$7:$C$1000,MATCH($A224,'Product Master'!$A$7:$A$1000,0)))</f>
        <v/>
      </c>
      <c r="D224" t="str">
        <f>IF($A224="","",INDEX('Product Master'!$M$7:$M$1000,MATCH($A224,'Product Master'!$A$7:$A$1000,0)))</f>
        <v/>
      </c>
      <c r="E224" t="str">
        <f>IF($A224="","",INDEX('Product Master'!$N$7:$N$1000,MATCH($A224,'Product Master'!$A$7:$A$1000,0)))</f>
        <v/>
      </c>
      <c r="F224" t="str">
        <f>IF($A224="","",INDEX('Product Master'!$P$7:$P$1000,MATCH($A224,'Product Master'!$A$7:$A$1000,0)))</f>
        <v/>
      </c>
      <c r="I224" t="str">
        <f>IFERROR(INDEX('Product Master'!$A$7:$A$1000,_xlfn.AGGREGATE(15,6,(ROW('Product Master'!$A$7:$A$1000)-ROW('Product Master'!$A$7)+1)/(('Product Master'!$A$7:$A$1000&lt;&gt;"")*('Product Master'!$P$7:$P$1000="Out of Stock")),ROWS($I$12:I224))),"")</f>
        <v/>
      </c>
      <c r="J224" t="str">
        <f>IF($I224="","",INDEX('Product Master'!$B$7:$B$1000,MATCH($I224,'Product Master'!$A$7:$A$1000,0)))</f>
        <v/>
      </c>
      <c r="K224" t="str">
        <f>IF($I224="","",INDEX('Product Master'!$C$7:$C$1000,MATCH($I224,'Product Master'!$A$7:$A$1000,0)))</f>
        <v/>
      </c>
      <c r="L224" t="str">
        <f>IF($I224="","",INDEX('Product Master'!$M$7:$M$1000,MATCH($I224,'Product Master'!$A$7:$A$1000,0)))</f>
        <v/>
      </c>
      <c r="M224" t="str">
        <f>IF($I224="","",INDEX('Product Master'!$N$7:$N$1000,MATCH($I224,'Product Master'!$A$7:$A$1000,0)))</f>
        <v/>
      </c>
    </row>
    <row r="225" spans="1:13" x14ac:dyDescent="0.3">
      <c r="A225" t="str">
        <f>IFERROR(INDEX('Product Master'!$A$7:$A$1000,_xlfn.AGGREGATE(15,6,(ROW('Product Master'!$A$7:$A$1000)-ROW('Product Master'!$A$7)+1)/(('Product Master'!$A$7:$A$1000&lt;&gt;"")*('Product Master'!$P$7:$P$1000="Low Stock")),ROWS($A$12:A225))),"")</f>
        <v/>
      </c>
      <c r="B225" t="str">
        <f>IF($A225="","",INDEX('Product Master'!$B$7:$B$1000,MATCH($A225,'Product Master'!$A$7:$A$1000,0)))</f>
        <v/>
      </c>
      <c r="C225" t="str">
        <f>IF($A225="","",INDEX('Product Master'!$C$7:$C$1000,MATCH($A225,'Product Master'!$A$7:$A$1000,0)))</f>
        <v/>
      </c>
      <c r="D225" t="str">
        <f>IF($A225="","",INDEX('Product Master'!$M$7:$M$1000,MATCH($A225,'Product Master'!$A$7:$A$1000,0)))</f>
        <v/>
      </c>
      <c r="E225" t="str">
        <f>IF($A225="","",INDEX('Product Master'!$N$7:$N$1000,MATCH($A225,'Product Master'!$A$7:$A$1000,0)))</f>
        <v/>
      </c>
      <c r="F225" t="str">
        <f>IF($A225="","",INDEX('Product Master'!$P$7:$P$1000,MATCH($A225,'Product Master'!$A$7:$A$1000,0)))</f>
        <v/>
      </c>
      <c r="I225" t="str">
        <f>IFERROR(INDEX('Product Master'!$A$7:$A$1000,_xlfn.AGGREGATE(15,6,(ROW('Product Master'!$A$7:$A$1000)-ROW('Product Master'!$A$7)+1)/(('Product Master'!$A$7:$A$1000&lt;&gt;"")*('Product Master'!$P$7:$P$1000="Out of Stock")),ROWS($I$12:I225))),"")</f>
        <v/>
      </c>
      <c r="J225" t="str">
        <f>IF($I225="","",INDEX('Product Master'!$B$7:$B$1000,MATCH($I225,'Product Master'!$A$7:$A$1000,0)))</f>
        <v/>
      </c>
      <c r="K225" t="str">
        <f>IF($I225="","",INDEX('Product Master'!$C$7:$C$1000,MATCH($I225,'Product Master'!$A$7:$A$1000,0)))</f>
        <v/>
      </c>
      <c r="L225" t="str">
        <f>IF($I225="","",INDEX('Product Master'!$M$7:$M$1000,MATCH($I225,'Product Master'!$A$7:$A$1000,0)))</f>
        <v/>
      </c>
      <c r="M225" t="str">
        <f>IF($I225="","",INDEX('Product Master'!$N$7:$N$1000,MATCH($I225,'Product Master'!$A$7:$A$1000,0)))</f>
        <v/>
      </c>
    </row>
    <row r="226" spans="1:13" x14ac:dyDescent="0.3">
      <c r="A226" t="str">
        <f>IFERROR(INDEX('Product Master'!$A$7:$A$1000,_xlfn.AGGREGATE(15,6,(ROW('Product Master'!$A$7:$A$1000)-ROW('Product Master'!$A$7)+1)/(('Product Master'!$A$7:$A$1000&lt;&gt;"")*('Product Master'!$P$7:$P$1000="Low Stock")),ROWS($A$12:A226))),"")</f>
        <v/>
      </c>
      <c r="B226" t="str">
        <f>IF($A226="","",INDEX('Product Master'!$B$7:$B$1000,MATCH($A226,'Product Master'!$A$7:$A$1000,0)))</f>
        <v/>
      </c>
      <c r="C226" t="str">
        <f>IF($A226="","",INDEX('Product Master'!$C$7:$C$1000,MATCH($A226,'Product Master'!$A$7:$A$1000,0)))</f>
        <v/>
      </c>
      <c r="D226" t="str">
        <f>IF($A226="","",INDEX('Product Master'!$M$7:$M$1000,MATCH($A226,'Product Master'!$A$7:$A$1000,0)))</f>
        <v/>
      </c>
      <c r="E226" t="str">
        <f>IF($A226="","",INDEX('Product Master'!$N$7:$N$1000,MATCH($A226,'Product Master'!$A$7:$A$1000,0)))</f>
        <v/>
      </c>
      <c r="F226" t="str">
        <f>IF($A226="","",INDEX('Product Master'!$P$7:$P$1000,MATCH($A226,'Product Master'!$A$7:$A$1000,0)))</f>
        <v/>
      </c>
      <c r="I226" t="str">
        <f>IFERROR(INDEX('Product Master'!$A$7:$A$1000,_xlfn.AGGREGATE(15,6,(ROW('Product Master'!$A$7:$A$1000)-ROW('Product Master'!$A$7)+1)/(('Product Master'!$A$7:$A$1000&lt;&gt;"")*('Product Master'!$P$7:$P$1000="Out of Stock")),ROWS($I$12:I226))),"")</f>
        <v/>
      </c>
      <c r="J226" t="str">
        <f>IF($I226="","",INDEX('Product Master'!$B$7:$B$1000,MATCH($I226,'Product Master'!$A$7:$A$1000,0)))</f>
        <v/>
      </c>
      <c r="K226" t="str">
        <f>IF($I226="","",INDEX('Product Master'!$C$7:$C$1000,MATCH($I226,'Product Master'!$A$7:$A$1000,0)))</f>
        <v/>
      </c>
      <c r="L226" t="str">
        <f>IF($I226="","",INDEX('Product Master'!$M$7:$M$1000,MATCH($I226,'Product Master'!$A$7:$A$1000,0)))</f>
        <v/>
      </c>
      <c r="M226" t="str">
        <f>IF($I226="","",INDEX('Product Master'!$N$7:$N$1000,MATCH($I226,'Product Master'!$A$7:$A$1000,0)))</f>
        <v/>
      </c>
    </row>
    <row r="227" spans="1:13" x14ac:dyDescent="0.3">
      <c r="A227" t="str">
        <f>IFERROR(INDEX('Product Master'!$A$7:$A$1000,_xlfn.AGGREGATE(15,6,(ROW('Product Master'!$A$7:$A$1000)-ROW('Product Master'!$A$7)+1)/(('Product Master'!$A$7:$A$1000&lt;&gt;"")*('Product Master'!$P$7:$P$1000="Low Stock")),ROWS($A$12:A227))),"")</f>
        <v/>
      </c>
      <c r="B227" t="str">
        <f>IF($A227="","",INDEX('Product Master'!$B$7:$B$1000,MATCH($A227,'Product Master'!$A$7:$A$1000,0)))</f>
        <v/>
      </c>
      <c r="C227" t="str">
        <f>IF($A227="","",INDEX('Product Master'!$C$7:$C$1000,MATCH($A227,'Product Master'!$A$7:$A$1000,0)))</f>
        <v/>
      </c>
      <c r="D227" t="str">
        <f>IF($A227="","",INDEX('Product Master'!$M$7:$M$1000,MATCH($A227,'Product Master'!$A$7:$A$1000,0)))</f>
        <v/>
      </c>
      <c r="E227" t="str">
        <f>IF($A227="","",INDEX('Product Master'!$N$7:$N$1000,MATCH($A227,'Product Master'!$A$7:$A$1000,0)))</f>
        <v/>
      </c>
      <c r="F227" t="str">
        <f>IF($A227="","",INDEX('Product Master'!$P$7:$P$1000,MATCH($A227,'Product Master'!$A$7:$A$1000,0)))</f>
        <v/>
      </c>
      <c r="I227" t="str">
        <f>IFERROR(INDEX('Product Master'!$A$7:$A$1000,_xlfn.AGGREGATE(15,6,(ROW('Product Master'!$A$7:$A$1000)-ROW('Product Master'!$A$7)+1)/(('Product Master'!$A$7:$A$1000&lt;&gt;"")*('Product Master'!$P$7:$P$1000="Out of Stock")),ROWS($I$12:I227))),"")</f>
        <v/>
      </c>
      <c r="J227" t="str">
        <f>IF($I227="","",INDEX('Product Master'!$B$7:$B$1000,MATCH($I227,'Product Master'!$A$7:$A$1000,0)))</f>
        <v/>
      </c>
      <c r="K227" t="str">
        <f>IF($I227="","",INDEX('Product Master'!$C$7:$C$1000,MATCH($I227,'Product Master'!$A$7:$A$1000,0)))</f>
        <v/>
      </c>
      <c r="L227" t="str">
        <f>IF($I227="","",INDEX('Product Master'!$M$7:$M$1000,MATCH($I227,'Product Master'!$A$7:$A$1000,0)))</f>
        <v/>
      </c>
      <c r="M227" t="str">
        <f>IF($I227="","",INDEX('Product Master'!$N$7:$N$1000,MATCH($I227,'Product Master'!$A$7:$A$1000,0)))</f>
        <v/>
      </c>
    </row>
    <row r="228" spans="1:13" x14ac:dyDescent="0.3">
      <c r="A228" t="str">
        <f>IFERROR(INDEX('Product Master'!$A$7:$A$1000,_xlfn.AGGREGATE(15,6,(ROW('Product Master'!$A$7:$A$1000)-ROW('Product Master'!$A$7)+1)/(('Product Master'!$A$7:$A$1000&lt;&gt;"")*('Product Master'!$P$7:$P$1000="Low Stock")),ROWS($A$12:A228))),"")</f>
        <v/>
      </c>
      <c r="B228" t="str">
        <f>IF($A228="","",INDEX('Product Master'!$B$7:$B$1000,MATCH($A228,'Product Master'!$A$7:$A$1000,0)))</f>
        <v/>
      </c>
      <c r="C228" t="str">
        <f>IF($A228="","",INDEX('Product Master'!$C$7:$C$1000,MATCH($A228,'Product Master'!$A$7:$A$1000,0)))</f>
        <v/>
      </c>
      <c r="D228" t="str">
        <f>IF($A228="","",INDEX('Product Master'!$M$7:$M$1000,MATCH($A228,'Product Master'!$A$7:$A$1000,0)))</f>
        <v/>
      </c>
      <c r="E228" t="str">
        <f>IF($A228="","",INDEX('Product Master'!$N$7:$N$1000,MATCH($A228,'Product Master'!$A$7:$A$1000,0)))</f>
        <v/>
      </c>
      <c r="F228" t="str">
        <f>IF($A228="","",INDEX('Product Master'!$P$7:$P$1000,MATCH($A228,'Product Master'!$A$7:$A$1000,0)))</f>
        <v/>
      </c>
      <c r="I228" t="str">
        <f>IFERROR(INDEX('Product Master'!$A$7:$A$1000,_xlfn.AGGREGATE(15,6,(ROW('Product Master'!$A$7:$A$1000)-ROW('Product Master'!$A$7)+1)/(('Product Master'!$A$7:$A$1000&lt;&gt;"")*('Product Master'!$P$7:$P$1000="Out of Stock")),ROWS($I$12:I228))),"")</f>
        <v/>
      </c>
      <c r="J228" t="str">
        <f>IF($I228="","",INDEX('Product Master'!$B$7:$B$1000,MATCH($I228,'Product Master'!$A$7:$A$1000,0)))</f>
        <v/>
      </c>
      <c r="K228" t="str">
        <f>IF($I228="","",INDEX('Product Master'!$C$7:$C$1000,MATCH($I228,'Product Master'!$A$7:$A$1000,0)))</f>
        <v/>
      </c>
      <c r="L228" t="str">
        <f>IF($I228="","",INDEX('Product Master'!$M$7:$M$1000,MATCH($I228,'Product Master'!$A$7:$A$1000,0)))</f>
        <v/>
      </c>
      <c r="M228" t="str">
        <f>IF($I228="","",INDEX('Product Master'!$N$7:$N$1000,MATCH($I228,'Product Master'!$A$7:$A$1000,0)))</f>
        <v/>
      </c>
    </row>
    <row r="229" spans="1:13" x14ac:dyDescent="0.3">
      <c r="A229" t="str">
        <f>IFERROR(INDEX('Product Master'!$A$7:$A$1000,_xlfn.AGGREGATE(15,6,(ROW('Product Master'!$A$7:$A$1000)-ROW('Product Master'!$A$7)+1)/(('Product Master'!$A$7:$A$1000&lt;&gt;"")*('Product Master'!$P$7:$P$1000="Low Stock")),ROWS($A$12:A229))),"")</f>
        <v/>
      </c>
      <c r="B229" t="str">
        <f>IF($A229="","",INDEX('Product Master'!$B$7:$B$1000,MATCH($A229,'Product Master'!$A$7:$A$1000,0)))</f>
        <v/>
      </c>
      <c r="C229" t="str">
        <f>IF($A229="","",INDEX('Product Master'!$C$7:$C$1000,MATCH($A229,'Product Master'!$A$7:$A$1000,0)))</f>
        <v/>
      </c>
      <c r="D229" t="str">
        <f>IF($A229="","",INDEX('Product Master'!$M$7:$M$1000,MATCH($A229,'Product Master'!$A$7:$A$1000,0)))</f>
        <v/>
      </c>
      <c r="E229" t="str">
        <f>IF($A229="","",INDEX('Product Master'!$N$7:$N$1000,MATCH($A229,'Product Master'!$A$7:$A$1000,0)))</f>
        <v/>
      </c>
      <c r="F229" t="str">
        <f>IF($A229="","",INDEX('Product Master'!$P$7:$P$1000,MATCH($A229,'Product Master'!$A$7:$A$1000,0)))</f>
        <v/>
      </c>
      <c r="I229" t="str">
        <f>IFERROR(INDEX('Product Master'!$A$7:$A$1000,_xlfn.AGGREGATE(15,6,(ROW('Product Master'!$A$7:$A$1000)-ROW('Product Master'!$A$7)+1)/(('Product Master'!$A$7:$A$1000&lt;&gt;"")*('Product Master'!$P$7:$P$1000="Out of Stock")),ROWS($I$12:I229))),"")</f>
        <v/>
      </c>
      <c r="J229" t="str">
        <f>IF($I229="","",INDEX('Product Master'!$B$7:$B$1000,MATCH($I229,'Product Master'!$A$7:$A$1000,0)))</f>
        <v/>
      </c>
      <c r="K229" t="str">
        <f>IF($I229="","",INDEX('Product Master'!$C$7:$C$1000,MATCH($I229,'Product Master'!$A$7:$A$1000,0)))</f>
        <v/>
      </c>
      <c r="L229" t="str">
        <f>IF($I229="","",INDEX('Product Master'!$M$7:$M$1000,MATCH($I229,'Product Master'!$A$7:$A$1000,0)))</f>
        <v/>
      </c>
      <c r="M229" t="str">
        <f>IF($I229="","",INDEX('Product Master'!$N$7:$N$1000,MATCH($I229,'Product Master'!$A$7:$A$1000,0)))</f>
        <v/>
      </c>
    </row>
    <row r="230" spans="1:13" x14ac:dyDescent="0.3">
      <c r="A230" t="str">
        <f>IFERROR(INDEX('Product Master'!$A$7:$A$1000,_xlfn.AGGREGATE(15,6,(ROW('Product Master'!$A$7:$A$1000)-ROW('Product Master'!$A$7)+1)/(('Product Master'!$A$7:$A$1000&lt;&gt;"")*('Product Master'!$P$7:$P$1000="Low Stock")),ROWS($A$12:A230))),"")</f>
        <v/>
      </c>
      <c r="B230" t="str">
        <f>IF($A230="","",INDEX('Product Master'!$B$7:$B$1000,MATCH($A230,'Product Master'!$A$7:$A$1000,0)))</f>
        <v/>
      </c>
      <c r="C230" t="str">
        <f>IF($A230="","",INDEX('Product Master'!$C$7:$C$1000,MATCH($A230,'Product Master'!$A$7:$A$1000,0)))</f>
        <v/>
      </c>
      <c r="D230" t="str">
        <f>IF($A230="","",INDEX('Product Master'!$M$7:$M$1000,MATCH($A230,'Product Master'!$A$7:$A$1000,0)))</f>
        <v/>
      </c>
      <c r="E230" t="str">
        <f>IF($A230="","",INDEX('Product Master'!$N$7:$N$1000,MATCH($A230,'Product Master'!$A$7:$A$1000,0)))</f>
        <v/>
      </c>
      <c r="F230" t="str">
        <f>IF($A230="","",INDEX('Product Master'!$P$7:$P$1000,MATCH($A230,'Product Master'!$A$7:$A$1000,0)))</f>
        <v/>
      </c>
      <c r="I230" t="str">
        <f>IFERROR(INDEX('Product Master'!$A$7:$A$1000,_xlfn.AGGREGATE(15,6,(ROW('Product Master'!$A$7:$A$1000)-ROW('Product Master'!$A$7)+1)/(('Product Master'!$A$7:$A$1000&lt;&gt;"")*('Product Master'!$P$7:$P$1000="Out of Stock")),ROWS($I$12:I230))),"")</f>
        <v/>
      </c>
      <c r="J230" t="str">
        <f>IF($I230="","",INDEX('Product Master'!$B$7:$B$1000,MATCH($I230,'Product Master'!$A$7:$A$1000,0)))</f>
        <v/>
      </c>
      <c r="K230" t="str">
        <f>IF($I230="","",INDEX('Product Master'!$C$7:$C$1000,MATCH($I230,'Product Master'!$A$7:$A$1000,0)))</f>
        <v/>
      </c>
      <c r="L230" t="str">
        <f>IF($I230="","",INDEX('Product Master'!$M$7:$M$1000,MATCH($I230,'Product Master'!$A$7:$A$1000,0)))</f>
        <v/>
      </c>
      <c r="M230" t="str">
        <f>IF($I230="","",INDEX('Product Master'!$N$7:$N$1000,MATCH($I230,'Product Master'!$A$7:$A$1000,0)))</f>
        <v/>
      </c>
    </row>
    <row r="231" spans="1:13" x14ac:dyDescent="0.3">
      <c r="A231" t="str">
        <f>IFERROR(INDEX('Product Master'!$A$7:$A$1000,_xlfn.AGGREGATE(15,6,(ROW('Product Master'!$A$7:$A$1000)-ROW('Product Master'!$A$7)+1)/(('Product Master'!$A$7:$A$1000&lt;&gt;"")*('Product Master'!$P$7:$P$1000="Low Stock")),ROWS($A$12:A231))),"")</f>
        <v/>
      </c>
      <c r="B231" t="str">
        <f>IF($A231="","",INDEX('Product Master'!$B$7:$B$1000,MATCH($A231,'Product Master'!$A$7:$A$1000,0)))</f>
        <v/>
      </c>
      <c r="C231" t="str">
        <f>IF($A231="","",INDEX('Product Master'!$C$7:$C$1000,MATCH($A231,'Product Master'!$A$7:$A$1000,0)))</f>
        <v/>
      </c>
      <c r="D231" t="str">
        <f>IF($A231="","",INDEX('Product Master'!$M$7:$M$1000,MATCH($A231,'Product Master'!$A$7:$A$1000,0)))</f>
        <v/>
      </c>
      <c r="E231" t="str">
        <f>IF($A231="","",INDEX('Product Master'!$N$7:$N$1000,MATCH($A231,'Product Master'!$A$7:$A$1000,0)))</f>
        <v/>
      </c>
      <c r="F231" t="str">
        <f>IF($A231="","",INDEX('Product Master'!$P$7:$P$1000,MATCH($A231,'Product Master'!$A$7:$A$1000,0)))</f>
        <v/>
      </c>
      <c r="I231" t="str">
        <f>IFERROR(INDEX('Product Master'!$A$7:$A$1000,_xlfn.AGGREGATE(15,6,(ROW('Product Master'!$A$7:$A$1000)-ROW('Product Master'!$A$7)+1)/(('Product Master'!$A$7:$A$1000&lt;&gt;"")*('Product Master'!$P$7:$P$1000="Out of Stock")),ROWS($I$12:I231))),"")</f>
        <v/>
      </c>
      <c r="J231" t="str">
        <f>IF($I231="","",INDEX('Product Master'!$B$7:$B$1000,MATCH($I231,'Product Master'!$A$7:$A$1000,0)))</f>
        <v/>
      </c>
      <c r="K231" t="str">
        <f>IF($I231="","",INDEX('Product Master'!$C$7:$C$1000,MATCH($I231,'Product Master'!$A$7:$A$1000,0)))</f>
        <v/>
      </c>
      <c r="L231" t="str">
        <f>IF($I231="","",INDEX('Product Master'!$M$7:$M$1000,MATCH($I231,'Product Master'!$A$7:$A$1000,0)))</f>
        <v/>
      </c>
      <c r="M231" t="str">
        <f>IF($I231="","",INDEX('Product Master'!$N$7:$N$1000,MATCH($I231,'Product Master'!$A$7:$A$1000,0)))</f>
        <v/>
      </c>
    </row>
    <row r="232" spans="1:13" x14ac:dyDescent="0.3">
      <c r="A232" t="str">
        <f>IFERROR(INDEX('Product Master'!$A$7:$A$1000,_xlfn.AGGREGATE(15,6,(ROW('Product Master'!$A$7:$A$1000)-ROW('Product Master'!$A$7)+1)/(('Product Master'!$A$7:$A$1000&lt;&gt;"")*('Product Master'!$P$7:$P$1000="Low Stock")),ROWS($A$12:A232))),"")</f>
        <v/>
      </c>
      <c r="B232" t="str">
        <f>IF($A232="","",INDEX('Product Master'!$B$7:$B$1000,MATCH($A232,'Product Master'!$A$7:$A$1000,0)))</f>
        <v/>
      </c>
      <c r="C232" t="str">
        <f>IF($A232="","",INDEX('Product Master'!$C$7:$C$1000,MATCH($A232,'Product Master'!$A$7:$A$1000,0)))</f>
        <v/>
      </c>
      <c r="D232" t="str">
        <f>IF($A232="","",INDEX('Product Master'!$M$7:$M$1000,MATCH($A232,'Product Master'!$A$7:$A$1000,0)))</f>
        <v/>
      </c>
      <c r="E232" t="str">
        <f>IF($A232="","",INDEX('Product Master'!$N$7:$N$1000,MATCH($A232,'Product Master'!$A$7:$A$1000,0)))</f>
        <v/>
      </c>
      <c r="F232" t="str">
        <f>IF($A232="","",INDEX('Product Master'!$P$7:$P$1000,MATCH($A232,'Product Master'!$A$7:$A$1000,0)))</f>
        <v/>
      </c>
      <c r="I232" t="str">
        <f>IFERROR(INDEX('Product Master'!$A$7:$A$1000,_xlfn.AGGREGATE(15,6,(ROW('Product Master'!$A$7:$A$1000)-ROW('Product Master'!$A$7)+1)/(('Product Master'!$A$7:$A$1000&lt;&gt;"")*('Product Master'!$P$7:$P$1000="Out of Stock")),ROWS($I$12:I232))),"")</f>
        <v/>
      </c>
      <c r="J232" t="str">
        <f>IF($I232="","",INDEX('Product Master'!$B$7:$B$1000,MATCH($I232,'Product Master'!$A$7:$A$1000,0)))</f>
        <v/>
      </c>
      <c r="K232" t="str">
        <f>IF($I232="","",INDEX('Product Master'!$C$7:$C$1000,MATCH($I232,'Product Master'!$A$7:$A$1000,0)))</f>
        <v/>
      </c>
      <c r="L232" t="str">
        <f>IF($I232="","",INDEX('Product Master'!$M$7:$M$1000,MATCH($I232,'Product Master'!$A$7:$A$1000,0)))</f>
        <v/>
      </c>
      <c r="M232" t="str">
        <f>IF($I232="","",INDEX('Product Master'!$N$7:$N$1000,MATCH($I232,'Product Master'!$A$7:$A$1000,0)))</f>
        <v/>
      </c>
    </row>
    <row r="233" spans="1:13" x14ac:dyDescent="0.3">
      <c r="A233" t="str">
        <f>IFERROR(INDEX('Product Master'!$A$7:$A$1000,_xlfn.AGGREGATE(15,6,(ROW('Product Master'!$A$7:$A$1000)-ROW('Product Master'!$A$7)+1)/(('Product Master'!$A$7:$A$1000&lt;&gt;"")*('Product Master'!$P$7:$P$1000="Low Stock")),ROWS($A$12:A233))),"")</f>
        <v/>
      </c>
      <c r="B233" t="str">
        <f>IF($A233="","",INDEX('Product Master'!$B$7:$B$1000,MATCH($A233,'Product Master'!$A$7:$A$1000,0)))</f>
        <v/>
      </c>
      <c r="C233" t="str">
        <f>IF($A233="","",INDEX('Product Master'!$C$7:$C$1000,MATCH($A233,'Product Master'!$A$7:$A$1000,0)))</f>
        <v/>
      </c>
      <c r="D233" t="str">
        <f>IF($A233="","",INDEX('Product Master'!$M$7:$M$1000,MATCH($A233,'Product Master'!$A$7:$A$1000,0)))</f>
        <v/>
      </c>
      <c r="E233" t="str">
        <f>IF($A233="","",INDEX('Product Master'!$N$7:$N$1000,MATCH($A233,'Product Master'!$A$7:$A$1000,0)))</f>
        <v/>
      </c>
      <c r="F233" t="str">
        <f>IF($A233="","",INDEX('Product Master'!$P$7:$P$1000,MATCH($A233,'Product Master'!$A$7:$A$1000,0)))</f>
        <v/>
      </c>
      <c r="I233" t="str">
        <f>IFERROR(INDEX('Product Master'!$A$7:$A$1000,_xlfn.AGGREGATE(15,6,(ROW('Product Master'!$A$7:$A$1000)-ROW('Product Master'!$A$7)+1)/(('Product Master'!$A$7:$A$1000&lt;&gt;"")*('Product Master'!$P$7:$P$1000="Out of Stock")),ROWS($I$12:I233))),"")</f>
        <v/>
      </c>
      <c r="J233" t="str">
        <f>IF($I233="","",INDEX('Product Master'!$B$7:$B$1000,MATCH($I233,'Product Master'!$A$7:$A$1000,0)))</f>
        <v/>
      </c>
      <c r="K233" t="str">
        <f>IF($I233="","",INDEX('Product Master'!$C$7:$C$1000,MATCH($I233,'Product Master'!$A$7:$A$1000,0)))</f>
        <v/>
      </c>
      <c r="L233" t="str">
        <f>IF($I233="","",INDEX('Product Master'!$M$7:$M$1000,MATCH($I233,'Product Master'!$A$7:$A$1000,0)))</f>
        <v/>
      </c>
      <c r="M233" t="str">
        <f>IF($I233="","",INDEX('Product Master'!$N$7:$N$1000,MATCH($I233,'Product Master'!$A$7:$A$1000,0)))</f>
        <v/>
      </c>
    </row>
    <row r="234" spans="1:13" x14ac:dyDescent="0.3">
      <c r="A234" t="str">
        <f>IFERROR(INDEX('Product Master'!$A$7:$A$1000,_xlfn.AGGREGATE(15,6,(ROW('Product Master'!$A$7:$A$1000)-ROW('Product Master'!$A$7)+1)/(('Product Master'!$A$7:$A$1000&lt;&gt;"")*('Product Master'!$P$7:$P$1000="Low Stock")),ROWS($A$12:A234))),"")</f>
        <v/>
      </c>
      <c r="B234" t="str">
        <f>IF($A234="","",INDEX('Product Master'!$B$7:$B$1000,MATCH($A234,'Product Master'!$A$7:$A$1000,0)))</f>
        <v/>
      </c>
      <c r="C234" t="str">
        <f>IF($A234="","",INDEX('Product Master'!$C$7:$C$1000,MATCH($A234,'Product Master'!$A$7:$A$1000,0)))</f>
        <v/>
      </c>
      <c r="D234" t="str">
        <f>IF($A234="","",INDEX('Product Master'!$M$7:$M$1000,MATCH($A234,'Product Master'!$A$7:$A$1000,0)))</f>
        <v/>
      </c>
      <c r="E234" t="str">
        <f>IF($A234="","",INDEX('Product Master'!$N$7:$N$1000,MATCH($A234,'Product Master'!$A$7:$A$1000,0)))</f>
        <v/>
      </c>
      <c r="F234" t="str">
        <f>IF($A234="","",INDEX('Product Master'!$P$7:$P$1000,MATCH($A234,'Product Master'!$A$7:$A$1000,0)))</f>
        <v/>
      </c>
      <c r="I234" t="str">
        <f>IFERROR(INDEX('Product Master'!$A$7:$A$1000,_xlfn.AGGREGATE(15,6,(ROW('Product Master'!$A$7:$A$1000)-ROW('Product Master'!$A$7)+1)/(('Product Master'!$A$7:$A$1000&lt;&gt;"")*('Product Master'!$P$7:$P$1000="Out of Stock")),ROWS($I$12:I234))),"")</f>
        <v/>
      </c>
      <c r="J234" t="str">
        <f>IF($I234="","",INDEX('Product Master'!$B$7:$B$1000,MATCH($I234,'Product Master'!$A$7:$A$1000,0)))</f>
        <v/>
      </c>
      <c r="K234" t="str">
        <f>IF($I234="","",INDEX('Product Master'!$C$7:$C$1000,MATCH($I234,'Product Master'!$A$7:$A$1000,0)))</f>
        <v/>
      </c>
      <c r="L234" t="str">
        <f>IF($I234="","",INDEX('Product Master'!$M$7:$M$1000,MATCH($I234,'Product Master'!$A$7:$A$1000,0)))</f>
        <v/>
      </c>
      <c r="M234" t="str">
        <f>IF($I234="","",INDEX('Product Master'!$N$7:$N$1000,MATCH($I234,'Product Master'!$A$7:$A$1000,0)))</f>
        <v/>
      </c>
    </row>
    <row r="235" spans="1:13" x14ac:dyDescent="0.3">
      <c r="A235" t="str">
        <f>IFERROR(INDEX('Product Master'!$A$7:$A$1000,_xlfn.AGGREGATE(15,6,(ROW('Product Master'!$A$7:$A$1000)-ROW('Product Master'!$A$7)+1)/(('Product Master'!$A$7:$A$1000&lt;&gt;"")*('Product Master'!$P$7:$P$1000="Low Stock")),ROWS($A$12:A235))),"")</f>
        <v/>
      </c>
      <c r="B235" t="str">
        <f>IF($A235="","",INDEX('Product Master'!$B$7:$B$1000,MATCH($A235,'Product Master'!$A$7:$A$1000,0)))</f>
        <v/>
      </c>
      <c r="C235" t="str">
        <f>IF($A235="","",INDEX('Product Master'!$C$7:$C$1000,MATCH($A235,'Product Master'!$A$7:$A$1000,0)))</f>
        <v/>
      </c>
      <c r="D235" t="str">
        <f>IF($A235="","",INDEX('Product Master'!$M$7:$M$1000,MATCH($A235,'Product Master'!$A$7:$A$1000,0)))</f>
        <v/>
      </c>
      <c r="E235" t="str">
        <f>IF($A235="","",INDEX('Product Master'!$N$7:$N$1000,MATCH($A235,'Product Master'!$A$7:$A$1000,0)))</f>
        <v/>
      </c>
      <c r="F235" t="str">
        <f>IF($A235="","",INDEX('Product Master'!$P$7:$P$1000,MATCH($A235,'Product Master'!$A$7:$A$1000,0)))</f>
        <v/>
      </c>
      <c r="I235" t="str">
        <f>IFERROR(INDEX('Product Master'!$A$7:$A$1000,_xlfn.AGGREGATE(15,6,(ROW('Product Master'!$A$7:$A$1000)-ROW('Product Master'!$A$7)+1)/(('Product Master'!$A$7:$A$1000&lt;&gt;"")*('Product Master'!$P$7:$P$1000="Out of Stock")),ROWS($I$12:I235))),"")</f>
        <v/>
      </c>
      <c r="J235" t="str">
        <f>IF($I235="","",INDEX('Product Master'!$B$7:$B$1000,MATCH($I235,'Product Master'!$A$7:$A$1000,0)))</f>
        <v/>
      </c>
      <c r="K235" t="str">
        <f>IF($I235="","",INDEX('Product Master'!$C$7:$C$1000,MATCH($I235,'Product Master'!$A$7:$A$1000,0)))</f>
        <v/>
      </c>
      <c r="L235" t="str">
        <f>IF($I235="","",INDEX('Product Master'!$M$7:$M$1000,MATCH($I235,'Product Master'!$A$7:$A$1000,0)))</f>
        <v/>
      </c>
      <c r="M235" t="str">
        <f>IF($I235="","",INDEX('Product Master'!$N$7:$N$1000,MATCH($I235,'Product Master'!$A$7:$A$1000,0)))</f>
        <v/>
      </c>
    </row>
    <row r="236" spans="1:13" x14ac:dyDescent="0.3">
      <c r="A236" t="str">
        <f>IFERROR(INDEX('Product Master'!$A$7:$A$1000,_xlfn.AGGREGATE(15,6,(ROW('Product Master'!$A$7:$A$1000)-ROW('Product Master'!$A$7)+1)/(('Product Master'!$A$7:$A$1000&lt;&gt;"")*('Product Master'!$P$7:$P$1000="Low Stock")),ROWS($A$12:A236))),"")</f>
        <v/>
      </c>
      <c r="B236" t="str">
        <f>IF($A236="","",INDEX('Product Master'!$B$7:$B$1000,MATCH($A236,'Product Master'!$A$7:$A$1000,0)))</f>
        <v/>
      </c>
      <c r="C236" t="str">
        <f>IF($A236="","",INDEX('Product Master'!$C$7:$C$1000,MATCH($A236,'Product Master'!$A$7:$A$1000,0)))</f>
        <v/>
      </c>
      <c r="D236" t="str">
        <f>IF($A236="","",INDEX('Product Master'!$M$7:$M$1000,MATCH($A236,'Product Master'!$A$7:$A$1000,0)))</f>
        <v/>
      </c>
      <c r="E236" t="str">
        <f>IF($A236="","",INDEX('Product Master'!$N$7:$N$1000,MATCH($A236,'Product Master'!$A$7:$A$1000,0)))</f>
        <v/>
      </c>
      <c r="F236" t="str">
        <f>IF($A236="","",INDEX('Product Master'!$P$7:$P$1000,MATCH($A236,'Product Master'!$A$7:$A$1000,0)))</f>
        <v/>
      </c>
      <c r="I236" t="str">
        <f>IFERROR(INDEX('Product Master'!$A$7:$A$1000,_xlfn.AGGREGATE(15,6,(ROW('Product Master'!$A$7:$A$1000)-ROW('Product Master'!$A$7)+1)/(('Product Master'!$A$7:$A$1000&lt;&gt;"")*('Product Master'!$P$7:$P$1000="Out of Stock")),ROWS($I$12:I236))),"")</f>
        <v/>
      </c>
      <c r="J236" t="str">
        <f>IF($I236="","",INDEX('Product Master'!$B$7:$B$1000,MATCH($I236,'Product Master'!$A$7:$A$1000,0)))</f>
        <v/>
      </c>
      <c r="K236" t="str">
        <f>IF($I236="","",INDEX('Product Master'!$C$7:$C$1000,MATCH($I236,'Product Master'!$A$7:$A$1000,0)))</f>
        <v/>
      </c>
      <c r="L236" t="str">
        <f>IF($I236="","",INDEX('Product Master'!$M$7:$M$1000,MATCH($I236,'Product Master'!$A$7:$A$1000,0)))</f>
        <v/>
      </c>
      <c r="M236" t="str">
        <f>IF($I236="","",INDEX('Product Master'!$N$7:$N$1000,MATCH($I236,'Product Master'!$A$7:$A$1000,0)))</f>
        <v/>
      </c>
    </row>
    <row r="237" spans="1:13" x14ac:dyDescent="0.3">
      <c r="A237" t="str">
        <f>IFERROR(INDEX('Product Master'!$A$7:$A$1000,_xlfn.AGGREGATE(15,6,(ROW('Product Master'!$A$7:$A$1000)-ROW('Product Master'!$A$7)+1)/(('Product Master'!$A$7:$A$1000&lt;&gt;"")*('Product Master'!$P$7:$P$1000="Low Stock")),ROWS($A$12:A237))),"")</f>
        <v/>
      </c>
      <c r="B237" t="str">
        <f>IF($A237="","",INDEX('Product Master'!$B$7:$B$1000,MATCH($A237,'Product Master'!$A$7:$A$1000,0)))</f>
        <v/>
      </c>
      <c r="C237" t="str">
        <f>IF($A237="","",INDEX('Product Master'!$C$7:$C$1000,MATCH($A237,'Product Master'!$A$7:$A$1000,0)))</f>
        <v/>
      </c>
      <c r="D237" t="str">
        <f>IF($A237="","",INDEX('Product Master'!$M$7:$M$1000,MATCH($A237,'Product Master'!$A$7:$A$1000,0)))</f>
        <v/>
      </c>
      <c r="E237" t="str">
        <f>IF($A237="","",INDEX('Product Master'!$N$7:$N$1000,MATCH($A237,'Product Master'!$A$7:$A$1000,0)))</f>
        <v/>
      </c>
      <c r="F237" t="str">
        <f>IF($A237="","",INDEX('Product Master'!$P$7:$P$1000,MATCH($A237,'Product Master'!$A$7:$A$1000,0)))</f>
        <v/>
      </c>
      <c r="I237" t="str">
        <f>IFERROR(INDEX('Product Master'!$A$7:$A$1000,_xlfn.AGGREGATE(15,6,(ROW('Product Master'!$A$7:$A$1000)-ROW('Product Master'!$A$7)+1)/(('Product Master'!$A$7:$A$1000&lt;&gt;"")*('Product Master'!$P$7:$P$1000="Out of Stock")),ROWS($I$12:I237))),"")</f>
        <v/>
      </c>
      <c r="J237" t="str">
        <f>IF($I237="","",INDEX('Product Master'!$B$7:$B$1000,MATCH($I237,'Product Master'!$A$7:$A$1000,0)))</f>
        <v/>
      </c>
      <c r="K237" t="str">
        <f>IF($I237="","",INDEX('Product Master'!$C$7:$C$1000,MATCH($I237,'Product Master'!$A$7:$A$1000,0)))</f>
        <v/>
      </c>
      <c r="L237" t="str">
        <f>IF($I237="","",INDEX('Product Master'!$M$7:$M$1000,MATCH($I237,'Product Master'!$A$7:$A$1000,0)))</f>
        <v/>
      </c>
      <c r="M237" t="str">
        <f>IF($I237="","",INDEX('Product Master'!$N$7:$N$1000,MATCH($I237,'Product Master'!$A$7:$A$1000,0)))</f>
        <v/>
      </c>
    </row>
    <row r="238" spans="1:13" x14ac:dyDescent="0.3">
      <c r="A238" t="str">
        <f>IFERROR(INDEX('Product Master'!$A$7:$A$1000,_xlfn.AGGREGATE(15,6,(ROW('Product Master'!$A$7:$A$1000)-ROW('Product Master'!$A$7)+1)/(('Product Master'!$A$7:$A$1000&lt;&gt;"")*('Product Master'!$P$7:$P$1000="Low Stock")),ROWS($A$12:A238))),"")</f>
        <v/>
      </c>
      <c r="B238" t="str">
        <f>IF($A238="","",INDEX('Product Master'!$B$7:$B$1000,MATCH($A238,'Product Master'!$A$7:$A$1000,0)))</f>
        <v/>
      </c>
      <c r="C238" t="str">
        <f>IF($A238="","",INDEX('Product Master'!$C$7:$C$1000,MATCH($A238,'Product Master'!$A$7:$A$1000,0)))</f>
        <v/>
      </c>
      <c r="D238" t="str">
        <f>IF($A238="","",INDEX('Product Master'!$M$7:$M$1000,MATCH($A238,'Product Master'!$A$7:$A$1000,0)))</f>
        <v/>
      </c>
      <c r="E238" t="str">
        <f>IF($A238="","",INDEX('Product Master'!$N$7:$N$1000,MATCH($A238,'Product Master'!$A$7:$A$1000,0)))</f>
        <v/>
      </c>
      <c r="F238" t="str">
        <f>IF($A238="","",INDEX('Product Master'!$P$7:$P$1000,MATCH($A238,'Product Master'!$A$7:$A$1000,0)))</f>
        <v/>
      </c>
      <c r="I238" t="str">
        <f>IFERROR(INDEX('Product Master'!$A$7:$A$1000,_xlfn.AGGREGATE(15,6,(ROW('Product Master'!$A$7:$A$1000)-ROW('Product Master'!$A$7)+1)/(('Product Master'!$A$7:$A$1000&lt;&gt;"")*('Product Master'!$P$7:$P$1000="Out of Stock")),ROWS($I$12:I238))),"")</f>
        <v/>
      </c>
      <c r="J238" t="str">
        <f>IF($I238="","",INDEX('Product Master'!$B$7:$B$1000,MATCH($I238,'Product Master'!$A$7:$A$1000,0)))</f>
        <v/>
      </c>
      <c r="K238" t="str">
        <f>IF($I238="","",INDEX('Product Master'!$C$7:$C$1000,MATCH($I238,'Product Master'!$A$7:$A$1000,0)))</f>
        <v/>
      </c>
      <c r="L238" t="str">
        <f>IF($I238="","",INDEX('Product Master'!$M$7:$M$1000,MATCH($I238,'Product Master'!$A$7:$A$1000,0)))</f>
        <v/>
      </c>
      <c r="M238" t="str">
        <f>IF($I238="","",INDEX('Product Master'!$N$7:$N$1000,MATCH($I238,'Product Master'!$A$7:$A$1000,0)))</f>
        <v/>
      </c>
    </row>
    <row r="239" spans="1:13" x14ac:dyDescent="0.3">
      <c r="A239" t="str">
        <f>IFERROR(INDEX('Product Master'!$A$7:$A$1000,_xlfn.AGGREGATE(15,6,(ROW('Product Master'!$A$7:$A$1000)-ROW('Product Master'!$A$7)+1)/(('Product Master'!$A$7:$A$1000&lt;&gt;"")*('Product Master'!$P$7:$P$1000="Low Stock")),ROWS($A$12:A239))),"")</f>
        <v/>
      </c>
      <c r="B239" t="str">
        <f>IF($A239="","",INDEX('Product Master'!$B$7:$B$1000,MATCH($A239,'Product Master'!$A$7:$A$1000,0)))</f>
        <v/>
      </c>
      <c r="C239" t="str">
        <f>IF($A239="","",INDEX('Product Master'!$C$7:$C$1000,MATCH($A239,'Product Master'!$A$7:$A$1000,0)))</f>
        <v/>
      </c>
      <c r="D239" t="str">
        <f>IF($A239="","",INDEX('Product Master'!$M$7:$M$1000,MATCH($A239,'Product Master'!$A$7:$A$1000,0)))</f>
        <v/>
      </c>
      <c r="E239" t="str">
        <f>IF($A239="","",INDEX('Product Master'!$N$7:$N$1000,MATCH($A239,'Product Master'!$A$7:$A$1000,0)))</f>
        <v/>
      </c>
      <c r="F239" t="str">
        <f>IF($A239="","",INDEX('Product Master'!$P$7:$P$1000,MATCH($A239,'Product Master'!$A$7:$A$1000,0)))</f>
        <v/>
      </c>
      <c r="I239" t="str">
        <f>IFERROR(INDEX('Product Master'!$A$7:$A$1000,_xlfn.AGGREGATE(15,6,(ROW('Product Master'!$A$7:$A$1000)-ROW('Product Master'!$A$7)+1)/(('Product Master'!$A$7:$A$1000&lt;&gt;"")*('Product Master'!$P$7:$P$1000="Out of Stock")),ROWS($I$12:I239))),"")</f>
        <v/>
      </c>
      <c r="J239" t="str">
        <f>IF($I239="","",INDEX('Product Master'!$B$7:$B$1000,MATCH($I239,'Product Master'!$A$7:$A$1000,0)))</f>
        <v/>
      </c>
      <c r="K239" t="str">
        <f>IF($I239="","",INDEX('Product Master'!$C$7:$C$1000,MATCH($I239,'Product Master'!$A$7:$A$1000,0)))</f>
        <v/>
      </c>
      <c r="L239" t="str">
        <f>IF($I239="","",INDEX('Product Master'!$M$7:$M$1000,MATCH($I239,'Product Master'!$A$7:$A$1000,0)))</f>
        <v/>
      </c>
      <c r="M239" t="str">
        <f>IF($I239="","",INDEX('Product Master'!$N$7:$N$1000,MATCH($I239,'Product Master'!$A$7:$A$1000,0)))</f>
        <v/>
      </c>
    </row>
    <row r="240" spans="1:13" x14ac:dyDescent="0.3">
      <c r="A240" t="str">
        <f>IFERROR(INDEX('Product Master'!$A$7:$A$1000,_xlfn.AGGREGATE(15,6,(ROW('Product Master'!$A$7:$A$1000)-ROW('Product Master'!$A$7)+1)/(('Product Master'!$A$7:$A$1000&lt;&gt;"")*('Product Master'!$P$7:$P$1000="Low Stock")),ROWS($A$12:A240))),"")</f>
        <v/>
      </c>
      <c r="B240" t="str">
        <f>IF($A240="","",INDEX('Product Master'!$B$7:$B$1000,MATCH($A240,'Product Master'!$A$7:$A$1000,0)))</f>
        <v/>
      </c>
      <c r="C240" t="str">
        <f>IF($A240="","",INDEX('Product Master'!$C$7:$C$1000,MATCH($A240,'Product Master'!$A$7:$A$1000,0)))</f>
        <v/>
      </c>
      <c r="D240" t="str">
        <f>IF($A240="","",INDEX('Product Master'!$M$7:$M$1000,MATCH($A240,'Product Master'!$A$7:$A$1000,0)))</f>
        <v/>
      </c>
      <c r="E240" t="str">
        <f>IF($A240="","",INDEX('Product Master'!$N$7:$N$1000,MATCH($A240,'Product Master'!$A$7:$A$1000,0)))</f>
        <v/>
      </c>
      <c r="F240" t="str">
        <f>IF($A240="","",INDEX('Product Master'!$P$7:$P$1000,MATCH($A240,'Product Master'!$A$7:$A$1000,0)))</f>
        <v/>
      </c>
      <c r="I240" t="str">
        <f>IFERROR(INDEX('Product Master'!$A$7:$A$1000,_xlfn.AGGREGATE(15,6,(ROW('Product Master'!$A$7:$A$1000)-ROW('Product Master'!$A$7)+1)/(('Product Master'!$A$7:$A$1000&lt;&gt;"")*('Product Master'!$P$7:$P$1000="Out of Stock")),ROWS($I$12:I240))),"")</f>
        <v/>
      </c>
      <c r="J240" t="str">
        <f>IF($I240="","",INDEX('Product Master'!$B$7:$B$1000,MATCH($I240,'Product Master'!$A$7:$A$1000,0)))</f>
        <v/>
      </c>
      <c r="K240" t="str">
        <f>IF($I240="","",INDEX('Product Master'!$C$7:$C$1000,MATCH($I240,'Product Master'!$A$7:$A$1000,0)))</f>
        <v/>
      </c>
      <c r="L240" t="str">
        <f>IF($I240="","",INDEX('Product Master'!$M$7:$M$1000,MATCH($I240,'Product Master'!$A$7:$A$1000,0)))</f>
        <v/>
      </c>
      <c r="M240" t="str">
        <f>IF($I240="","",INDEX('Product Master'!$N$7:$N$1000,MATCH($I240,'Product Master'!$A$7:$A$1000,0)))</f>
        <v/>
      </c>
    </row>
    <row r="241" spans="1:13" x14ac:dyDescent="0.3">
      <c r="A241" t="str">
        <f>IFERROR(INDEX('Product Master'!$A$7:$A$1000,_xlfn.AGGREGATE(15,6,(ROW('Product Master'!$A$7:$A$1000)-ROW('Product Master'!$A$7)+1)/(('Product Master'!$A$7:$A$1000&lt;&gt;"")*('Product Master'!$P$7:$P$1000="Low Stock")),ROWS($A$12:A241))),"")</f>
        <v/>
      </c>
      <c r="B241" t="str">
        <f>IF($A241="","",INDEX('Product Master'!$B$7:$B$1000,MATCH($A241,'Product Master'!$A$7:$A$1000,0)))</f>
        <v/>
      </c>
      <c r="C241" t="str">
        <f>IF($A241="","",INDEX('Product Master'!$C$7:$C$1000,MATCH($A241,'Product Master'!$A$7:$A$1000,0)))</f>
        <v/>
      </c>
      <c r="D241" t="str">
        <f>IF($A241="","",INDEX('Product Master'!$M$7:$M$1000,MATCH($A241,'Product Master'!$A$7:$A$1000,0)))</f>
        <v/>
      </c>
      <c r="E241" t="str">
        <f>IF($A241="","",INDEX('Product Master'!$N$7:$N$1000,MATCH($A241,'Product Master'!$A$7:$A$1000,0)))</f>
        <v/>
      </c>
      <c r="F241" t="str">
        <f>IF($A241="","",INDEX('Product Master'!$P$7:$P$1000,MATCH($A241,'Product Master'!$A$7:$A$1000,0)))</f>
        <v/>
      </c>
      <c r="I241" t="str">
        <f>IFERROR(INDEX('Product Master'!$A$7:$A$1000,_xlfn.AGGREGATE(15,6,(ROW('Product Master'!$A$7:$A$1000)-ROW('Product Master'!$A$7)+1)/(('Product Master'!$A$7:$A$1000&lt;&gt;"")*('Product Master'!$P$7:$P$1000="Out of Stock")),ROWS($I$12:I241))),"")</f>
        <v/>
      </c>
      <c r="J241" t="str">
        <f>IF($I241="","",INDEX('Product Master'!$B$7:$B$1000,MATCH($I241,'Product Master'!$A$7:$A$1000,0)))</f>
        <v/>
      </c>
      <c r="K241" t="str">
        <f>IF($I241="","",INDEX('Product Master'!$C$7:$C$1000,MATCH($I241,'Product Master'!$A$7:$A$1000,0)))</f>
        <v/>
      </c>
      <c r="L241" t="str">
        <f>IF($I241="","",INDEX('Product Master'!$M$7:$M$1000,MATCH($I241,'Product Master'!$A$7:$A$1000,0)))</f>
        <v/>
      </c>
      <c r="M241" t="str">
        <f>IF($I241="","",INDEX('Product Master'!$N$7:$N$1000,MATCH($I241,'Product Master'!$A$7:$A$1000,0)))</f>
        <v/>
      </c>
    </row>
    <row r="242" spans="1:13" x14ac:dyDescent="0.3">
      <c r="A242" t="str">
        <f>IFERROR(INDEX('Product Master'!$A$7:$A$1000,_xlfn.AGGREGATE(15,6,(ROW('Product Master'!$A$7:$A$1000)-ROW('Product Master'!$A$7)+1)/(('Product Master'!$A$7:$A$1000&lt;&gt;"")*('Product Master'!$P$7:$P$1000="Low Stock")),ROWS($A$12:A242))),"")</f>
        <v/>
      </c>
      <c r="B242" t="str">
        <f>IF($A242="","",INDEX('Product Master'!$B$7:$B$1000,MATCH($A242,'Product Master'!$A$7:$A$1000,0)))</f>
        <v/>
      </c>
      <c r="C242" t="str">
        <f>IF($A242="","",INDEX('Product Master'!$C$7:$C$1000,MATCH($A242,'Product Master'!$A$7:$A$1000,0)))</f>
        <v/>
      </c>
      <c r="D242" t="str">
        <f>IF($A242="","",INDEX('Product Master'!$M$7:$M$1000,MATCH($A242,'Product Master'!$A$7:$A$1000,0)))</f>
        <v/>
      </c>
      <c r="E242" t="str">
        <f>IF($A242="","",INDEX('Product Master'!$N$7:$N$1000,MATCH($A242,'Product Master'!$A$7:$A$1000,0)))</f>
        <v/>
      </c>
      <c r="F242" t="str">
        <f>IF($A242="","",INDEX('Product Master'!$P$7:$P$1000,MATCH($A242,'Product Master'!$A$7:$A$1000,0)))</f>
        <v/>
      </c>
      <c r="I242" t="str">
        <f>IFERROR(INDEX('Product Master'!$A$7:$A$1000,_xlfn.AGGREGATE(15,6,(ROW('Product Master'!$A$7:$A$1000)-ROW('Product Master'!$A$7)+1)/(('Product Master'!$A$7:$A$1000&lt;&gt;"")*('Product Master'!$P$7:$P$1000="Out of Stock")),ROWS($I$12:I242))),"")</f>
        <v/>
      </c>
      <c r="J242" t="str">
        <f>IF($I242="","",INDEX('Product Master'!$B$7:$B$1000,MATCH($I242,'Product Master'!$A$7:$A$1000,0)))</f>
        <v/>
      </c>
      <c r="K242" t="str">
        <f>IF($I242="","",INDEX('Product Master'!$C$7:$C$1000,MATCH($I242,'Product Master'!$A$7:$A$1000,0)))</f>
        <v/>
      </c>
      <c r="L242" t="str">
        <f>IF($I242="","",INDEX('Product Master'!$M$7:$M$1000,MATCH($I242,'Product Master'!$A$7:$A$1000,0)))</f>
        <v/>
      </c>
      <c r="M242" t="str">
        <f>IF($I242="","",INDEX('Product Master'!$N$7:$N$1000,MATCH($I242,'Product Master'!$A$7:$A$1000,0)))</f>
        <v/>
      </c>
    </row>
    <row r="243" spans="1:13" x14ac:dyDescent="0.3">
      <c r="A243" t="str">
        <f>IFERROR(INDEX('Product Master'!$A$7:$A$1000,_xlfn.AGGREGATE(15,6,(ROW('Product Master'!$A$7:$A$1000)-ROW('Product Master'!$A$7)+1)/(('Product Master'!$A$7:$A$1000&lt;&gt;"")*('Product Master'!$P$7:$P$1000="Low Stock")),ROWS($A$12:A243))),"")</f>
        <v/>
      </c>
      <c r="B243" t="str">
        <f>IF($A243="","",INDEX('Product Master'!$B$7:$B$1000,MATCH($A243,'Product Master'!$A$7:$A$1000,0)))</f>
        <v/>
      </c>
      <c r="C243" t="str">
        <f>IF($A243="","",INDEX('Product Master'!$C$7:$C$1000,MATCH($A243,'Product Master'!$A$7:$A$1000,0)))</f>
        <v/>
      </c>
      <c r="D243" t="str">
        <f>IF($A243="","",INDEX('Product Master'!$M$7:$M$1000,MATCH($A243,'Product Master'!$A$7:$A$1000,0)))</f>
        <v/>
      </c>
      <c r="E243" t="str">
        <f>IF($A243="","",INDEX('Product Master'!$N$7:$N$1000,MATCH($A243,'Product Master'!$A$7:$A$1000,0)))</f>
        <v/>
      </c>
      <c r="F243" t="str">
        <f>IF($A243="","",INDEX('Product Master'!$P$7:$P$1000,MATCH($A243,'Product Master'!$A$7:$A$1000,0)))</f>
        <v/>
      </c>
      <c r="I243" t="str">
        <f>IFERROR(INDEX('Product Master'!$A$7:$A$1000,_xlfn.AGGREGATE(15,6,(ROW('Product Master'!$A$7:$A$1000)-ROW('Product Master'!$A$7)+1)/(('Product Master'!$A$7:$A$1000&lt;&gt;"")*('Product Master'!$P$7:$P$1000="Out of Stock")),ROWS($I$12:I243))),"")</f>
        <v/>
      </c>
      <c r="J243" t="str">
        <f>IF($I243="","",INDEX('Product Master'!$B$7:$B$1000,MATCH($I243,'Product Master'!$A$7:$A$1000,0)))</f>
        <v/>
      </c>
      <c r="K243" t="str">
        <f>IF($I243="","",INDEX('Product Master'!$C$7:$C$1000,MATCH($I243,'Product Master'!$A$7:$A$1000,0)))</f>
        <v/>
      </c>
      <c r="L243" t="str">
        <f>IF($I243="","",INDEX('Product Master'!$M$7:$M$1000,MATCH($I243,'Product Master'!$A$7:$A$1000,0)))</f>
        <v/>
      </c>
      <c r="M243" t="str">
        <f>IF($I243="","",INDEX('Product Master'!$N$7:$N$1000,MATCH($I243,'Product Master'!$A$7:$A$1000,0)))</f>
        <v/>
      </c>
    </row>
    <row r="244" spans="1:13" x14ac:dyDescent="0.3">
      <c r="A244" t="str">
        <f>IFERROR(INDEX('Product Master'!$A$7:$A$1000,_xlfn.AGGREGATE(15,6,(ROW('Product Master'!$A$7:$A$1000)-ROW('Product Master'!$A$7)+1)/(('Product Master'!$A$7:$A$1000&lt;&gt;"")*('Product Master'!$P$7:$P$1000="Low Stock")),ROWS($A$12:A244))),"")</f>
        <v/>
      </c>
      <c r="B244" t="str">
        <f>IF($A244="","",INDEX('Product Master'!$B$7:$B$1000,MATCH($A244,'Product Master'!$A$7:$A$1000,0)))</f>
        <v/>
      </c>
      <c r="C244" t="str">
        <f>IF($A244="","",INDEX('Product Master'!$C$7:$C$1000,MATCH($A244,'Product Master'!$A$7:$A$1000,0)))</f>
        <v/>
      </c>
      <c r="D244" t="str">
        <f>IF($A244="","",INDEX('Product Master'!$M$7:$M$1000,MATCH($A244,'Product Master'!$A$7:$A$1000,0)))</f>
        <v/>
      </c>
      <c r="E244" t="str">
        <f>IF($A244="","",INDEX('Product Master'!$N$7:$N$1000,MATCH($A244,'Product Master'!$A$7:$A$1000,0)))</f>
        <v/>
      </c>
      <c r="F244" t="str">
        <f>IF($A244="","",INDEX('Product Master'!$P$7:$P$1000,MATCH($A244,'Product Master'!$A$7:$A$1000,0)))</f>
        <v/>
      </c>
      <c r="I244" t="str">
        <f>IFERROR(INDEX('Product Master'!$A$7:$A$1000,_xlfn.AGGREGATE(15,6,(ROW('Product Master'!$A$7:$A$1000)-ROW('Product Master'!$A$7)+1)/(('Product Master'!$A$7:$A$1000&lt;&gt;"")*('Product Master'!$P$7:$P$1000="Out of Stock")),ROWS($I$12:I244))),"")</f>
        <v/>
      </c>
      <c r="J244" t="str">
        <f>IF($I244="","",INDEX('Product Master'!$B$7:$B$1000,MATCH($I244,'Product Master'!$A$7:$A$1000,0)))</f>
        <v/>
      </c>
      <c r="K244" t="str">
        <f>IF($I244="","",INDEX('Product Master'!$C$7:$C$1000,MATCH($I244,'Product Master'!$A$7:$A$1000,0)))</f>
        <v/>
      </c>
      <c r="L244" t="str">
        <f>IF($I244="","",INDEX('Product Master'!$M$7:$M$1000,MATCH($I244,'Product Master'!$A$7:$A$1000,0)))</f>
        <v/>
      </c>
      <c r="M244" t="str">
        <f>IF($I244="","",INDEX('Product Master'!$N$7:$N$1000,MATCH($I244,'Product Master'!$A$7:$A$1000,0)))</f>
        <v/>
      </c>
    </row>
    <row r="245" spans="1:13" x14ac:dyDescent="0.3">
      <c r="A245" t="str">
        <f>IFERROR(INDEX('Product Master'!$A$7:$A$1000,_xlfn.AGGREGATE(15,6,(ROW('Product Master'!$A$7:$A$1000)-ROW('Product Master'!$A$7)+1)/(('Product Master'!$A$7:$A$1000&lt;&gt;"")*('Product Master'!$P$7:$P$1000="Low Stock")),ROWS($A$12:A245))),"")</f>
        <v/>
      </c>
      <c r="B245" t="str">
        <f>IF($A245="","",INDEX('Product Master'!$B$7:$B$1000,MATCH($A245,'Product Master'!$A$7:$A$1000,0)))</f>
        <v/>
      </c>
      <c r="C245" t="str">
        <f>IF($A245="","",INDEX('Product Master'!$C$7:$C$1000,MATCH($A245,'Product Master'!$A$7:$A$1000,0)))</f>
        <v/>
      </c>
      <c r="D245" t="str">
        <f>IF($A245="","",INDEX('Product Master'!$M$7:$M$1000,MATCH($A245,'Product Master'!$A$7:$A$1000,0)))</f>
        <v/>
      </c>
      <c r="E245" t="str">
        <f>IF($A245="","",INDEX('Product Master'!$N$7:$N$1000,MATCH($A245,'Product Master'!$A$7:$A$1000,0)))</f>
        <v/>
      </c>
      <c r="F245" t="str">
        <f>IF($A245="","",INDEX('Product Master'!$P$7:$P$1000,MATCH($A245,'Product Master'!$A$7:$A$1000,0)))</f>
        <v/>
      </c>
      <c r="I245" t="str">
        <f>IFERROR(INDEX('Product Master'!$A$7:$A$1000,_xlfn.AGGREGATE(15,6,(ROW('Product Master'!$A$7:$A$1000)-ROW('Product Master'!$A$7)+1)/(('Product Master'!$A$7:$A$1000&lt;&gt;"")*('Product Master'!$P$7:$P$1000="Out of Stock")),ROWS($I$12:I245))),"")</f>
        <v/>
      </c>
      <c r="J245" t="str">
        <f>IF($I245="","",INDEX('Product Master'!$B$7:$B$1000,MATCH($I245,'Product Master'!$A$7:$A$1000,0)))</f>
        <v/>
      </c>
      <c r="K245" t="str">
        <f>IF($I245="","",INDEX('Product Master'!$C$7:$C$1000,MATCH($I245,'Product Master'!$A$7:$A$1000,0)))</f>
        <v/>
      </c>
      <c r="L245" t="str">
        <f>IF($I245="","",INDEX('Product Master'!$M$7:$M$1000,MATCH($I245,'Product Master'!$A$7:$A$1000,0)))</f>
        <v/>
      </c>
      <c r="M245" t="str">
        <f>IF($I245="","",INDEX('Product Master'!$N$7:$N$1000,MATCH($I245,'Product Master'!$A$7:$A$1000,0)))</f>
        <v/>
      </c>
    </row>
    <row r="246" spans="1:13" x14ac:dyDescent="0.3">
      <c r="A246" t="str">
        <f>IFERROR(INDEX('Product Master'!$A$7:$A$1000,_xlfn.AGGREGATE(15,6,(ROW('Product Master'!$A$7:$A$1000)-ROW('Product Master'!$A$7)+1)/(('Product Master'!$A$7:$A$1000&lt;&gt;"")*('Product Master'!$P$7:$P$1000="Low Stock")),ROWS($A$12:A246))),"")</f>
        <v/>
      </c>
      <c r="B246" t="str">
        <f>IF($A246="","",INDEX('Product Master'!$B$7:$B$1000,MATCH($A246,'Product Master'!$A$7:$A$1000,0)))</f>
        <v/>
      </c>
      <c r="C246" t="str">
        <f>IF($A246="","",INDEX('Product Master'!$C$7:$C$1000,MATCH($A246,'Product Master'!$A$7:$A$1000,0)))</f>
        <v/>
      </c>
      <c r="D246" t="str">
        <f>IF($A246="","",INDEX('Product Master'!$M$7:$M$1000,MATCH($A246,'Product Master'!$A$7:$A$1000,0)))</f>
        <v/>
      </c>
      <c r="E246" t="str">
        <f>IF($A246="","",INDEX('Product Master'!$N$7:$N$1000,MATCH($A246,'Product Master'!$A$7:$A$1000,0)))</f>
        <v/>
      </c>
      <c r="F246" t="str">
        <f>IF($A246="","",INDEX('Product Master'!$P$7:$P$1000,MATCH($A246,'Product Master'!$A$7:$A$1000,0)))</f>
        <v/>
      </c>
      <c r="I246" t="str">
        <f>IFERROR(INDEX('Product Master'!$A$7:$A$1000,_xlfn.AGGREGATE(15,6,(ROW('Product Master'!$A$7:$A$1000)-ROW('Product Master'!$A$7)+1)/(('Product Master'!$A$7:$A$1000&lt;&gt;"")*('Product Master'!$P$7:$P$1000="Out of Stock")),ROWS($I$12:I246))),"")</f>
        <v/>
      </c>
      <c r="J246" t="str">
        <f>IF($I246="","",INDEX('Product Master'!$B$7:$B$1000,MATCH($I246,'Product Master'!$A$7:$A$1000,0)))</f>
        <v/>
      </c>
      <c r="K246" t="str">
        <f>IF($I246="","",INDEX('Product Master'!$C$7:$C$1000,MATCH($I246,'Product Master'!$A$7:$A$1000,0)))</f>
        <v/>
      </c>
      <c r="L246" t="str">
        <f>IF($I246="","",INDEX('Product Master'!$M$7:$M$1000,MATCH($I246,'Product Master'!$A$7:$A$1000,0)))</f>
        <v/>
      </c>
      <c r="M246" t="str">
        <f>IF($I246="","",INDEX('Product Master'!$N$7:$N$1000,MATCH($I246,'Product Master'!$A$7:$A$1000,0)))</f>
        <v/>
      </c>
    </row>
    <row r="247" spans="1:13" x14ac:dyDescent="0.3">
      <c r="A247" t="str">
        <f>IFERROR(INDEX('Product Master'!$A$7:$A$1000,_xlfn.AGGREGATE(15,6,(ROW('Product Master'!$A$7:$A$1000)-ROW('Product Master'!$A$7)+1)/(('Product Master'!$A$7:$A$1000&lt;&gt;"")*('Product Master'!$P$7:$P$1000="Low Stock")),ROWS($A$12:A247))),"")</f>
        <v/>
      </c>
      <c r="B247" t="str">
        <f>IF($A247="","",INDEX('Product Master'!$B$7:$B$1000,MATCH($A247,'Product Master'!$A$7:$A$1000,0)))</f>
        <v/>
      </c>
      <c r="C247" t="str">
        <f>IF($A247="","",INDEX('Product Master'!$C$7:$C$1000,MATCH($A247,'Product Master'!$A$7:$A$1000,0)))</f>
        <v/>
      </c>
      <c r="D247" t="str">
        <f>IF($A247="","",INDEX('Product Master'!$M$7:$M$1000,MATCH($A247,'Product Master'!$A$7:$A$1000,0)))</f>
        <v/>
      </c>
      <c r="E247" t="str">
        <f>IF($A247="","",INDEX('Product Master'!$N$7:$N$1000,MATCH($A247,'Product Master'!$A$7:$A$1000,0)))</f>
        <v/>
      </c>
      <c r="F247" t="str">
        <f>IF($A247="","",INDEX('Product Master'!$P$7:$P$1000,MATCH($A247,'Product Master'!$A$7:$A$1000,0)))</f>
        <v/>
      </c>
      <c r="I247" t="str">
        <f>IFERROR(INDEX('Product Master'!$A$7:$A$1000,_xlfn.AGGREGATE(15,6,(ROW('Product Master'!$A$7:$A$1000)-ROW('Product Master'!$A$7)+1)/(('Product Master'!$A$7:$A$1000&lt;&gt;"")*('Product Master'!$P$7:$P$1000="Out of Stock")),ROWS($I$12:I247))),"")</f>
        <v/>
      </c>
      <c r="J247" t="str">
        <f>IF($I247="","",INDEX('Product Master'!$B$7:$B$1000,MATCH($I247,'Product Master'!$A$7:$A$1000,0)))</f>
        <v/>
      </c>
      <c r="K247" t="str">
        <f>IF($I247="","",INDEX('Product Master'!$C$7:$C$1000,MATCH($I247,'Product Master'!$A$7:$A$1000,0)))</f>
        <v/>
      </c>
      <c r="L247" t="str">
        <f>IF($I247="","",INDEX('Product Master'!$M$7:$M$1000,MATCH($I247,'Product Master'!$A$7:$A$1000,0)))</f>
        <v/>
      </c>
      <c r="M247" t="str">
        <f>IF($I247="","",INDEX('Product Master'!$N$7:$N$1000,MATCH($I247,'Product Master'!$A$7:$A$1000,0)))</f>
        <v/>
      </c>
    </row>
    <row r="248" spans="1:13" x14ac:dyDescent="0.3">
      <c r="A248" t="str">
        <f>IFERROR(INDEX('Product Master'!$A$7:$A$1000,_xlfn.AGGREGATE(15,6,(ROW('Product Master'!$A$7:$A$1000)-ROW('Product Master'!$A$7)+1)/(('Product Master'!$A$7:$A$1000&lt;&gt;"")*('Product Master'!$P$7:$P$1000="Low Stock")),ROWS($A$12:A248))),"")</f>
        <v/>
      </c>
      <c r="B248" t="str">
        <f>IF($A248="","",INDEX('Product Master'!$B$7:$B$1000,MATCH($A248,'Product Master'!$A$7:$A$1000,0)))</f>
        <v/>
      </c>
      <c r="C248" t="str">
        <f>IF($A248="","",INDEX('Product Master'!$C$7:$C$1000,MATCH($A248,'Product Master'!$A$7:$A$1000,0)))</f>
        <v/>
      </c>
      <c r="D248" t="str">
        <f>IF($A248="","",INDEX('Product Master'!$M$7:$M$1000,MATCH($A248,'Product Master'!$A$7:$A$1000,0)))</f>
        <v/>
      </c>
      <c r="E248" t="str">
        <f>IF($A248="","",INDEX('Product Master'!$N$7:$N$1000,MATCH($A248,'Product Master'!$A$7:$A$1000,0)))</f>
        <v/>
      </c>
      <c r="F248" t="str">
        <f>IF($A248="","",INDEX('Product Master'!$P$7:$P$1000,MATCH($A248,'Product Master'!$A$7:$A$1000,0)))</f>
        <v/>
      </c>
      <c r="I248" t="str">
        <f>IFERROR(INDEX('Product Master'!$A$7:$A$1000,_xlfn.AGGREGATE(15,6,(ROW('Product Master'!$A$7:$A$1000)-ROW('Product Master'!$A$7)+1)/(('Product Master'!$A$7:$A$1000&lt;&gt;"")*('Product Master'!$P$7:$P$1000="Out of Stock")),ROWS($I$12:I248))),"")</f>
        <v/>
      </c>
      <c r="J248" t="str">
        <f>IF($I248="","",INDEX('Product Master'!$B$7:$B$1000,MATCH($I248,'Product Master'!$A$7:$A$1000,0)))</f>
        <v/>
      </c>
      <c r="K248" t="str">
        <f>IF($I248="","",INDEX('Product Master'!$C$7:$C$1000,MATCH($I248,'Product Master'!$A$7:$A$1000,0)))</f>
        <v/>
      </c>
      <c r="L248" t="str">
        <f>IF($I248="","",INDEX('Product Master'!$M$7:$M$1000,MATCH($I248,'Product Master'!$A$7:$A$1000,0)))</f>
        <v/>
      </c>
      <c r="M248" t="str">
        <f>IF($I248="","",INDEX('Product Master'!$N$7:$N$1000,MATCH($I248,'Product Master'!$A$7:$A$1000,0)))</f>
        <v/>
      </c>
    </row>
    <row r="249" spans="1:13" x14ac:dyDescent="0.3">
      <c r="A249" t="str">
        <f>IFERROR(INDEX('Product Master'!$A$7:$A$1000,_xlfn.AGGREGATE(15,6,(ROW('Product Master'!$A$7:$A$1000)-ROW('Product Master'!$A$7)+1)/(('Product Master'!$A$7:$A$1000&lt;&gt;"")*('Product Master'!$P$7:$P$1000="Low Stock")),ROWS($A$12:A249))),"")</f>
        <v/>
      </c>
      <c r="B249" t="str">
        <f>IF($A249="","",INDEX('Product Master'!$B$7:$B$1000,MATCH($A249,'Product Master'!$A$7:$A$1000,0)))</f>
        <v/>
      </c>
      <c r="C249" t="str">
        <f>IF($A249="","",INDEX('Product Master'!$C$7:$C$1000,MATCH($A249,'Product Master'!$A$7:$A$1000,0)))</f>
        <v/>
      </c>
      <c r="D249" t="str">
        <f>IF($A249="","",INDEX('Product Master'!$M$7:$M$1000,MATCH($A249,'Product Master'!$A$7:$A$1000,0)))</f>
        <v/>
      </c>
      <c r="E249" t="str">
        <f>IF($A249="","",INDEX('Product Master'!$N$7:$N$1000,MATCH($A249,'Product Master'!$A$7:$A$1000,0)))</f>
        <v/>
      </c>
      <c r="F249" t="str">
        <f>IF($A249="","",INDEX('Product Master'!$P$7:$P$1000,MATCH($A249,'Product Master'!$A$7:$A$1000,0)))</f>
        <v/>
      </c>
      <c r="I249" t="str">
        <f>IFERROR(INDEX('Product Master'!$A$7:$A$1000,_xlfn.AGGREGATE(15,6,(ROW('Product Master'!$A$7:$A$1000)-ROW('Product Master'!$A$7)+1)/(('Product Master'!$A$7:$A$1000&lt;&gt;"")*('Product Master'!$P$7:$P$1000="Out of Stock")),ROWS($I$12:I249))),"")</f>
        <v/>
      </c>
      <c r="J249" t="str">
        <f>IF($I249="","",INDEX('Product Master'!$B$7:$B$1000,MATCH($I249,'Product Master'!$A$7:$A$1000,0)))</f>
        <v/>
      </c>
      <c r="K249" t="str">
        <f>IF($I249="","",INDEX('Product Master'!$C$7:$C$1000,MATCH($I249,'Product Master'!$A$7:$A$1000,0)))</f>
        <v/>
      </c>
      <c r="L249" t="str">
        <f>IF($I249="","",INDEX('Product Master'!$M$7:$M$1000,MATCH($I249,'Product Master'!$A$7:$A$1000,0)))</f>
        <v/>
      </c>
      <c r="M249" t="str">
        <f>IF($I249="","",INDEX('Product Master'!$N$7:$N$1000,MATCH($I249,'Product Master'!$A$7:$A$1000,0)))</f>
        <v/>
      </c>
    </row>
    <row r="250" spans="1:13" x14ac:dyDescent="0.3">
      <c r="A250" t="str">
        <f>IFERROR(INDEX('Product Master'!$A$7:$A$1000,_xlfn.AGGREGATE(15,6,(ROW('Product Master'!$A$7:$A$1000)-ROW('Product Master'!$A$7)+1)/(('Product Master'!$A$7:$A$1000&lt;&gt;"")*('Product Master'!$P$7:$P$1000="Low Stock")),ROWS($A$12:A250))),"")</f>
        <v/>
      </c>
      <c r="B250" t="str">
        <f>IF($A250="","",INDEX('Product Master'!$B$7:$B$1000,MATCH($A250,'Product Master'!$A$7:$A$1000,0)))</f>
        <v/>
      </c>
      <c r="C250" t="str">
        <f>IF($A250="","",INDEX('Product Master'!$C$7:$C$1000,MATCH($A250,'Product Master'!$A$7:$A$1000,0)))</f>
        <v/>
      </c>
      <c r="D250" t="str">
        <f>IF($A250="","",INDEX('Product Master'!$M$7:$M$1000,MATCH($A250,'Product Master'!$A$7:$A$1000,0)))</f>
        <v/>
      </c>
      <c r="E250" t="str">
        <f>IF($A250="","",INDEX('Product Master'!$N$7:$N$1000,MATCH($A250,'Product Master'!$A$7:$A$1000,0)))</f>
        <v/>
      </c>
      <c r="F250" t="str">
        <f>IF($A250="","",INDEX('Product Master'!$P$7:$P$1000,MATCH($A250,'Product Master'!$A$7:$A$1000,0)))</f>
        <v/>
      </c>
      <c r="I250" t="str">
        <f>IFERROR(INDEX('Product Master'!$A$7:$A$1000,_xlfn.AGGREGATE(15,6,(ROW('Product Master'!$A$7:$A$1000)-ROW('Product Master'!$A$7)+1)/(('Product Master'!$A$7:$A$1000&lt;&gt;"")*('Product Master'!$P$7:$P$1000="Out of Stock")),ROWS($I$12:I250))),"")</f>
        <v/>
      </c>
      <c r="J250" t="str">
        <f>IF($I250="","",INDEX('Product Master'!$B$7:$B$1000,MATCH($I250,'Product Master'!$A$7:$A$1000,0)))</f>
        <v/>
      </c>
      <c r="K250" t="str">
        <f>IF($I250="","",INDEX('Product Master'!$C$7:$C$1000,MATCH($I250,'Product Master'!$A$7:$A$1000,0)))</f>
        <v/>
      </c>
      <c r="L250" t="str">
        <f>IF($I250="","",INDEX('Product Master'!$M$7:$M$1000,MATCH($I250,'Product Master'!$A$7:$A$1000,0)))</f>
        <v/>
      </c>
      <c r="M250" t="str">
        <f>IF($I250="","",INDEX('Product Master'!$N$7:$N$1000,MATCH($I250,'Product Master'!$A$7:$A$1000,0)))</f>
        <v/>
      </c>
    </row>
    <row r="251" spans="1:13" x14ac:dyDescent="0.3">
      <c r="A251" t="str">
        <f>IFERROR(INDEX('Product Master'!$A$7:$A$1000,_xlfn.AGGREGATE(15,6,(ROW('Product Master'!$A$7:$A$1000)-ROW('Product Master'!$A$7)+1)/(('Product Master'!$A$7:$A$1000&lt;&gt;"")*('Product Master'!$P$7:$P$1000="Low Stock")),ROWS($A$12:A251))),"")</f>
        <v/>
      </c>
      <c r="B251" t="str">
        <f>IF($A251="","",INDEX('Product Master'!$B$7:$B$1000,MATCH($A251,'Product Master'!$A$7:$A$1000,0)))</f>
        <v/>
      </c>
      <c r="C251" t="str">
        <f>IF($A251="","",INDEX('Product Master'!$C$7:$C$1000,MATCH($A251,'Product Master'!$A$7:$A$1000,0)))</f>
        <v/>
      </c>
      <c r="D251" t="str">
        <f>IF($A251="","",INDEX('Product Master'!$M$7:$M$1000,MATCH($A251,'Product Master'!$A$7:$A$1000,0)))</f>
        <v/>
      </c>
      <c r="E251" t="str">
        <f>IF($A251="","",INDEX('Product Master'!$N$7:$N$1000,MATCH($A251,'Product Master'!$A$7:$A$1000,0)))</f>
        <v/>
      </c>
      <c r="F251" t="str">
        <f>IF($A251="","",INDEX('Product Master'!$P$7:$P$1000,MATCH($A251,'Product Master'!$A$7:$A$1000,0)))</f>
        <v/>
      </c>
      <c r="I251" t="str">
        <f>IFERROR(INDEX('Product Master'!$A$7:$A$1000,_xlfn.AGGREGATE(15,6,(ROW('Product Master'!$A$7:$A$1000)-ROW('Product Master'!$A$7)+1)/(('Product Master'!$A$7:$A$1000&lt;&gt;"")*('Product Master'!$P$7:$P$1000="Out of Stock")),ROWS($I$12:I251))),"")</f>
        <v/>
      </c>
      <c r="J251" t="str">
        <f>IF($I251="","",INDEX('Product Master'!$B$7:$B$1000,MATCH($I251,'Product Master'!$A$7:$A$1000,0)))</f>
        <v/>
      </c>
      <c r="K251" t="str">
        <f>IF($I251="","",INDEX('Product Master'!$C$7:$C$1000,MATCH($I251,'Product Master'!$A$7:$A$1000,0)))</f>
        <v/>
      </c>
      <c r="L251" t="str">
        <f>IF($I251="","",INDEX('Product Master'!$M$7:$M$1000,MATCH($I251,'Product Master'!$A$7:$A$1000,0)))</f>
        <v/>
      </c>
      <c r="M251" t="str">
        <f>IF($I251="","",INDEX('Product Master'!$N$7:$N$1000,MATCH($I251,'Product Master'!$A$7:$A$1000,0)))</f>
        <v/>
      </c>
    </row>
    <row r="252" spans="1:13" x14ac:dyDescent="0.3">
      <c r="A252" t="str">
        <f>IFERROR(INDEX('Product Master'!$A$7:$A$1000,_xlfn.AGGREGATE(15,6,(ROW('Product Master'!$A$7:$A$1000)-ROW('Product Master'!$A$7)+1)/(('Product Master'!$A$7:$A$1000&lt;&gt;"")*('Product Master'!$P$7:$P$1000="Low Stock")),ROWS($A$12:A252))),"")</f>
        <v/>
      </c>
      <c r="B252" t="str">
        <f>IF($A252="","",INDEX('Product Master'!$B$7:$B$1000,MATCH($A252,'Product Master'!$A$7:$A$1000,0)))</f>
        <v/>
      </c>
      <c r="C252" t="str">
        <f>IF($A252="","",INDEX('Product Master'!$C$7:$C$1000,MATCH($A252,'Product Master'!$A$7:$A$1000,0)))</f>
        <v/>
      </c>
      <c r="D252" t="str">
        <f>IF($A252="","",INDEX('Product Master'!$M$7:$M$1000,MATCH($A252,'Product Master'!$A$7:$A$1000,0)))</f>
        <v/>
      </c>
      <c r="E252" t="str">
        <f>IF($A252="","",INDEX('Product Master'!$N$7:$N$1000,MATCH($A252,'Product Master'!$A$7:$A$1000,0)))</f>
        <v/>
      </c>
      <c r="F252" t="str">
        <f>IF($A252="","",INDEX('Product Master'!$P$7:$P$1000,MATCH($A252,'Product Master'!$A$7:$A$1000,0)))</f>
        <v/>
      </c>
      <c r="I252" t="str">
        <f>IFERROR(INDEX('Product Master'!$A$7:$A$1000,_xlfn.AGGREGATE(15,6,(ROW('Product Master'!$A$7:$A$1000)-ROW('Product Master'!$A$7)+1)/(('Product Master'!$A$7:$A$1000&lt;&gt;"")*('Product Master'!$P$7:$P$1000="Out of Stock")),ROWS($I$12:I252))),"")</f>
        <v/>
      </c>
      <c r="J252" t="str">
        <f>IF($I252="","",INDEX('Product Master'!$B$7:$B$1000,MATCH($I252,'Product Master'!$A$7:$A$1000,0)))</f>
        <v/>
      </c>
      <c r="K252" t="str">
        <f>IF($I252="","",INDEX('Product Master'!$C$7:$C$1000,MATCH($I252,'Product Master'!$A$7:$A$1000,0)))</f>
        <v/>
      </c>
      <c r="L252" t="str">
        <f>IF($I252="","",INDEX('Product Master'!$M$7:$M$1000,MATCH($I252,'Product Master'!$A$7:$A$1000,0)))</f>
        <v/>
      </c>
      <c r="M252" t="str">
        <f>IF($I252="","",INDEX('Product Master'!$N$7:$N$1000,MATCH($I252,'Product Master'!$A$7:$A$1000,0)))</f>
        <v/>
      </c>
    </row>
    <row r="253" spans="1:13" x14ac:dyDescent="0.3">
      <c r="A253" t="str">
        <f>IFERROR(INDEX('Product Master'!$A$7:$A$1000,_xlfn.AGGREGATE(15,6,(ROW('Product Master'!$A$7:$A$1000)-ROW('Product Master'!$A$7)+1)/(('Product Master'!$A$7:$A$1000&lt;&gt;"")*('Product Master'!$P$7:$P$1000="Low Stock")),ROWS($A$12:A253))),"")</f>
        <v/>
      </c>
      <c r="B253" t="str">
        <f>IF($A253="","",INDEX('Product Master'!$B$7:$B$1000,MATCH($A253,'Product Master'!$A$7:$A$1000,0)))</f>
        <v/>
      </c>
      <c r="C253" t="str">
        <f>IF($A253="","",INDEX('Product Master'!$C$7:$C$1000,MATCH($A253,'Product Master'!$A$7:$A$1000,0)))</f>
        <v/>
      </c>
      <c r="D253" t="str">
        <f>IF($A253="","",INDEX('Product Master'!$M$7:$M$1000,MATCH($A253,'Product Master'!$A$7:$A$1000,0)))</f>
        <v/>
      </c>
      <c r="E253" t="str">
        <f>IF($A253="","",INDEX('Product Master'!$N$7:$N$1000,MATCH($A253,'Product Master'!$A$7:$A$1000,0)))</f>
        <v/>
      </c>
      <c r="F253" t="str">
        <f>IF($A253="","",INDEX('Product Master'!$P$7:$P$1000,MATCH($A253,'Product Master'!$A$7:$A$1000,0)))</f>
        <v/>
      </c>
      <c r="I253" t="str">
        <f>IFERROR(INDEX('Product Master'!$A$7:$A$1000,_xlfn.AGGREGATE(15,6,(ROW('Product Master'!$A$7:$A$1000)-ROW('Product Master'!$A$7)+1)/(('Product Master'!$A$7:$A$1000&lt;&gt;"")*('Product Master'!$P$7:$P$1000="Out of Stock")),ROWS($I$12:I253))),"")</f>
        <v/>
      </c>
      <c r="J253" t="str">
        <f>IF($I253="","",INDEX('Product Master'!$B$7:$B$1000,MATCH($I253,'Product Master'!$A$7:$A$1000,0)))</f>
        <v/>
      </c>
      <c r="K253" t="str">
        <f>IF($I253="","",INDEX('Product Master'!$C$7:$C$1000,MATCH($I253,'Product Master'!$A$7:$A$1000,0)))</f>
        <v/>
      </c>
      <c r="L253" t="str">
        <f>IF($I253="","",INDEX('Product Master'!$M$7:$M$1000,MATCH($I253,'Product Master'!$A$7:$A$1000,0)))</f>
        <v/>
      </c>
      <c r="M253" t="str">
        <f>IF($I253="","",INDEX('Product Master'!$N$7:$N$1000,MATCH($I253,'Product Master'!$A$7:$A$1000,0)))</f>
        <v/>
      </c>
    </row>
    <row r="254" spans="1:13" x14ac:dyDescent="0.3">
      <c r="A254" t="str">
        <f>IFERROR(INDEX('Product Master'!$A$7:$A$1000,_xlfn.AGGREGATE(15,6,(ROW('Product Master'!$A$7:$A$1000)-ROW('Product Master'!$A$7)+1)/(('Product Master'!$A$7:$A$1000&lt;&gt;"")*('Product Master'!$P$7:$P$1000="Low Stock")),ROWS($A$12:A254))),"")</f>
        <v/>
      </c>
      <c r="B254" t="str">
        <f>IF($A254="","",INDEX('Product Master'!$B$7:$B$1000,MATCH($A254,'Product Master'!$A$7:$A$1000,0)))</f>
        <v/>
      </c>
      <c r="C254" t="str">
        <f>IF($A254="","",INDEX('Product Master'!$C$7:$C$1000,MATCH($A254,'Product Master'!$A$7:$A$1000,0)))</f>
        <v/>
      </c>
      <c r="D254" t="str">
        <f>IF($A254="","",INDEX('Product Master'!$M$7:$M$1000,MATCH($A254,'Product Master'!$A$7:$A$1000,0)))</f>
        <v/>
      </c>
      <c r="E254" t="str">
        <f>IF($A254="","",INDEX('Product Master'!$N$7:$N$1000,MATCH($A254,'Product Master'!$A$7:$A$1000,0)))</f>
        <v/>
      </c>
      <c r="F254" t="str">
        <f>IF($A254="","",INDEX('Product Master'!$P$7:$P$1000,MATCH($A254,'Product Master'!$A$7:$A$1000,0)))</f>
        <v/>
      </c>
      <c r="I254" t="str">
        <f>IFERROR(INDEX('Product Master'!$A$7:$A$1000,_xlfn.AGGREGATE(15,6,(ROW('Product Master'!$A$7:$A$1000)-ROW('Product Master'!$A$7)+1)/(('Product Master'!$A$7:$A$1000&lt;&gt;"")*('Product Master'!$P$7:$P$1000="Out of Stock")),ROWS($I$12:I254))),"")</f>
        <v/>
      </c>
      <c r="J254" t="str">
        <f>IF($I254="","",INDEX('Product Master'!$B$7:$B$1000,MATCH($I254,'Product Master'!$A$7:$A$1000,0)))</f>
        <v/>
      </c>
      <c r="K254" t="str">
        <f>IF($I254="","",INDEX('Product Master'!$C$7:$C$1000,MATCH($I254,'Product Master'!$A$7:$A$1000,0)))</f>
        <v/>
      </c>
      <c r="L254" t="str">
        <f>IF($I254="","",INDEX('Product Master'!$M$7:$M$1000,MATCH($I254,'Product Master'!$A$7:$A$1000,0)))</f>
        <v/>
      </c>
      <c r="M254" t="str">
        <f>IF($I254="","",INDEX('Product Master'!$N$7:$N$1000,MATCH($I254,'Product Master'!$A$7:$A$1000,0)))</f>
        <v/>
      </c>
    </row>
    <row r="255" spans="1:13" x14ac:dyDescent="0.3">
      <c r="A255" t="str">
        <f>IFERROR(INDEX('Product Master'!$A$7:$A$1000,_xlfn.AGGREGATE(15,6,(ROW('Product Master'!$A$7:$A$1000)-ROW('Product Master'!$A$7)+1)/(('Product Master'!$A$7:$A$1000&lt;&gt;"")*('Product Master'!$P$7:$P$1000="Low Stock")),ROWS($A$12:A255))),"")</f>
        <v/>
      </c>
      <c r="B255" t="str">
        <f>IF($A255="","",INDEX('Product Master'!$B$7:$B$1000,MATCH($A255,'Product Master'!$A$7:$A$1000,0)))</f>
        <v/>
      </c>
      <c r="C255" t="str">
        <f>IF($A255="","",INDEX('Product Master'!$C$7:$C$1000,MATCH($A255,'Product Master'!$A$7:$A$1000,0)))</f>
        <v/>
      </c>
      <c r="D255" t="str">
        <f>IF($A255="","",INDEX('Product Master'!$M$7:$M$1000,MATCH($A255,'Product Master'!$A$7:$A$1000,0)))</f>
        <v/>
      </c>
      <c r="E255" t="str">
        <f>IF($A255="","",INDEX('Product Master'!$N$7:$N$1000,MATCH($A255,'Product Master'!$A$7:$A$1000,0)))</f>
        <v/>
      </c>
      <c r="F255" t="str">
        <f>IF($A255="","",INDEX('Product Master'!$P$7:$P$1000,MATCH($A255,'Product Master'!$A$7:$A$1000,0)))</f>
        <v/>
      </c>
      <c r="I255" t="str">
        <f>IFERROR(INDEX('Product Master'!$A$7:$A$1000,_xlfn.AGGREGATE(15,6,(ROW('Product Master'!$A$7:$A$1000)-ROW('Product Master'!$A$7)+1)/(('Product Master'!$A$7:$A$1000&lt;&gt;"")*('Product Master'!$P$7:$P$1000="Out of Stock")),ROWS($I$12:I255))),"")</f>
        <v/>
      </c>
      <c r="J255" t="str">
        <f>IF($I255="","",INDEX('Product Master'!$B$7:$B$1000,MATCH($I255,'Product Master'!$A$7:$A$1000,0)))</f>
        <v/>
      </c>
      <c r="K255" t="str">
        <f>IF($I255="","",INDEX('Product Master'!$C$7:$C$1000,MATCH($I255,'Product Master'!$A$7:$A$1000,0)))</f>
        <v/>
      </c>
      <c r="L255" t="str">
        <f>IF($I255="","",INDEX('Product Master'!$M$7:$M$1000,MATCH($I255,'Product Master'!$A$7:$A$1000,0)))</f>
        <v/>
      </c>
      <c r="M255" t="str">
        <f>IF($I255="","",INDEX('Product Master'!$N$7:$N$1000,MATCH($I255,'Product Master'!$A$7:$A$1000,0)))</f>
        <v/>
      </c>
    </row>
    <row r="256" spans="1:13" x14ac:dyDescent="0.3">
      <c r="A256" t="str">
        <f>IFERROR(INDEX('Product Master'!$A$7:$A$1000,_xlfn.AGGREGATE(15,6,(ROW('Product Master'!$A$7:$A$1000)-ROW('Product Master'!$A$7)+1)/(('Product Master'!$A$7:$A$1000&lt;&gt;"")*('Product Master'!$P$7:$P$1000="Low Stock")),ROWS($A$12:A256))),"")</f>
        <v/>
      </c>
      <c r="B256" t="str">
        <f>IF($A256="","",INDEX('Product Master'!$B$7:$B$1000,MATCH($A256,'Product Master'!$A$7:$A$1000,0)))</f>
        <v/>
      </c>
      <c r="C256" t="str">
        <f>IF($A256="","",INDEX('Product Master'!$C$7:$C$1000,MATCH($A256,'Product Master'!$A$7:$A$1000,0)))</f>
        <v/>
      </c>
      <c r="D256" t="str">
        <f>IF($A256="","",INDEX('Product Master'!$M$7:$M$1000,MATCH($A256,'Product Master'!$A$7:$A$1000,0)))</f>
        <v/>
      </c>
      <c r="E256" t="str">
        <f>IF($A256="","",INDEX('Product Master'!$N$7:$N$1000,MATCH($A256,'Product Master'!$A$7:$A$1000,0)))</f>
        <v/>
      </c>
      <c r="F256" t="str">
        <f>IF($A256="","",INDEX('Product Master'!$P$7:$P$1000,MATCH($A256,'Product Master'!$A$7:$A$1000,0)))</f>
        <v/>
      </c>
      <c r="I256" t="str">
        <f>IFERROR(INDEX('Product Master'!$A$7:$A$1000,_xlfn.AGGREGATE(15,6,(ROW('Product Master'!$A$7:$A$1000)-ROW('Product Master'!$A$7)+1)/(('Product Master'!$A$7:$A$1000&lt;&gt;"")*('Product Master'!$P$7:$P$1000="Out of Stock")),ROWS($I$12:I256))),"")</f>
        <v/>
      </c>
      <c r="J256" t="str">
        <f>IF($I256="","",INDEX('Product Master'!$B$7:$B$1000,MATCH($I256,'Product Master'!$A$7:$A$1000,0)))</f>
        <v/>
      </c>
      <c r="K256" t="str">
        <f>IF($I256="","",INDEX('Product Master'!$C$7:$C$1000,MATCH($I256,'Product Master'!$A$7:$A$1000,0)))</f>
        <v/>
      </c>
      <c r="L256" t="str">
        <f>IF($I256="","",INDEX('Product Master'!$M$7:$M$1000,MATCH($I256,'Product Master'!$A$7:$A$1000,0)))</f>
        <v/>
      </c>
      <c r="M256" t="str">
        <f>IF($I256="","",INDEX('Product Master'!$N$7:$N$1000,MATCH($I256,'Product Master'!$A$7:$A$1000,0)))</f>
        <v/>
      </c>
    </row>
    <row r="257" spans="1:13" x14ac:dyDescent="0.3">
      <c r="A257" t="str">
        <f>IFERROR(INDEX('Product Master'!$A$7:$A$1000,_xlfn.AGGREGATE(15,6,(ROW('Product Master'!$A$7:$A$1000)-ROW('Product Master'!$A$7)+1)/(('Product Master'!$A$7:$A$1000&lt;&gt;"")*('Product Master'!$P$7:$P$1000="Low Stock")),ROWS($A$12:A257))),"")</f>
        <v/>
      </c>
      <c r="B257" t="str">
        <f>IF($A257="","",INDEX('Product Master'!$B$7:$B$1000,MATCH($A257,'Product Master'!$A$7:$A$1000,0)))</f>
        <v/>
      </c>
      <c r="C257" t="str">
        <f>IF($A257="","",INDEX('Product Master'!$C$7:$C$1000,MATCH($A257,'Product Master'!$A$7:$A$1000,0)))</f>
        <v/>
      </c>
      <c r="D257" t="str">
        <f>IF($A257="","",INDEX('Product Master'!$M$7:$M$1000,MATCH($A257,'Product Master'!$A$7:$A$1000,0)))</f>
        <v/>
      </c>
      <c r="E257" t="str">
        <f>IF($A257="","",INDEX('Product Master'!$N$7:$N$1000,MATCH($A257,'Product Master'!$A$7:$A$1000,0)))</f>
        <v/>
      </c>
      <c r="F257" t="str">
        <f>IF($A257="","",INDEX('Product Master'!$P$7:$P$1000,MATCH($A257,'Product Master'!$A$7:$A$1000,0)))</f>
        <v/>
      </c>
      <c r="I257" t="str">
        <f>IFERROR(INDEX('Product Master'!$A$7:$A$1000,_xlfn.AGGREGATE(15,6,(ROW('Product Master'!$A$7:$A$1000)-ROW('Product Master'!$A$7)+1)/(('Product Master'!$A$7:$A$1000&lt;&gt;"")*('Product Master'!$P$7:$P$1000="Out of Stock")),ROWS($I$12:I257))),"")</f>
        <v/>
      </c>
      <c r="J257" t="str">
        <f>IF($I257="","",INDEX('Product Master'!$B$7:$B$1000,MATCH($I257,'Product Master'!$A$7:$A$1000,0)))</f>
        <v/>
      </c>
      <c r="K257" t="str">
        <f>IF($I257="","",INDEX('Product Master'!$C$7:$C$1000,MATCH($I257,'Product Master'!$A$7:$A$1000,0)))</f>
        <v/>
      </c>
      <c r="L257" t="str">
        <f>IF($I257="","",INDEX('Product Master'!$M$7:$M$1000,MATCH($I257,'Product Master'!$A$7:$A$1000,0)))</f>
        <v/>
      </c>
      <c r="M257" t="str">
        <f>IF($I257="","",INDEX('Product Master'!$N$7:$N$1000,MATCH($I257,'Product Master'!$A$7:$A$1000,0)))</f>
        <v/>
      </c>
    </row>
    <row r="258" spans="1:13" x14ac:dyDescent="0.3">
      <c r="A258" t="str">
        <f>IFERROR(INDEX('Product Master'!$A$7:$A$1000,_xlfn.AGGREGATE(15,6,(ROW('Product Master'!$A$7:$A$1000)-ROW('Product Master'!$A$7)+1)/(('Product Master'!$A$7:$A$1000&lt;&gt;"")*('Product Master'!$P$7:$P$1000="Low Stock")),ROWS($A$12:A258))),"")</f>
        <v/>
      </c>
      <c r="B258" t="str">
        <f>IF($A258="","",INDEX('Product Master'!$B$7:$B$1000,MATCH($A258,'Product Master'!$A$7:$A$1000,0)))</f>
        <v/>
      </c>
      <c r="C258" t="str">
        <f>IF($A258="","",INDEX('Product Master'!$C$7:$C$1000,MATCH($A258,'Product Master'!$A$7:$A$1000,0)))</f>
        <v/>
      </c>
      <c r="D258" t="str">
        <f>IF($A258="","",INDEX('Product Master'!$M$7:$M$1000,MATCH($A258,'Product Master'!$A$7:$A$1000,0)))</f>
        <v/>
      </c>
      <c r="E258" t="str">
        <f>IF($A258="","",INDEX('Product Master'!$N$7:$N$1000,MATCH($A258,'Product Master'!$A$7:$A$1000,0)))</f>
        <v/>
      </c>
      <c r="F258" t="str">
        <f>IF($A258="","",INDEX('Product Master'!$P$7:$P$1000,MATCH($A258,'Product Master'!$A$7:$A$1000,0)))</f>
        <v/>
      </c>
      <c r="I258" t="str">
        <f>IFERROR(INDEX('Product Master'!$A$7:$A$1000,_xlfn.AGGREGATE(15,6,(ROW('Product Master'!$A$7:$A$1000)-ROW('Product Master'!$A$7)+1)/(('Product Master'!$A$7:$A$1000&lt;&gt;"")*('Product Master'!$P$7:$P$1000="Out of Stock")),ROWS($I$12:I258))),"")</f>
        <v/>
      </c>
      <c r="J258" t="str">
        <f>IF($I258="","",INDEX('Product Master'!$B$7:$B$1000,MATCH($I258,'Product Master'!$A$7:$A$1000,0)))</f>
        <v/>
      </c>
      <c r="K258" t="str">
        <f>IF($I258="","",INDEX('Product Master'!$C$7:$C$1000,MATCH($I258,'Product Master'!$A$7:$A$1000,0)))</f>
        <v/>
      </c>
      <c r="L258" t="str">
        <f>IF($I258="","",INDEX('Product Master'!$M$7:$M$1000,MATCH($I258,'Product Master'!$A$7:$A$1000,0)))</f>
        <v/>
      </c>
      <c r="M258" t="str">
        <f>IF($I258="","",INDEX('Product Master'!$N$7:$N$1000,MATCH($I258,'Product Master'!$A$7:$A$1000,0)))</f>
        <v/>
      </c>
    </row>
    <row r="259" spans="1:13" x14ac:dyDescent="0.3">
      <c r="A259" t="str">
        <f>IFERROR(INDEX('Product Master'!$A$7:$A$1000,_xlfn.AGGREGATE(15,6,(ROW('Product Master'!$A$7:$A$1000)-ROW('Product Master'!$A$7)+1)/(('Product Master'!$A$7:$A$1000&lt;&gt;"")*('Product Master'!$P$7:$P$1000="Low Stock")),ROWS($A$12:A259))),"")</f>
        <v/>
      </c>
      <c r="B259" t="str">
        <f>IF($A259="","",INDEX('Product Master'!$B$7:$B$1000,MATCH($A259,'Product Master'!$A$7:$A$1000,0)))</f>
        <v/>
      </c>
      <c r="C259" t="str">
        <f>IF($A259="","",INDEX('Product Master'!$C$7:$C$1000,MATCH($A259,'Product Master'!$A$7:$A$1000,0)))</f>
        <v/>
      </c>
      <c r="D259" t="str">
        <f>IF($A259="","",INDEX('Product Master'!$M$7:$M$1000,MATCH($A259,'Product Master'!$A$7:$A$1000,0)))</f>
        <v/>
      </c>
      <c r="E259" t="str">
        <f>IF($A259="","",INDEX('Product Master'!$N$7:$N$1000,MATCH($A259,'Product Master'!$A$7:$A$1000,0)))</f>
        <v/>
      </c>
      <c r="F259" t="str">
        <f>IF($A259="","",INDEX('Product Master'!$P$7:$P$1000,MATCH($A259,'Product Master'!$A$7:$A$1000,0)))</f>
        <v/>
      </c>
      <c r="I259" t="str">
        <f>IFERROR(INDEX('Product Master'!$A$7:$A$1000,_xlfn.AGGREGATE(15,6,(ROW('Product Master'!$A$7:$A$1000)-ROW('Product Master'!$A$7)+1)/(('Product Master'!$A$7:$A$1000&lt;&gt;"")*('Product Master'!$P$7:$P$1000="Out of Stock")),ROWS($I$12:I259))),"")</f>
        <v/>
      </c>
      <c r="J259" t="str">
        <f>IF($I259="","",INDEX('Product Master'!$B$7:$B$1000,MATCH($I259,'Product Master'!$A$7:$A$1000,0)))</f>
        <v/>
      </c>
      <c r="K259" t="str">
        <f>IF($I259="","",INDEX('Product Master'!$C$7:$C$1000,MATCH($I259,'Product Master'!$A$7:$A$1000,0)))</f>
        <v/>
      </c>
      <c r="L259" t="str">
        <f>IF($I259="","",INDEX('Product Master'!$M$7:$M$1000,MATCH($I259,'Product Master'!$A$7:$A$1000,0)))</f>
        <v/>
      </c>
      <c r="M259" t="str">
        <f>IF($I259="","",INDEX('Product Master'!$N$7:$N$1000,MATCH($I259,'Product Master'!$A$7:$A$1000,0)))</f>
        <v/>
      </c>
    </row>
    <row r="260" spans="1:13" x14ac:dyDescent="0.3">
      <c r="A260" t="str">
        <f>IFERROR(INDEX('Product Master'!$A$7:$A$1000,_xlfn.AGGREGATE(15,6,(ROW('Product Master'!$A$7:$A$1000)-ROW('Product Master'!$A$7)+1)/(('Product Master'!$A$7:$A$1000&lt;&gt;"")*('Product Master'!$P$7:$P$1000="Low Stock")),ROWS($A$12:A260))),"")</f>
        <v/>
      </c>
      <c r="B260" t="str">
        <f>IF($A260="","",INDEX('Product Master'!$B$7:$B$1000,MATCH($A260,'Product Master'!$A$7:$A$1000,0)))</f>
        <v/>
      </c>
      <c r="C260" t="str">
        <f>IF($A260="","",INDEX('Product Master'!$C$7:$C$1000,MATCH($A260,'Product Master'!$A$7:$A$1000,0)))</f>
        <v/>
      </c>
      <c r="D260" t="str">
        <f>IF($A260="","",INDEX('Product Master'!$M$7:$M$1000,MATCH($A260,'Product Master'!$A$7:$A$1000,0)))</f>
        <v/>
      </c>
      <c r="E260" t="str">
        <f>IF($A260="","",INDEX('Product Master'!$N$7:$N$1000,MATCH($A260,'Product Master'!$A$7:$A$1000,0)))</f>
        <v/>
      </c>
      <c r="F260" t="str">
        <f>IF($A260="","",INDEX('Product Master'!$P$7:$P$1000,MATCH($A260,'Product Master'!$A$7:$A$1000,0)))</f>
        <v/>
      </c>
      <c r="I260" t="str">
        <f>IFERROR(INDEX('Product Master'!$A$7:$A$1000,_xlfn.AGGREGATE(15,6,(ROW('Product Master'!$A$7:$A$1000)-ROW('Product Master'!$A$7)+1)/(('Product Master'!$A$7:$A$1000&lt;&gt;"")*('Product Master'!$P$7:$P$1000="Out of Stock")),ROWS($I$12:I260))),"")</f>
        <v/>
      </c>
      <c r="J260" t="str">
        <f>IF($I260="","",INDEX('Product Master'!$B$7:$B$1000,MATCH($I260,'Product Master'!$A$7:$A$1000,0)))</f>
        <v/>
      </c>
      <c r="K260" t="str">
        <f>IF($I260="","",INDEX('Product Master'!$C$7:$C$1000,MATCH($I260,'Product Master'!$A$7:$A$1000,0)))</f>
        <v/>
      </c>
      <c r="L260" t="str">
        <f>IF($I260="","",INDEX('Product Master'!$M$7:$M$1000,MATCH($I260,'Product Master'!$A$7:$A$1000,0)))</f>
        <v/>
      </c>
      <c r="M260" t="str">
        <f>IF($I260="","",INDEX('Product Master'!$N$7:$N$1000,MATCH($I260,'Product Master'!$A$7:$A$1000,0)))</f>
        <v/>
      </c>
    </row>
    <row r="261" spans="1:13" x14ac:dyDescent="0.3">
      <c r="A261" t="str">
        <f>IFERROR(INDEX('Product Master'!$A$7:$A$1000,_xlfn.AGGREGATE(15,6,(ROW('Product Master'!$A$7:$A$1000)-ROW('Product Master'!$A$7)+1)/(('Product Master'!$A$7:$A$1000&lt;&gt;"")*('Product Master'!$P$7:$P$1000="Low Stock")),ROWS($A$12:A261))),"")</f>
        <v/>
      </c>
      <c r="B261" t="str">
        <f>IF($A261="","",INDEX('Product Master'!$B$7:$B$1000,MATCH($A261,'Product Master'!$A$7:$A$1000,0)))</f>
        <v/>
      </c>
      <c r="C261" t="str">
        <f>IF($A261="","",INDEX('Product Master'!$C$7:$C$1000,MATCH($A261,'Product Master'!$A$7:$A$1000,0)))</f>
        <v/>
      </c>
      <c r="D261" t="str">
        <f>IF($A261="","",INDEX('Product Master'!$M$7:$M$1000,MATCH($A261,'Product Master'!$A$7:$A$1000,0)))</f>
        <v/>
      </c>
      <c r="E261" t="str">
        <f>IF($A261="","",INDEX('Product Master'!$N$7:$N$1000,MATCH($A261,'Product Master'!$A$7:$A$1000,0)))</f>
        <v/>
      </c>
      <c r="F261" t="str">
        <f>IF($A261="","",INDEX('Product Master'!$P$7:$P$1000,MATCH($A261,'Product Master'!$A$7:$A$1000,0)))</f>
        <v/>
      </c>
      <c r="I261" t="str">
        <f>IFERROR(INDEX('Product Master'!$A$7:$A$1000,_xlfn.AGGREGATE(15,6,(ROW('Product Master'!$A$7:$A$1000)-ROW('Product Master'!$A$7)+1)/(('Product Master'!$A$7:$A$1000&lt;&gt;"")*('Product Master'!$P$7:$P$1000="Out of Stock")),ROWS($I$12:I261))),"")</f>
        <v/>
      </c>
      <c r="J261" t="str">
        <f>IF($I261="","",INDEX('Product Master'!$B$7:$B$1000,MATCH($I261,'Product Master'!$A$7:$A$1000,0)))</f>
        <v/>
      </c>
      <c r="K261" t="str">
        <f>IF($I261="","",INDEX('Product Master'!$C$7:$C$1000,MATCH($I261,'Product Master'!$A$7:$A$1000,0)))</f>
        <v/>
      </c>
      <c r="L261" t="str">
        <f>IF($I261="","",INDEX('Product Master'!$M$7:$M$1000,MATCH($I261,'Product Master'!$A$7:$A$1000,0)))</f>
        <v/>
      </c>
      <c r="M261" t="str">
        <f>IF($I261="","",INDEX('Product Master'!$N$7:$N$1000,MATCH($I261,'Product Master'!$A$7:$A$1000,0)))</f>
        <v/>
      </c>
    </row>
    <row r="262" spans="1:13" x14ac:dyDescent="0.3">
      <c r="A262" t="str">
        <f>IFERROR(INDEX('Product Master'!$A$7:$A$1000,_xlfn.AGGREGATE(15,6,(ROW('Product Master'!$A$7:$A$1000)-ROW('Product Master'!$A$7)+1)/(('Product Master'!$A$7:$A$1000&lt;&gt;"")*('Product Master'!$P$7:$P$1000="Low Stock")),ROWS($A$12:A262))),"")</f>
        <v/>
      </c>
      <c r="B262" t="str">
        <f>IF($A262="","",INDEX('Product Master'!$B$7:$B$1000,MATCH($A262,'Product Master'!$A$7:$A$1000,0)))</f>
        <v/>
      </c>
      <c r="C262" t="str">
        <f>IF($A262="","",INDEX('Product Master'!$C$7:$C$1000,MATCH($A262,'Product Master'!$A$7:$A$1000,0)))</f>
        <v/>
      </c>
      <c r="D262" t="str">
        <f>IF($A262="","",INDEX('Product Master'!$M$7:$M$1000,MATCH($A262,'Product Master'!$A$7:$A$1000,0)))</f>
        <v/>
      </c>
      <c r="E262" t="str">
        <f>IF($A262="","",INDEX('Product Master'!$N$7:$N$1000,MATCH($A262,'Product Master'!$A$7:$A$1000,0)))</f>
        <v/>
      </c>
      <c r="F262" t="str">
        <f>IF($A262="","",INDEX('Product Master'!$P$7:$P$1000,MATCH($A262,'Product Master'!$A$7:$A$1000,0)))</f>
        <v/>
      </c>
      <c r="I262" t="str">
        <f>IFERROR(INDEX('Product Master'!$A$7:$A$1000,_xlfn.AGGREGATE(15,6,(ROW('Product Master'!$A$7:$A$1000)-ROW('Product Master'!$A$7)+1)/(('Product Master'!$A$7:$A$1000&lt;&gt;"")*('Product Master'!$P$7:$P$1000="Out of Stock")),ROWS($I$12:I262))),"")</f>
        <v/>
      </c>
      <c r="J262" t="str">
        <f>IF($I262="","",INDEX('Product Master'!$B$7:$B$1000,MATCH($I262,'Product Master'!$A$7:$A$1000,0)))</f>
        <v/>
      </c>
      <c r="K262" t="str">
        <f>IF($I262="","",INDEX('Product Master'!$C$7:$C$1000,MATCH($I262,'Product Master'!$A$7:$A$1000,0)))</f>
        <v/>
      </c>
      <c r="L262" t="str">
        <f>IF($I262="","",INDEX('Product Master'!$M$7:$M$1000,MATCH($I262,'Product Master'!$A$7:$A$1000,0)))</f>
        <v/>
      </c>
      <c r="M262" t="str">
        <f>IF($I262="","",INDEX('Product Master'!$N$7:$N$1000,MATCH($I262,'Product Master'!$A$7:$A$1000,0)))</f>
        <v/>
      </c>
    </row>
    <row r="263" spans="1:13" x14ac:dyDescent="0.3">
      <c r="A263" t="str">
        <f>IFERROR(INDEX('Product Master'!$A$7:$A$1000,_xlfn.AGGREGATE(15,6,(ROW('Product Master'!$A$7:$A$1000)-ROW('Product Master'!$A$7)+1)/(('Product Master'!$A$7:$A$1000&lt;&gt;"")*('Product Master'!$P$7:$P$1000="Low Stock")),ROWS($A$12:A263))),"")</f>
        <v/>
      </c>
      <c r="B263" t="str">
        <f>IF($A263="","",INDEX('Product Master'!$B$7:$B$1000,MATCH($A263,'Product Master'!$A$7:$A$1000,0)))</f>
        <v/>
      </c>
      <c r="C263" t="str">
        <f>IF($A263="","",INDEX('Product Master'!$C$7:$C$1000,MATCH($A263,'Product Master'!$A$7:$A$1000,0)))</f>
        <v/>
      </c>
      <c r="D263" t="str">
        <f>IF($A263="","",INDEX('Product Master'!$M$7:$M$1000,MATCH($A263,'Product Master'!$A$7:$A$1000,0)))</f>
        <v/>
      </c>
      <c r="E263" t="str">
        <f>IF($A263="","",INDEX('Product Master'!$N$7:$N$1000,MATCH($A263,'Product Master'!$A$7:$A$1000,0)))</f>
        <v/>
      </c>
      <c r="F263" t="str">
        <f>IF($A263="","",INDEX('Product Master'!$P$7:$P$1000,MATCH($A263,'Product Master'!$A$7:$A$1000,0)))</f>
        <v/>
      </c>
      <c r="I263" t="str">
        <f>IFERROR(INDEX('Product Master'!$A$7:$A$1000,_xlfn.AGGREGATE(15,6,(ROW('Product Master'!$A$7:$A$1000)-ROW('Product Master'!$A$7)+1)/(('Product Master'!$A$7:$A$1000&lt;&gt;"")*('Product Master'!$P$7:$P$1000="Out of Stock")),ROWS($I$12:I263))),"")</f>
        <v/>
      </c>
      <c r="J263" t="str">
        <f>IF($I263="","",INDEX('Product Master'!$B$7:$B$1000,MATCH($I263,'Product Master'!$A$7:$A$1000,0)))</f>
        <v/>
      </c>
      <c r="K263" t="str">
        <f>IF($I263="","",INDEX('Product Master'!$C$7:$C$1000,MATCH($I263,'Product Master'!$A$7:$A$1000,0)))</f>
        <v/>
      </c>
      <c r="L263" t="str">
        <f>IF($I263="","",INDEX('Product Master'!$M$7:$M$1000,MATCH($I263,'Product Master'!$A$7:$A$1000,0)))</f>
        <v/>
      </c>
      <c r="M263" t="str">
        <f>IF($I263="","",INDEX('Product Master'!$N$7:$N$1000,MATCH($I263,'Product Master'!$A$7:$A$1000,0)))</f>
        <v/>
      </c>
    </row>
    <row r="264" spans="1:13" x14ac:dyDescent="0.3">
      <c r="A264" t="str">
        <f>IFERROR(INDEX('Product Master'!$A$7:$A$1000,_xlfn.AGGREGATE(15,6,(ROW('Product Master'!$A$7:$A$1000)-ROW('Product Master'!$A$7)+1)/(('Product Master'!$A$7:$A$1000&lt;&gt;"")*('Product Master'!$P$7:$P$1000="Low Stock")),ROWS($A$12:A264))),"")</f>
        <v/>
      </c>
      <c r="B264" t="str">
        <f>IF($A264="","",INDEX('Product Master'!$B$7:$B$1000,MATCH($A264,'Product Master'!$A$7:$A$1000,0)))</f>
        <v/>
      </c>
      <c r="C264" t="str">
        <f>IF($A264="","",INDEX('Product Master'!$C$7:$C$1000,MATCH($A264,'Product Master'!$A$7:$A$1000,0)))</f>
        <v/>
      </c>
      <c r="D264" t="str">
        <f>IF($A264="","",INDEX('Product Master'!$M$7:$M$1000,MATCH($A264,'Product Master'!$A$7:$A$1000,0)))</f>
        <v/>
      </c>
      <c r="E264" t="str">
        <f>IF($A264="","",INDEX('Product Master'!$N$7:$N$1000,MATCH($A264,'Product Master'!$A$7:$A$1000,0)))</f>
        <v/>
      </c>
      <c r="F264" t="str">
        <f>IF($A264="","",INDEX('Product Master'!$P$7:$P$1000,MATCH($A264,'Product Master'!$A$7:$A$1000,0)))</f>
        <v/>
      </c>
      <c r="I264" t="str">
        <f>IFERROR(INDEX('Product Master'!$A$7:$A$1000,_xlfn.AGGREGATE(15,6,(ROW('Product Master'!$A$7:$A$1000)-ROW('Product Master'!$A$7)+1)/(('Product Master'!$A$7:$A$1000&lt;&gt;"")*('Product Master'!$P$7:$P$1000="Out of Stock")),ROWS($I$12:I264))),"")</f>
        <v/>
      </c>
      <c r="J264" t="str">
        <f>IF($I264="","",INDEX('Product Master'!$B$7:$B$1000,MATCH($I264,'Product Master'!$A$7:$A$1000,0)))</f>
        <v/>
      </c>
      <c r="K264" t="str">
        <f>IF($I264="","",INDEX('Product Master'!$C$7:$C$1000,MATCH($I264,'Product Master'!$A$7:$A$1000,0)))</f>
        <v/>
      </c>
      <c r="L264" t="str">
        <f>IF($I264="","",INDEX('Product Master'!$M$7:$M$1000,MATCH($I264,'Product Master'!$A$7:$A$1000,0)))</f>
        <v/>
      </c>
      <c r="M264" t="str">
        <f>IF($I264="","",INDEX('Product Master'!$N$7:$N$1000,MATCH($I264,'Product Master'!$A$7:$A$1000,0)))</f>
        <v/>
      </c>
    </row>
    <row r="265" spans="1:13" x14ac:dyDescent="0.3">
      <c r="A265" t="str">
        <f>IFERROR(INDEX('Product Master'!$A$7:$A$1000,_xlfn.AGGREGATE(15,6,(ROW('Product Master'!$A$7:$A$1000)-ROW('Product Master'!$A$7)+1)/(('Product Master'!$A$7:$A$1000&lt;&gt;"")*('Product Master'!$P$7:$P$1000="Low Stock")),ROWS($A$12:A265))),"")</f>
        <v/>
      </c>
      <c r="B265" t="str">
        <f>IF($A265="","",INDEX('Product Master'!$B$7:$B$1000,MATCH($A265,'Product Master'!$A$7:$A$1000,0)))</f>
        <v/>
      </c>
      <c r="C265" t="str">
        <f>IF($A265="","",INDEX('Product Master'!$C$7:$C$1000,MATCH($A265,'Product Master'!$A$7:$A$1000,0)))</f>
        <v/>
      </c>
      <c r="D265" t="str">
        <f>IF($A265="","",INDEX('Product Master'!$M$7:$M$1000,MATCH($A265,'Product Master'!$A$7:$A$1000,0)))</f>
        <v/>
      </c>
      <c r="E265" t="str">
        <f>IF($A265="","",INDEX('Product Master'!$N$7:$N$1000,MATCH($A265,'Product Master'!$A$7:$A$1000,0)))</f>
        <v/>
      </c>
      <c r="F265" t="str">
        <f>IF($A265="","",INDEX('Product Master'!$P$7:$P$1000,MATCH($A265,'Product Master'!$A$7:$A$1000,0)))</f>
        <v/>
      </c>
      <c r="I265" t="str">
        <f>IFERROR(INDEX('Product Master'!$A$7:$A$1000,_xlfn.AGGREGATE(15,6,(ROW('Product Master'!$A$7:$A$1000)-ROW('Product Master'!$A$7)+1)/(('Product Master'!$A$7:$A$1000&lt;&gt;"")*('Product Master'!$P$7:$P$1000="Out of Stock")),ROWS($I$12:I265))),"")</f>
        <v/>
      </c>
      <c r="J265" t="str">
        <f>IF($I265="","",INDEX('Product Master'!$B$7:$B$1000,MATCH($I265,'Product Master'!$A$7:$A$1000,0)))</f>
        <v/>
      </c>
      <c r="K265" t="str">
        <f>IF($I265="","",INDEX('Product Master'!$C$7:$C$1000,MATCH($I265,'Product Master'!$A$7:$A$1000,0)))</f>
        <v/>
      </c>
      <c r="L265" t="str">
        <f>IF($I265="","",INDEX('Product Master'!$M$7:$M$1000,MATCH($I265,'Product Master'!$A$7:$A$1000,0)))</f>
        <v/>
      </c>
      <c r="M265" t="str">
        <f>IF($I265="","",INDEX('Product Master'!$N$7:$N$1000,MATCH($I265,'Product Master'!$A$7:$A$1000,0)))</f>
        <v/>
      </c>
    </row>
    <row r="266" spans="1:13" x14ac:dyDescent="0.3">
      <c r="A266" t="str">
        <f>IFERROR(INDEX('Product Master'!$A$7:$A$1000,_xlfn.AGGREGATE(15,6,(ROW('Product Master'!$A$7:$A$1000)-ROW('Product Master'!$A$7)+1)/(('Product Master'!$A$7:$A$1000&lt;&gt;"")*('Product Master'!$P$7:$P$1000="Low Stock")),ROWS($A$12:A266))),"")</f>
        <v/>
      </c>
      <c r="B266" t="str">
        <f>IF($A266="","",INDEX('Product Master'!$B$7:$B$1000,MATCH($A266,'Product Master'!$A$7:$A$1000,0)))</f>
        <v/>
      </c>
      <c r="C266" t="str">
        <f>IF($A266="","",INDEX('Product Master'!$C$7:$C$1000,MATCH($A266,'Product Master'!$A$7:$A$1000,0)))</f>
        <v/>
      </c>
      <c r="D266" t="str">
        <f>IF($A266="","",INDEX('Product Master'!$M$7:$M$1000,MATCH($A266,'Product Master'!$A$7:$A$1000,0)))</f>
        <v/>
      </c>
      <c r="E266" t="str">
        <f>IF($A266="","",INDEX('Product Master'!$N$7:$N$1000,MATCH($A266,'Product Master'!$A$7:$A$1000,0)))</f>
        <v/>
      </c>
      <c r="F266" t="str">
        <f>IF($A266="","",INDEX('Product Master'!$P$7:$P$1000,MATCH($A266,'Product Master'!$A$7:$A$1000,0)))</f>
        <v/>
      </c>
      <c r="I266" t="str">
        <f>IFERROR(INDEX('Product Master'!$A$7:$A$1000,_xlfn.AGGREGATE(15,6,(ROW('Product Master'!$A$7:$A$1000)-ROW('Product Master'!$A$7)+1)/(('Product Master'!$A$7:$A$1000&lt;&gt;"")*('Product Master'!$P$7:$P$1000="Out of Stock")),ROWS($I$12:I266))),"")</f>
        <v/>
      </c>
      <c r="J266" t="str">
        <f>IF($I266="","",INDEX('Product Master'!$B$7:$B$1000,MATCH($I266,'Product Master'!$A$7:$A$1000,0)))</f>
        <v/>
      </c>
      <c r="K266" t="str">
        <f>IF($I266="","",INDEX('Product Master'!$C$7:$C$1000,MATCH($I266,'Product Master'!$A$7:$A$1000,0)))</f>
        <v/>
      </c>
      <c r="L266" t="str">
        <f>IF($I266="","",INDEX('Product Master'!$M$7:$M$1000,MATCH($I266,'Product Master'!$A$7:$A$1000,0)))</f>
        <v/>
      </c>
      <c r="M266" t="str">
        <f>IF($I266="","",INDEX('Product Master'!$N$7:$N$1000,MATCH($I266,'Product Master'!$A$7:$A$1000,0)))</f>
        <v/>
      </c>
    </row>
    <row r="267" spans="1:13" x14ac:dyDescent="0.3">
      <c r="A267" t="str">
        <f>IFERROR(INDEX('Product Master'!$A$7:$A$1000,_xlfn.AGGREGATE(15,6,(ROW('Product Master'!$A$7:$A$1000)-ROW('Product Master'!$A$7)+1)/(('Product Master'!$A$7:$A$1000&lt;&gt;"")*('Product Master'!$P$7:$P$1000="Low Stock")),ROWS($A$12:A267))),"")</f>
        <v/>
      </c>
      <c r="B267" t="str">
        <f>IF($A267="","",INDEX('Product Master'!$B$7:$B$1000,MATCH($A267,'Product Master'!$A$7:$A$1000,0)))</f>
        <v/>
      </c>
      <c r="C267" t="str">
        <f>IF($A267="","",INDEX('Product Master'!$C$7:$C$1000,MATCH($A267,'Product Master'!$A$7:$A$1000,0)))</f>
        <v/>
      </c>
      <c r="D267" t="str">
        <f>IF($A267="","",INDEX('Product Master'!$M$7:$M$1000,MATCH($A267,'Product Master'!$A$7:$A$1000,0)))</f>
        <v/>
      </c>
      <c r="E267" t="str">
        <f>IF($A267="","",INDEX('Product Master'!$N$7:$N$1000,MATCH($A267,'Product Master'!$A$7:$A$1000,0)))</f>
        <v/>
      </c>
      <c r="F267" t="str">
        <f>IF($A267="","",INDEX('Product Master'!$P$7:$P$1000,MATCH($A267,'Product Master'!$A$7:$A$1000,0)))</f>
        <v/>
      </c>
      <c r="I267" t="str">
        <f>IFERROR(INDEX('Product Master'!$A$7:$A$1000,_xlfn.AGGREGATE(15,6,(ROW('Product Master'!$A$7:$A$1000)-ROW('Product Master'!$A$7)+1)/(('Product Master'!$A$7:$A$1000&lt;&gt;"")*('Product Master'!$P$7:$P$1000="Out of Stock")),ROWS($I$12:I267))),"")</f>
        <v/>
      </c>
      <c r="J267" t="str">
        <f>IF($I267="","",INDEX('Product Master'!$B$7:$B$1000,MATCH($I267,'Product Master'!$A$7:$A$1000,0)))</f>
        <v/>
      </c>
      <c r="K267" t="str">
        <f>IF($I267="","",INDEX('Product Master'!$C$7:$C$1000,MATCH($I267,'Product Master'!$A$7:$A$1000,0)))</f>
        <v/>
      </c>
      <c r="L267" t="str">
        <f>IF($I267="","",INDEX('Product Master'!$M$7:$M$1000,MATCH($I267,'Product Master'!$A$7:$A$1000,0)))</f>
        <v/>
      </c>
      <c r="M267" t="str">
        <f>IF($I267="","",INDEX('Product Master'!$N$7:$N$1000,MATCH($I267,'Product Master'!$A$7:$A$1000,0)))</f>
        <v/>
      </c>
    </row>
    <row r="268" spans="1:13" x14ac:dyDescent="0.3">
      <c r="A268" t="str">
        <f>IFERROR(INDEX('Product Master'!$A$7:$A$1000,_xlfn.AGGREGATE(15,6,(ROW('Product Master'!$A$7:$A$1000)-ROW('Product Master'!$A$7)+1)/(('Product Master'!$A$7:$A$1000&lt;&gt;"")*('Product Master'!$P$7:$P$1000="Low Stock")),ROWS($A$12:A268))),"")</f>
        <v/>
      </c>
      <c r="B268" t="str">
        <f>IF($A268="","",INDEX('Product Master'!$B$7:$B$1000,MATCH($A268,'Product Master'!$A$7:$A$1000,0)))</f>
        <v/>
      </c>
      <c r="C268" t="str">
        <f>IF($A268="","",INDEX('Product Master'!$C$7:$C$1000,MATCH($A268,'Product Master'!$A$7:$A$1000,0)))</f>
        <v/>
      </c>
      <c r="D268" t="str">
        <f>IF($A268="","",INDEX('Product Master'!$M$7:$M$1000,MATCH($A268,'Product Master'!$A$7:$A$1000,0)))</f>
        <v/>
      </c>
      <c r="E268" t="str">
        <f>IF($A268="","",INDEX('Product Master'!$N$7:$N$1000,MATCH($A268,'Product Master'!$A$7:$A$1000,0)))</f>
        <v/>
      </c>
      <c r="F268" t="str">
        <f>IF($A268="","",INDEX('Product Master'!$P$7:$P$1000,MATCH($A268,'Product Master'!$A$7:$A$1000,0)))</f>
        <v/>
      </c>
      <c r="I268" t="str">
        <f>IFERROR(INDEX('Product Master'!$A$7:$A$1000,_xlfn.AGGREGATE(15,6,(ROW('Product Master'!$A$7:$A$1000)-ROW('Product Master'!$A$7)+1)/(('Product Master'!$A$7:$A$1000&lt;&gt;"")*('Product Master'!$P$7:$P$1000="Out of Stock")),ROWS($I$12:I268))),"")</f>
        <v/>
      </c>
      <c r="J268" t="str">
        <f>IF($I268="","",INDEX('Product Master'!$B$7:$B$1000,MATCH($I268,'Product Master'!$A$7:$A$1000,0)))</f>
        <v/>
      </c>
      <c r="K268" t="str">
        <f>IF($I268="","",INDEX('Product Master'!$C$7:$C$1000,MATCH($I268,'Product Master'!$A$7:$A$1000,0)))</f>
        <v/>
      </c>
      <c r="L268" t="str">
        <f>IF($I268="","",INDEX('Product Master'!$M$7:$M$1000,MATCH($I268,'Product Master'!$A$7:$A$1000,0)))</f>
        <v/>
      </c>
      <c r="M268" t="str">
        <f>IF($I268="","",INDEX('Product Master'!$N$7:$N$1000,MATCH($I268,'Product Master'!$A$7:$A$1000,0)))</f>
        <v/>
      </c>
    </row>
    <row r="269" spans="1:13" x14ac:dyDescent="0.3">
      <c r="A269" t="str">
        <f>IFERROR(INDEX('Product Master'!$A$7:$A$1000,_xlfn.AGGREGATE(15,6,(ROW('Product Master'!$A$7:$A$1000)-ROW('Product Master'!$A$7)+1)/(('Product Master'!$A$7:$A$1000&lt;&gt;"")*('Product Master'!$P$7:$P$1000="Low Stock")),ROWS($A$12:A269))),"")</f>
        <v/>
      </c>
      <c r="B269" t="str">
        <f>IF($A269="","",INDEX('Product Master'!$B$7:$B$1000,MATCH($A269,'Product Master'!$A$7:$A$1000,0)))</f>
        <v/>
      </c>
      <c r="C269" t="str">
        <f>IF($A269="","",INDEX('Product Master'!$C$7:$C$1000,MATCH($A269,'Product Master'!$A$7:$A$1000,0)))</f>
        <v/>
      </c>
      <c r="D269" t="str">
        <f>IF($A269="","",INDEX('Product Master'!$M$7:$M$1000,MATCH($A269,'Product Master'!$A$7:$A$1000,0)))</f>
        <v/>
      </c>
      <c r="E269" t="str">
        <f>IF($A269="","",INDEX('Product Master'!$N$7:$N$1000,MATCH($A269,'Product Master'!$A$7:$A$1000,0)))</f>
        <v/>
      </c>
      <c r="F269" t="str">
        <f>IF($A269="","",INDEX('Product Master'!$P$7:$P$1000,MATCH($A269,'Product Master'!$A$7:$A$1000,0)))</f>
        <v/>
      </c>
      <c r="I269" t="str">
        <f>IFERROR(INDEX('Product Master'!$A$7:$A$1000,_xlfn.AGGREGATE(15,6,(ROW('Product Master'!$A$7:$A$1000)-ROW('Product Master'!$A$7)+1)/(('Product Master'!$A$7:$A$1000&lt;&gt;"")*('Product Master'!$P$7:$P$1000="Out of Stock")),ROWS($I$12:I269))),"")</f>
        <v/>
      </c>
      <c r="J269" t="str">
        <f>IF($I269="","",INDEX('Product Master'!$B$7:$B$1000,MATCH($I269,'Product Master'!$A$7:$A$1000,0)))</f>
        <v/>
      </c>
      <c r="K269" t="str">
        <f>IF($I269="","",INDEX('Product Master'!$C$7:$C$1000,MATCH($I269,'Product Master'!$A$7:$A$1000,0)))</f>
        <v/>
      </c>
      <c r="L269" t="str">
        <f>IF($I269="","",INDEX('Product Master'!$M$7:$M$1000,MATCH($I269,'Product Master'!$A$7:$A$1000,0)))</f>
        <v/>
      </c>
      <c r="M269" t="str">
        <f>IF($I269="","",INDEX('Product Master'!$N$7:$N$1000,MATCH($I269,'Product Master'!$A$7:$A$1000,0)))</f>
        <v/>
      </c>
    </row>
    <row r="270" spans="1:13" x14ac:dyDescent="0.3">
      <c r="A270" t="str">
        <f>IFERROR(INDEX('Product Master'!$A$7:$A$1000,_xlfn.AGGREGATE(15,6,(ROW('Product Master'!$A$7:$A$1000)-ROW('Product Master'!$A$7)+1)/(('Product Master'!$A$7:$A$1000&lt;&gt;"")*('Product Master'!$P$7:$P$1000="Low Stock")),ROWS($A$12:A270))),"")</f>
        <v/>
      </c>
      <c r="B270" t="str">
        <f>IF($A270="","",INDEX('Product Master'!$B$7:$B$1000,MATCH($A270,'Product Master'!$A$7:$A$1000,0)))</f>
        <v/>
      </c>
      <c r="C270" t="str">
        <f>IF($A270="","",INDEX('Product Master'!$C$7:$C$1000,MATCH($A270,'Product Master'!$A$7:$A$1000,0)))</f>
        <v/>
      </c>
      <c r="D270" t="str">
        <f>IF($A270="","",INDEX('Product Master'!$M$7:$M$1000,MATCH($A270,'Product Master'!$A$7:$A$1000,0)))</f>
        <v/>
      </c>
      <c r="E270" t="str">
        <f>IF($A270="","",INDEX('Product Master'!$N$7:$N$1000,MATCH($A270,'Product Master'!$A$7:$A$1000,0)))</f>
        <v/>
      </c>
      <c r="F270" t="str">
        <f>IF($A270="","",INDEX('Product Master'!$P$7:$P$1000,MATCH($A270,'Product Master'!$A$7:$A$1000,0)))</f>
        <v/>
      </c>
      <c r="I270" t="str">
        <f>IFERROR(INDEX('Product Master'!$A$7:$A$1000,_xlfn.AGGREGATE(15,6,(ROW('Product Master'!$A$7:$A$1000)-ROW('Product Master'!$A$7)+1)/(('Product Master'!$A$7:$A$1000&lt;&gt;"")*('Product Master'!$P$7:$P$1000="Out of Stock")),ROWS($I$12:I270))),"")</f>
        <v/>
      </c>
      <c r="J270" t="str">
        <f>IF($I270="","",INDEX('Product Master'!$B$7:$B$1000,MATCH($I270,'Product Master'!$A$7:$A$1000,0)))</f>
        <v/>
      </c>
      <c r="K270" t="str">
        <f>IF($I270="","",INDEX('Product Master'!$C$7:$C$1000,MATCH($I270,'Product Master'!$A$7:$A$1000,0)))</f>
        <v/>
      </c>
      <c r="L270" t="str">
        <f>IF($I270="","",INDEX('Product Master'!$M$7:$M$1000,MATCH($I270,'Product Master'!$A$7:$A$1000,0)))</f>
        <v/>
      </c>
      <c r="M270" t="str">
        <f>IF($I270="","",INDEX('Product Master'!$N$7:$N$1000,MATCH($I270,'Product Master'!$A$7:$A$1000,0)))</f>
        <v/>
      </c>
    </row>
    <row r="271" spans="1:13" x14ac:dyDescent="0.3">
      <c r="A271" t="str">
        <f>IFERROR(INDEX('Product Master'!$A$7:$A$1000,_xlfn.AGGREGATE(15,6,(ROW('Product Master'!$A$7:$A$1000)-ROW('Product Master'!$A$7)+1)/(('Product Master'!$A$7:$A$1000&lt;&gt;"")*('Product Master'!$P$7:$P$1000="Low Stock")),ROWS($A$12:A271))),"")</f>
        <v/>
      </c>
      <c r="B271" t="str">
        <f>IF($A271="","",INDEX('Product Master'!$B$7:$B$1000,MATCH($A271,'Product Master'!$A$7:$A$1000,0)))</f>
        <v/>
      </c>
      <c r="C271" t="str">
        <f>IF($A271="","",INDEX('Product Master'!$C$7:$C$1000,MATCH($A271,'Product Master'!$A$7:$A$1000,0)))</f>
        <v/>
      </c>
      <c r="D271" t="str">
        <f>IF($A271="","",INDEX('Product Master'!$M$7:$M$1000,MATCH($A271,'Product Master'!$A$7:$A$1000,0)))</f>
        <v/>
      </c>
      <c r="E271" t="str">
        <f>IF($A271="","",INDEX('Product Master'!$N$7:$N$1000,MATCH($A271,'Product Master'!$A$7:$A$1000,0)))</f>
        <v/>
      </c>
      <c r="F271" t="str">
        <f>IF($A271="","",INDEX('Product Master'!$P$7:$P$1000,MATCH($A271,'Product Master'!$A$7:$A$1000,0)))</f>
        <v/>
      </c>
      <c r="I271" t="str">
        <f>IFERROR(INDEX('Product Master'!$A$7:$A$1000,_xlfn.AGGREGATE(15,6,(ROW('Product Master'!$A$7:$A$1000)-ROW('Product Master'!$A$7)+1)/(('Product Master'!$A$7:$A$1000&lt;&gt;"")*('Product Master'!$P$7:$P$1000="Out of Stock")),ROWS($I$12:I271))),"")</f>
        <v/>
      </c>
      <c r="J271" t="str">
        <f>IF($I271="","",INDEX('Product Master'!$B$7:$B$1000,MATCH($I271,'Product Master'!$A$7:$A$1000,0)))</f>
        <v/>
      </c>
      <c r="K271" t="str">
        <f>IF($I271="","",INDEX('Product Master'!$C$7:$C$1000,MATCH($I271,'Product Master'!$A$7:$A$1000,0)))</f>
        <v/>
      </c>
      <c r="L271" t="str">
        <f>IF($I271="","",INDEX('Product Master'!$M$7:$M$1000,MATCH($I271,'Product Master'!$A$7:$A$1000,0)))</f>
        <v/>
      </c>
      <c r="M271" t="str">
        <f>IF($I271="","",INDEX('Product Master'!$N$7:$N$1000,MATCH($I271,'Product Master'!$A$7:$A$1000,0)))</f>
        <v/>
      </c>
    </row>
    <row r="272" spans="1:13" x14ac:dyDescent="0.3">
      <c r="A272" t="str">
        <f>IFERROR(INDEX('Product Master'!$A$7:$A$1000,_xlfn.AGGREGATE(15,6,(ROW('Product Master'!$A$7:$A$1000)-ROW('Product Master'!$A$7)+1)/(('Product Master'!$A$7:$A$1000&lt;&gt;"")*('Product Master'!$P$7:$P$1000="Low Stock")),ROWS($A$12:A272))),"")</f>
        <v/>
      </c>
      <c r="B272" t="str">
        <f>IF($A272="","",INDEX('Product Master'!$B$7:$B$1000,MATCH($A272,'Product Master'!$A$7:$A$1000,0)))</f>
        <v/>
      </c>
      <c r="C272" t="str">
        <f>IF($A272="","",INDEX('Product Master'!$C$7:$C$1000,MATCH($A272,'Product Master'!$A$7:$A$1000,0)))</f>
        <v/>
      </c>
      <c r="D272" t="str">
        <f>IF($A272="","",INDEX('Product Master'!$M$7:$M$1000,MATCH($A272,'Product Master'!$A$7:$A$1000,0)))</f>
        <v/>
      </c>
      <c r="E272" t="str">
        <f>IF($A272="","",INDEX('Product Master'!$N$7:$N$1000,MATCH($A272,'Product Master'!$A$7:$A$1000,0)))</f>
        <v/>
      </c>
      <c r="F272" t="str">
        <f>IF($A272="","",INDEX('Product Master'!$P$7:$P$1000,MATCH($A272,'Product Master'!$A$7:$A$1000,0)))</f>
        <v/>
      </c>
      <c r="I272" t="str">
        <f>IFERROR(INDEX('Product Master'!$A$7:$A$1000,_xlfn.AGGREGATE(15,6,(ROW('Product Master'!$A$7:$A$1000)-ROW('Product Master'!$A$7)+1)/(('Product Master'!$A$7:$A$1000&lt;&gt;"")*('Product Master'!$P$7:$P$1000="Out of Stock")),ROWS($I$12:I272))),"")</f>
        <v/>
      </c>
      <c r="J272" t="str">
        <f>IF($I272="","",INDEX('Product Master'!$B$7:$B$1000,MATCH($I272,'Product Master'!$A$7:$A$1000,0)))</f>
        <v/>
      </c>
      <c r="K272" t="str">
        <f>IF($I272="","",INDEX('Product Master'!$C$7:$C$1000,MATCH($I272,'Product Master'!$A$7:$A$1000,0)))</f>
        <v/>
      </c>
      <c r="L272" t="str">
        <f>IF($I272="","",INDEX('Product Master'!$M$7:$M$1000,MATCH($I272,'Product Master'!$A$7:$A$1000,0)))</f>
        <v/>
      </c>
      <c r="M272" t="str">
        <f>IF($I272="","",INDEX('Product Master'!$N$7:$N$1000,MATCH($I272,'Product Master'!$A$7:$A$1000,0)))</f>
        <v/>
      </c>
    </row>
    <row r="273" spans="1:13" x14ac:dyDescent="0.3">
      <c r="A273" t="str">
        <f>IFERROR(INDEX('Product Master'!$A$7:$A$1000,_xlfn.AGGREGATE(15,6,(ROW('Product Master'!$A$7:$A$1000)-ROW('Product Master'!$A$7)+1)/(('Product Master'!$A$7:$A$1000&lt;&gt;"")*('Product Master'!$P$7:$P$1000="Low Stock")),ROWS($A$12:A273))),"")</f>
        <v/>
      </c>
      <c r="B273" t="str">
        <f>IF($A273="","",INDEX('Product Master'!$B$7:$B$1000,MATCH($A273,'Product Master'!$A$7:$A$1000,0)))</f>
        <v/>
      </c>
      <c r="C273" t="str">
        <f>IF($A273="","",INDEX('Product Master'!$C$7:$C$1000,MATCH($A273,'Product Master'!$A$7:$A$1000,0)))</f>
        <v/>
      </c>
      <c r="D273" t="str">
        <f>IF($A273="","",INDEX('Product Master'!$M$7:$M$1000,MATCH($A273,'Product Master'!$A$7:$A$1000,0)))</f>
        <v/>
      </c>
      <c r="E273" t="str">
        <f>IF($A273="","",INDEX('Product Master'!$N$7:$N$1000,MATCH($A273,'Product Master'!$A$7:$A$1000,0)))</f>
        <v/>
      </c>
      <c r="F273" t="str">
        <f>IF($A273="","",INDEX('Product Master'!$P$7:$P$1000,MATCH($A273,'Product Master'!$A$7:$A$1000,0)))</f>
        <v/>
      </c>
      <c r="I273" t="str">
        <f>IFERROR(INDEX('Product Master'!$A$7:$A$1000,_xlfn.AGGREGATE(15,6,(ROW('Product Master'!$A$7:$A$1000)-ROW('Product Master'!$A$7)+1)/(('Product Master'!$A$7:$A$1000&lt;&gt;"")*('Product Master'!$P$7:$P$1000="Out of Stock")),ROWS($I$12:I273))),"")</f>
        <v/>
      </c>
      <c r="J273" t="str">
        <f>IF($I273="","",INDEX('Product Master'!$B$7:$B$1000,MATCH($I273,'Product Master'!$A$7:$A$1000,0)))</f>
        <v/>
      </c>
      <c r="K273" t="str">
        <f>IF($I273="","",INDEX('Product Master'!$C$7:$C$1000,MATCH($I273,'Product Master'!$A$7:$A$1000,0)))</f>
        <v/>
      </c>
      <c r="L273" t="str">
        <f>IF($I273="","",INDEX('Product Master'!$M$7:$M$1000,MATCH($I273,'Product Master'!$A$7:$A$1000,0)))</f>
        <v/>
      </c>
      <c r="M273" t="str">
        <f>IF($I273="","",INDEX('Product Master'!$N$7:$N$1000,MATCH($I273,'Product Master'!$A$7:$A$1000,0)))</f>
        <v/>
      </c>
    </row>
    <row r="274" spans="1:13" x14ac:dyDescent="0.3">
      <c r="A274" t="str">
        <f>IFERROR(INDEX('Product Master'!$A$7:$A$1000,_xlfn.AGGREGATE(15,6,(ROW('Product Master'!$A$7:$A$1000)-ROW('Product Master'!$A$7)+1)/(('Product Master'!$A$7:$A$1000&lt;&gt;"")*('Product Master'!$P$7:$P$1000="Low Stock")),ROWS($A$12:A274))),"")</f>
        <v/>
      </c>
      <c r="B274" t="str">
        <f>IF($A274="","",INDEX('Product Master'!$B$7:$B$1000,MATCH($A274,'Product Master'!$A$7:$A$1000,0)))</f>
        <v/>
      </c>
      <c r="C274" t="str">
        <f>IF($A274="","",INDEX('Product Master'!$C$7:$C$1000,MATCH($A274,'Product Master'!$A$7:$A$1000,0)))</f>
        <v/>
      </c>
      <c r="D274" t="str">
        <f>IF($A274="","",INDEX('Product Master'!$M$7:$M$1000,MATCH($A274,'Product Master'!$A$7:$A$1000,0)))</f>
        <v/>
      </c>
      <c r="E274" t="str">
        <f>IF($A274="","",INDEX('Product Master'!$N$7:$N$1000,MATCH($A274,'Product Master'!$A$7:$A$1000,0)))</f>
        <v/>
      </c>
      <c r="F274" t="str">
        <f>IF($A274="","",INDEX('Product Master'!$P$7:$P$1000,MATCH($A274,'Product Master'!$A$7:$A$1000,0)))</f>
        <v/>
      </c>
      <c r="I274" t="str">
        <f>IFERROR(INDEX('Product Master'!$A$7:$A$1000,_xlfn.AGGREGATE(15,6,(ROW('Product Master'!$A$7:$A$1000)-ROW('Product Master'!$A$7)+1)/(('Product Master'!$A$7:$A$1000&lt;&gt;"")*('Product Master'!$P$7:$P$1000="Out of Stock")),ROWS($I$12:I274))),"")</f>
        <v/>
      </c>
      <c r="J274" t="str">
        <f>IF($I274="","",INDEX('Product Master'!$B$7:$B$1000,MATCH($I274,'Product Master'!$A$7:$A$1000,0)))</f>
        <v/>
      </c>
      <c r="K274" t="str">
        <f>IF($I274="","",INDEX('Product Master'!$C$7:$C$1000,MATCH($I274,'Product Master'!$A$7:$A$1000,0)))</f>
        <v/>
      </c>
      <c r="L274" t="str">
        <f>IF($I274="","",INDEX('Product Master'!$M$7:$M$1000,MATCH($I274,'Product Master'!$A$7:$A$1000,0)))</f>
        <v/>
      </c>
      <c r="M274" t="str">
        <f>IF($I274="","",INDEX('Product Master'!$N$7:$N$1000,MATCH($I274,'Product Master'!$A$7:$A$1000,0)))</f>
        <v/>
      </c>
    </row>
    <row r="275" spans="1:13" x14ac:dyDescent="0.3">
      <c r="A275" t="str">
        <f>IFERROR(INDEX('Product Master'!$A$7:$A$1000,_xlfn.AGGREGATE(15,6,(ROW('Product Master'!$A$7:$A$1000)-ROW('Product Master'!$A$7)+1)/(('Product Master'!$A$7:$A$1000&lt;&gt;"")*('Product Master'!$P$7:$P$1000="Low Stock")),ROWS($A$12:A275))),"")</f>
        <v/>
      </c>
      <c r="B275" t="str">
        <f>IF($A275="","",INDEX('Product Master'!$B$7:$B$1000,MATCH($A275,'Product Master'!$A$7:$A$1000,0)))</f>
        <v/>
      </c>
      <c r="C275" t="str">
        <f>IF($A275="","",INDEX('Product Master'!$C$7:$C$1000,MATCH($A275,'Product Master'!$A$7:$A$1000,0)))</f>
        <v/>
      </c>
      <c r="D275" t="str">
        <f>IF($A275="","",INDEX('Product Master'!$M$7:$M$1000,MATCH($A275,'Product Master'!$A$7:$A$1000,0)))</f>
        <v/>
      </c>
      <c r="E275" t="str">
        <f>IF($A275="","",INDEX('Product Master'!$N$7:$N$1000,MATCH($A275,'Product Master'!$A$7:$A$1000,0)))</f>
        <v/>
      </c>
      <c r="F275" t="str">
        <f>IF($A275="","",INDEX('Product Master'!$P$7:$P$1000,MATCH($A275,'Product Master'!$A$7:$A$1000,0)))</f>
        <v/>
      </c>
      <c r="I275" t="str">
        <f>IFERROR(INDEX('Product Master'!$A$7:$A$1000,_xlfn.AGGREGATE(15,6,(ROW('Product Master'!$A$7:$A$1000)-ROW('Product Master'!$A$7)+1)/(('Product Master'!$A$7:$A$1000&lt;&gt;"")*('Product Master'!$P$7:$P$1000="Out of Stock")),ROWS($I$12:I275))),"")</f>
        <v/>
      </c>
      <c r="J275" t="str">
        <f>IF($I275="","",INDEX('Product Master'!$B$7:$B$1000,MATCH($I275,'Product Master'!$A$7:$A$1000,0)))</f>
        <v/>
      </c>
      <c r="K275" t="str">
        <f>IF($I275="","",INDEX('Product Master'!$C$7:$C$1000,MATCH($I275,'Product Master'!$A$7:$A$1000,0)))</f>
        <v/>
      </c>
      <c r="L275" t="str">
        <f>IF($I275="","",INDEX('Product Master'!$M$7:$M$1000,MATCH($I275,'Product Master'!$A$7:$A$1000,0)))</f>
        <v/>
      </c>
      <c r="M275" t="str">
        <f>IF($I275="","",INDEX('Product Master'!$N$7:$N$1000,MATCH($I275,'Product Master'!$A$7:$A$1000,0)))</f>
        <v/>
      </c>
    </row>
    <row r="276" spans="1:13" x14ac:dyDescent="0.3">
      <c r="A276" t="str">
        <f>IFERROR(INDEX('Product Master'!$A$7:$A$1000,_xlfn.AGGREGATE(15,6,(ROW('Product Master'!$A$7:$A$1000)-ROW('Product Master'!$A$7)+1)/(('Product Master'!$A$7:$A$1000&lt;&gt;"")*('Product Master'!$P$7:$P$1000="Low Stock")),ROWS($A$12:A276))),"")</f>
        <v/>
      </c>
      <c r="B276" t="str">
        <f>IF($A276="","",INDEX('Product Master'!$B$7:$B$1000,MATCH($A276,'Product Master'!$A$7:$A$1000,0)))</f>
        <v/>
      </c>
      <c r="C276" t="str">
        <f>IF($A276="","",INDEX('Product Master'!$C$7:$C$1000,MATCH($A276,'Product Master'!$A$7:$A$1000,0)))</f>
        <v/>
      </c>
      <c r="D276" t="str">
        <f>IF($A276="","",INDEX('Product Master'!$M$7:$M$1000,MATCH($A276,'Product Master'!$A$7:$A$1000,0)))</f>
        <v/>
      </c>
      <c r="E276" t="str">
        <f>IF($A276="","",INDEX('Product Master'!$N$7:$N$1000,MATCH($A276,'Product Master'!$A$7:$A$1000,0)))</f>
        <v/>
      </c>
      <c r="F276" t="str">
        <f>IF($A276="","",INDEX('Product Master'!$P$7:$P$1000,MATCH($A276,'Product Master'!$A$7:$A$1000,0)))</f>
        <v/>
      </c>
      <c r="I276" t="str">
        <f>IFERROR(INDEX('Product Master'!$A$7:$A$1000,_xlfn.AGGREGATE(15,6,(ROW('Product Master'!$A$7:$A$1000)-ROW('Product Master'!$A$7)+1)/(('Product Master'!$A$7:$A$1000&lt;&gt;"")*('Product Master'!$P$7:$P$1000="Out of Stock")),ROWS($I$12:I276))),"")</f>
        <v/>
      </c>
      <c r="J276" t="str">
        <f>IF($I276="","",INDEX('Product Master'!$B$7:$B$1000,MATCH($I276,'Product Master'!$A$7:$A$1000,0)))</f>
        <v/>
      </c>
      <c r="K276" t="str">
        <f>IF($I276="","",INDEX('Product Master'!$C$7:$C$1000,MATCH($I276,'Product Master'!$A$7:$A$1000,0)))</f>
        <v/>
      </c>
      <c r="L276" t="str">
        <f>IF($I276="","",INDEX('Product Master'!$M$7:$M$1000,MATCH($I276,'Product Master'!$A$7:$A$1000,0)))</f>
        <v/>
      </c>
      <c r="M276" t="str">
        <f>IF($I276="","",INDEX('Product Master'!$N$7:$N$1000,MATCH($I276,'Product Master'!$A$7:$A$1000,0)))</f>
        <v/>
      </c>
    </row>
    <row r="277" spans="1:13" x14ac:dyDescent="0.3">
      <c r="A277" t="str">
        <f>IFERROR(INDEX('Product Master'!$A$7:$A$1000,_xlfn.AGGREGATE(15,6,(ROW('Product Master'!$A$7:$A$1000)-ROW('Product Master'!$A$7)+1)/(('Product Master'!$A$7:$A$1000&lt;&gt;"")*('Product Master'!$P$7:$P$1000="Low Stock")),ROWS($A$12:A277))),"")</f>
        <v/>
      </c>
      <c r="B277" t="str">
        <f>IF($A277="","",INDEX('Product Master'!$B$7:$B$1000,MATCH($A277,'Product Master'!$A$7:$A$1000,0)))</f>
        <v/>
      </c>
      <c r="C277" t="str">
        <f>IF($A277="","",INDEX('Product Master'!$C$7:$C$1000,MATCH($A277,'Product Master'!$A$7:$A$1000,0)))</f>
        <v/>
      </c>
      <c r="D277" t="str">
        <f>IF($A277="","",INDEX('Product Master'!$M$7:$M$1000,MATCH($A277,'Product Master'!$A$7:$A$1000,0)))</f>
        <v/>
      </c>
      <c r="E277" t="str">
        <f>IF($A277="","",INDEX('Product Master'!$N$7:$N$1000,MATCH($A277,'Product Master'!$A$7:$A$1000,0)))</f>
        <v/>
      </c>
      <c r="F277" t="str">
        <f>IF($A277="","",INDEX('Product Master'!$P$7:$P$1000,MATCH($A277,'Product Master'!$A$7:$A$1000,0)))</f>
        <v/>
      </c>
      <c r="I277" t="str">
        <f>IFERROR(INDEX('Product Master'!$A$7:$A$1000,_xlfn.AGGREGATE(15,6,(ROW('Product Master'!$A$7:$A$1000)-ROW('Product Master'!$A$7)+1)/(('Product Master'!$A$7:$A$1000&lt;&gt;"")*('Product Master'!$P$7:$P$1000="Out of Stock")),ROWS($I$12:I277))),"")</f>
        <v/>
      </c>
      <c r="J277" t="str">
        <f>IF($I277="","",INDEX('Product Master'!$B$7:$B$1000,MATCH($I277,'Product Master'!$A$7:$A$1000,0)))</f>
        <v/>
      </c>
      <c r="K277" t="str">
        <f>IF($I277="","",INDEX('Product Master'!$C$7:$C$1000,MATCH($I277,'Product Master'!$A$7:$A$1000,0)))</f>
        <v/>
      </c>
      <c r="L277" t="str">
        <f>IF($I277="","",INDEX('Product Master'!$M$7:$M$1000,MATCH($I277,'Product Master'!$A$7:$A$1000,0)))</f>
        <v/>
      </c>
      <c r="M277" t="str">
        <f>IF($I277="","",INDEX('Product Master'!$N$7:$N$1000,MATCH($I277,'Product Master'!$A$7:$A$1000,0)))</f>
        <v/>
      </c>
    </row>
    <row r="278" spans="1:13" x14ac:dyDescent="0.3">
      <c r="A278" t="str">
        <f>IFERROR(INDEX('Product Master'!$A$7:$A$1000,_xlfn.AGGREGATE(15,6,(ROW('Product Master'!$A$7:$A$1000)-ROW('Product Master'!$A$7)+1)/(('Product Master'!$A$7:$A$1000&lt;&gt;"")*('Product Master'!$P$7:$P$1000="Low Stock")),ROWS($A$12:A278))),"")</f>
        <v/>
      </c>
      <c r="B278" t="str">
        <f>IF($A278="","",INDEX('Product Master'!$B$7:$B$1000,MATCH($A278,'Product Master'!$A$7:$A$1000,0)))</f>
        <v/>
      </c>
      <c r="C278" t="str">
        <f>IF($A278="","",INDEX('Product Master'!$C$7:$C$1000,MATCH($A278,'Product Master'!$A$7:$A$1000,0)))</f>
        <v/>
      </c>
      <c r="D278" t="str">
        <f>IF($A278="","",INDEX('Product Master'!$M$7:$M$1000,MATCH($A278,'Product Master'!$A$7:$A$1000,0)))</f>
        <v/>
      </c>
      <c r="E278" t="str">
        <f>IF($A278="","",INDEX('Product Master'!$N$7:$N$1000,MATCH($A278,'Product Master'!$A$7:$A$1000,0)))</f>
        <v/>
      </c>
      <c r="F278" t="str">
        <f>IF($A278="","",INDEX('Product Master'!$P$7:$P$1000,MATCH($A278,'Product Master'!$A$7:$A$1000,0)))</f>
        <v/>
      </c>
      <c r="I278" t="str">
        <f>IFERROR(INDEX('Product Master'!$A$7:$A$1000,_xlfn.AGGREGATE(15,6,(ROW('Product Master'!$A$7:$A$1000)-ROW('Product Master'!$A$7)+1)/(('Product Master'!$A$7:$A$1000&lt;&gt;"")*('Product Master'!$P$7:$P$1000="Out of Stock")),ROWS($I$12:I278))),"")</f>
        <v/>
      </c>
      <c r="J278" t="str">
        <f>IF($I278="","",INDEX('Product Master'!$B$7:$B$1000,MATCH($I278,'Product Master'!$A$7:$A$1000,0)))</f>
        <v/>
      </c>
      <c r="K278" t="str">
        <f>IF($I278="","",INDEX('Product Master'!$C$7:$C$1000,MATCH($I278,'Product Master'!$A$7:$A$1000,0)))</f>
        <v/>
      </c>
      <c r="L278" t="str">
        <f>IF($I278="","",INDEX('Product Master'!$M$7:$M$1000,MATCH($I278,'Product Master'!$A$7:$A$1000,0)))</f>
        <v/>
      </c>
      <c r="M278" t="str">
        <f>IF($I278="","",INDEX('Product Master'!$N$7:$N$1000,MATCH($I278,'Product Master'!$A$7:$A$1000,0)))</f>
        <v/>
      </c>
    </row>
    <row r="279" spans="1:13" x14ac:dyDescent="0.3">
      <c r="A279" t="str">
        <f>IFERROR(INDEX('Product Master'!$A$7:$A$1000,_xlfn.AGGREGATE(15,6,(ROW('Product Master'!$A$7:$A$1000)-ROW('Product Master'!$A$7)+1)/(('Product Master'!$A$7:$A$1000&lt;&gt;"")*('Product Master'!$P$7:$P$1000="Low Stock")),ROWS($A$12:A279))),"")</f>
        <v/>
      </c>
      <c r="B279" t="str">
        <f>IF($A279="","",INDEX('Product Master'!$B$7:$B$1000,MATCH($A279,'Product Master'!$A$7:$A$1000,0)))</f>
        <v/>
      </c>
      <c r="C279" t="str">
        <f>IF($A279="","",INDEX('Product Master'!$C$7:$C$1000,MATCH($A279,'Product Master'!$A$7:$A$1000,0)))</f>
        <v/>
      </c>
      <c r="D279" t="str">
        <f>IF($A279="","",INDEX('Product Master'!$M$7:$M$1000,MATCH($A279,'Product Master'!$A$7:$A$1000,0)))</f>
        <v/>
      </c>
      <c r="E279" t="str">
        <f>IF($A279="","",INDEX('Product Master'!$N$7:$N$1000,MATCH($A279,'Product Master'!$A$7:$A$1000,0)))</f>
        <v/>
      </c>
      <c r="F279" t="str">
        <f>IF($A279="","",INDEX('Product Master'!$P$7:$P$1000,MATCH($A279,'Product Master'!$A$7:$A$1000,0)))</f>
        <v/>
      </c>
      <c r="I279" t="str">
        <f>IFERROR(INDEX('Product Master'!$A$7:$A$1000,_xlfn.AGGREGATE(15,6,(ROW('Product Master'!$A$7:$A$1000)-ROW('Product Master'!$A$7)+1)/(('Product Master'!$A$7:$A$1000&lt;&gt;"")*('Product Master'!$P$7:$P$1000="Out of Stock")),ROWS($I$12:I279))),"")</f>
        <v/>
      </c>
      <c r="J279" t="str">
        <f>IF($I279="","",INDEX('Product Master'!$B$7:$B$1000,MATCH($I279,'Product Master'!$A$7:$A$1000,0)))</f>
        <v/>
      </c>
      <c r="K279" t="str">
        <f>IF($I279="","",INDEX('Product Master'!$C$7:$C$1000,MATCH($I279,'Product Master'!$A$7:$A$1000,0)))</f>
        <v/>
      </c>
      <c r="L279" t="str">
        <f>IF($I279="","",INDEX('Product Master'!$M$7:$M$1000,MATCH($I279,'Product Master'!$A$7:$A$1000,0)))</f>
        <v/>
      </c>
      <c r="M279" t="str">
        <f>IF($I279="","",INDEX('Product Master'!$N$7:$N$1000,MATCH($I279,'Product Master'!$A$7:$A$1000,0)))</f>
        <v/>
      </c>
    </row>
    <row r="280" spans="1:13" x14ac:dyDescent="0.3">
      <c r="A280" t="str">
        <f>IFERROR(INDEX('Product Master'!$A$7:$A$1000,_xlfn.AGGREGATE(15,6,(ROW('Product Master'!$A$7:$A$1000)-ROW('Product Master'!$A$7)+1)/(('Product Master'!$A$7:$A$1000&lt;&gt;"")*('Product Master'!$P$7:$P$1000="Low Stock")),ROWS($A$12:A280))),"")</f>
        <v/>
      </c>
      <c r="B280" t="str">
        <f>IF($A280="","",INDEX('Product Master'!$B$7:$B$1000,MATCH($A280,'Product Master'!$A$7:$A$1000,0)))</f>
        <v/>
      </c>
      <c r="C280" t="str">
        <f>IF($A280="","",INDEX('Product Master'!$C$7:$C$1000,MATCH($A280,'Product Master'!$A$7:$A$1000,0)))</f>
        <v/>
      </c>
      <c r="D280" t="str">
        <f>IF($A280="","",INDEX('Product Master'!$M$7:$M$1000,MATCH($A280,'Product Master'!$A$7:$A$1000,0)))</f>
        <v/>
      </c>
      <c r="E280" t="str">
        <f>IF($A280="","",INDEX('Product Master'!$N$7:$N$1000,MATCH($A280,'Product Master'!$A$7:$A$1000,0)))</f>
        <v/>
      </c>
      <c r="F280" t="str">
        <f>IF($A280="","",INDEX('Product Master'!$P$7:$P$1000,MATCH($A280,'Product Master'!$A$7:$A$1000,0)))</f>
        <v/>
      </c>
      <c r="I280" t="str">
        <f>IFERROR(INDEX('Product Master'!$A$7:$A$1000,_xlfn.AGGREGATE(15,6,(ROW('Product Master'!$A$7:$A$1000)-ROW('Product Master'!$A$7)+1)/(('Product Master'!$A$7:$A$1000&lt;&gt;"")*('Product Master'!$P$7:$P$1000="Out of Stock")),ROWS($I$12:I280))),"")</f>
        <v/>
      </c>
      <c r="J280" t="str">
        <f>IF($I280="","",INDEX('Product Master'!$B$7:$B$1000,MATCH($I280,'Product Master'!$A$7:$A$1000,0)))</f>
        <v/>
      </c>
      <c r="K280" t="str">
        <f>IF($I280="","",INDEX('Product Master'!$C$7:$C$1000,MATCH($I280,'Product Master'!$A$7:$A$1000,0)))</f>
        <v/>
      </c>
      <c r="L280" t="str">
        <f>IF($I280="","",INDEX('Product Master'!$M$7:$M$1000,MATCH($I280,'Product Master'!$A$7:$A$1000,0)))</f>
        <v/>
      </c>
      <c r="M280" t="str">
        <f>IF($I280="","",INDEX('Product Master'!$N$7:$N$1000,MATCH($I280,'Product Master'!$A$7:$A$1000,0)))</f>
        <v/>
      </c>
    </row>
    <row r="281" spans="1:13" x14ac:dyDescent="0.3">
      <c r="A281" t="str">
        <f>IFERROR(INDEX('Product Master'!$A$7:$A$1000,_xlfn.AGGREGATE(15,6,(ROW('Product Master'!$A$7:$A$1000)-ROW('Product Master'!$A$7)+1)/(('Product Master'!$A$7:$A$1000&lt;&gt;"")*('Product Master'!$P$7:$P$1000="Low Stock")),ROWS($A$12:A281))),"")</f>
        <v/>
      </c>
      <c r="B281" t="str">
        <f>IF($A281="","",INDEX('Product Master'!$B$7:$B$1000,MATCH($A281,'Product Master'!$A$7:$A$1000,0)))</f>
        <v/>
      </c>
      <c r="C281" t="str">
        <f>IF($A281="","",INDEX('Product Master'!$C$7:$C$1000,MATCH($A281,'Product Master'!$A$7:$A$1000,0)))</f>
        <v/>
      </c>
      <c r="D281" t="str">
        <f>IF($A281="","",INDEX('Product Master'!$M$7:$M$1000,MATCH($A281,'Product Master'!$A$7:$A$1000,0)))</f>
        <v/>
      </c>
      <c r="E281" t="str">
        <f>IF($A281="","",INDEX('Product Master'!$N$7:$N$1000,MATCH($A281,'Product Master'!$A$7:$A$1000,0)))</f>
        <v/>
      </c>
      <c r="F281" t="str">
        <f>IF($A281="","",INDEX('Product Master'!$P$7:$P$1000,MATCH($A281,'Product Master'!$A$7:$A$1000,0)))</f>
        <v/>
      </c>
      <c r="I281" t="str">
        <f>IFERROR(INDEX('Product Master'!$A$7:$A$1000,_xlfn.AGGREGATE(15,6,(ROW('Product Master'!$A$7:$A$1000)-ROW('Product Master'!$A$7)+1)/(('Product Master'!$A$7:$A$1000&lt;&gt;"")*('Product Master'!$P$7:$P$1000="Out of Stock")),ROWS($I$12:I281))),"")</f>
        <v/>
      </c>
      <c r="J281" t="str">
        <f>IF($I281="","",INDEX('Product Master'!$B$7:$B$1000,MATCH($I281,'Product Master'!$A$7:$A$1000,0)))</f>
        <v/>
      </c>
      <c r="K281" t="str">
        <f>IF($I281="","",INDEX('Product Master'!$C$7:$C$1000,MATCH($I281,'Product Master'!$A$7:$A$1000,0)))</f>
        <v/>
      </c>
      <c r="L281" t="str">
        <f>IF($I281="","",INDEX('Product Master'!$M$7:$M$1000,MATCH($I281,'Product Master'!$A$7:$A$1000,0)))</f>
        <v/>
      </c>
      <c r="M281" t="str">
        <f>IF($I281="","",INDEX('Product Master'!$N$7:$N$1000,MATCH($I281,'Product Master'!$A$7:$A$1000,0)))</f>
        <v/>
      </c>
    </row>
    <row r="282" spans="1:13" x14ac:dyDescent="0.3">
      <c r="A282" t="str">
        <f>IFERROR(INDEX('Product Master'!$A$7:$A$1000,_xlfn.AGGREGATE(15,6,(ROW('Product Master'!$A$7:$A$1000)-ROW('Product Master'!$A$7)+1)/(('Product Master'!$A$7:$A$1000&lt;&gt;"")*('Product Master'!$P$7:$P$1000="Low Stock")),ROWS($A$12:A282))),"")</f>
        <v/>
      </c>
      <c r="B282" t="str">
        <f>IF($A282="","",INDEX('Product Master'!$B$7:$B$1000,MATCH($A282,'Product Master'!$A$7:$A$1000,0)))</f>
        <v/>
      </c>
      <c r="C282" t="str">
        <f>IF($A282="","",INDEX('Product Master'!$C$7:$C$1000,MATCH($A282,'Product Master'!$A$7:$A$1000,0)))</f>
        <v/>
      </c>
      <c r="D282" t="str">
        <f>IF($A282="","",INDEX('Product Master'!$M$7:$M$1000,MATCH($A282,'Product Master'!$A$7:$A$1000,0)))</f>
        <v/>
      </c>
      <c r="E282" t="str">
        <f>IF($A282="","",INDEX('Product Master'!$N$7:$N$1000,MATCH($A282,'Product Master'!$A$7:$A$1000,0)))</f>
        <v/>
      </c>
      <c r="F282" t="str">
        <f>IF($A282="","",INDEX('Product Master'!$P$7:$P$1000,MATCH($A282,'Product Master'!$A$7:$A$1000,0)))</f>
        <v/>
      </c>
      <c r="I282" t="str">
        <f>IFERROR(INDEX('Product Master'!$A$7:$A$1000,_xlfn.AGGREGATE(15,6,(ROW('Product Master'!$A$7:$A$1000)-ROW('Product Master'!$A$7)+1)/(('Product Master'!$A$7:$A$1000&lt;&gt;"")*('Product Master'!$P$7:$P$1000="Out of Stock")),ROWS($I$12:I282))),"")</f>
        <v/>
      </c>
      <c r="J282" t="str">
        <f>IF($I282="","",INDEX('Product Master'!$B$7:$B$1000,MATCH($I282,'Product Master'!$A$7:$A$1000,0)))</f>
        <v/>
      </c>
      <c r="K282" t="str">
        <f>IF($I282="","",INDEX('Product Master'!$C$7:$C$1000,MATCH($I282,'Product Master'!$A$7:$A$1000,0)))</f>
        <v/>
      </c>
      <c r="L282" t="str">
        <f>IF($I282="","",INDEX('Product Master'!$M$7:$M$1000,MATCH($I282,'Product Master'!$A$7:$A$1000,0)))</f>
        <v/>
      </c>
      <c r="M282" t="str">
        <f>IF($I282="","",INDEX('Product Master'!$N$7:$N$1000,MATCH($I282,'Product Master'!$A$7:$A$1000,0)))</f>
        <v/>
      </c>
    </row>
    <row r="283" spans="1:13" x14ac:dyDescent="0.3">
      <c r="A283" t="str">
        <f>IFERROR(INDEX('Product Master'!$A$7:$A$1000,_xlfn.AGGREGATE(15,6,(ROW('Product Master'!$A$7:$A$1000)-ROW('Product Master'!$A$7)+1)/(('Product Master'!$A$7:$A$1000&lt;&gt;"")*('Product Master'!$P$7:$P$1000="Low Stock")),ROWS($A$12:A283))),"")</f>
        <v/>
      </c>
      <c r="B283" t="str">
        <f>IF($A283="","",INDEX('Product Master'!$B$7:$B$1000,MATCH($A283,'Product Master'!$A$7:$A$1000,0)))</f>
        <v/>
      </c>
      <c r="C283" t="str">
        <f>IF($A283="","",INDEX('Product Master'!$C$7:$C$1000,MATCH($A283,'Product Master'!$A$7:$A$1000,0)))</f>
        <v/>
      </c>
      <c r="D283" t="str">
        <f>IF($A283="","",INDEX('Product Master'!$M$7:$M$1000,MATCH($A283,'Product Master'!$A$7:$A$1000,0)))</f>
        <v/>
      </c>
      <c r="E283" t="str">
        <f>IF($A283="","",INDEX('Product Master'!$N$7:$N$1000,MATCH($A283,'Product Master'!$A$7:$A$1000,0)))</f>
        <v/>
      </c>
      <c r="F283" t="str">
        <f>IF($A283="","",INDEX('Product Master'!$P$7:$P$1000,MATCH($A283,'Product Master'!$A$7:$A$1000,0)))</f>
        <v/>
      </c>
      <c r="I283" t="str">
        <f>IFERROR(INDEX('Product Master'!$A$7:$A$1000,_xlfn.AGGREGATE(15,6,(ROW('Product Master'!$A$7:$A$1000)-ROW('Product Master'!$A$7)+1)/(('Product Master'!$A$7:$A$1000&lt;&gt;"")*('Product Master'!$P$7:$P$1000="Out of Stock")),ROWS($I$12:I283))),"")</f>
        <v/>
      </c>
      <c r="J283" t="str">
        <f>IF($I283="","",INDEX('Product Master'!$B$7:$B$1000,MATCH($I283,'Product Master'!$A$7:$A$1000,0)))</f>
        <v/>
      </c>
      <c r="K283" t="str">
        <f>IF($I283="","",INDEX('Product Master'!$C$7:$C$1000,MATCH($I283,'Product Master'!$A$7:$A$1000,0)))</f>
        <v/>
      </c>
      <c r="L283" t="str">
        <f>IF($I283="","",INDEX('Product Master'!$M$7:$M$1000,MATCH($I283,'Product Master'!$A$7:$A$1000,0)))</f>
        <v/>
      </c>
      <c r="M283" t="str">
        <f>IF($I283="","",INDEX('Product Master'!$N$7:$N$1000,MATCH($I283,'Product Master'!$A$7:$A$1000,0)))</f>
        <v/>
      </c>
    </row>
    <row r="284" spans="1:13" x14ac:dyDescent="0.3">
      <c r="A284" t="str">
        <f>IFERROR(INDEX('Product Master'!$A$7:$A$1000,_xlfn.AGGREGATE(15,6,(ROW('Product Master'!$A$7:$A$1000)-ROW('Product Master'!$A$7)+1)/(('Product Master'!$A$7:$A$1000&lt;&gt;"")*('Product Master'!$P$7:$P$1000="Low Stock")),ROWS($A$12:A284))),"")</f>
        <v/>
      </c>
      <c r="B284" t="str">
        <f>IF($A284="","",INDEX('Product Master'!$B$7:$B$1000,MATCH($A284,'Product Master'!$A$7:$A$1000,0)))</f>
        <v/>
      </c>
      <c r="C284" t="str">
        <f>IF($A284="","",INDEX('Product Master'!$C$7:$C$1000,MATCH($A284,'Product Master'!$A$7:$A$1000,0)))</f>
        <v/>
      </c>
      <c r="D284" t="str">
        <f>IF($A284="","",INDEX('Product Master'!$M$7:$M$1000,MATCH($A284,'Product Master'!$A$7:$A$1000,0)))</f>
        <v/>
      </c>
      <c r="E284" t="str">
        <f>IF($A284="","",INDEX('Product Master'!$N$7:$N$1000,MATCH($A284,'Product Master'!$A$7:$A$1000,0)))</f>
        <v/>
      </c>
      <c r="F284" t="str">
        <f>IF($A284="","",INDEX('Product Master'!$P$7:$P$1000,MATCH($A284,'Product Master'!$A$7:$A$1000,0)))</f>
        <v/>
      </c>
      <c r="I284" t="str">
        <f>IFERROR(INDEX('Product Master'!$A$7:$A$1000,_xlfn.AGGREGATE(15,6,(ROW('Product Master'!$A$7:$A$1000)-ROW('Product Master'!$A$7)+1)/(('Product Master'!$A$7:$A$1000&lt;&gt;"")*('Product Master'!$P$7:$P$1000="Out of Stock")),ROWS($I$12:I284))),"")</f>
        <v/>
      </c>
      <c r="J284" t="str">
        <f>IF($I284="","",INDEX('Product Master'!$B$7:$B$1000,MATCH($I284,'Product Master'!$A$7:$A$1000,0)))</f>
        <v/>
      </c>
      <c r="K284" t="str">
        <f>IF($I284="","",INDEX('Product Master'!$C$7:$C$1000,MATCH($I284,'Product Master'!$A$7:$A$1000,0)))</f>
        <v/>
      </c>
      <c r="L284" t="str">
        <f>IF($I284="","",INDEX('Product Master'!$M$7:$M$1000,MATCH($I284,'Product Master'!$A$7:$A$1000,0)))</f>
        <v/>
      </c>
      <c r="M284" t="str">
        <f>IF($I284="","",INDEX('Product Master'!$N$7:$N$1000,MATCH($I284,'Product Master'!$A$7:$A$1000,0)))</f>
        <v/>
      </c>
    </row>
    <row r="285" spans="1:13" x14ac:dyDescent="0.3">
      <c r="A285" t="str">
        <f>IFERROR(INDEX('Product Master'!$A$7:$A$1000,_xlfn.AGGREGATE(15,6,(ROW('Product Master'!$A$7:$A$1000)-ROW('Product Master'!$A$7)+1)/(('Product Master'!$A$7:$A$1000&lt;&gt;"")*('Product Master'!$P$7:$P$1000="Low Stock")),ROWS($A$12:A285))),"")</f>
        <v/>
      </c>
      <c r="B285" t="str">
        <f>IF($A285="","",INDEX('Product Master'!$B$7:$B$1000,MATCH($A285,'Product Master'!$A$7:$A$1000,0)))</f>
        <v/>
      </c>
      <c r="C285" t="str">
        <f>IF($A285="","",INDEX('Product Master'!$C$7:$C$1000,MATCH($A285,'Product Master'!$A$7:$A$1000,0)))</f>
        <v/>
      </c>
      <c r="D285" t="str">
        <f>IF($A285="","",INDEX('Product Master'!$M$7:$M$1000,MATCH($A285,'Product Master'!$A$7:$A$1000,0)))</f>
        <v/>
      </c>
      <c r="E285" t="str">
        <f>IF($A285="","",INDEX('Product Master'!$N$7:$N$1000,MATCH($A285,'Product Master'!$A$7:$A$1000,0)))</f>
        <v/>
      </c>
      <c r="F285" t="str">
        <f>IF($A285="","",INDEX('Product Master'!$P$7:$P$1000,MATCH($A285,'Product Master'!$A$7:$A$1000,0)))</f>
        <v/>
      </c>
      <c r="I285" t="str">
        <f>IFERROR(INDEX('Product Master'!$A$7:$A$1000,_xlfn.AGGREGATE(15,6,(ROW('Product Master'!$A$7:$A$1000)-ROW('Product Master'!$A$7)+1)/(('Product Master'!$A$7:$A$1000&lt;&gt;"")*('Product Master'!$P$7:$P$1000="Out of Stock")),ROWS($I$12:I285))),"")</f>
        <v/>
      </c>
      <c r="J285" t="str">
        <f>IF($I285="","",INDEX('Product Master'!$B$7:$B$1000,MATCH($I285,'Product Master'!$A$7:$A$1000,0)))</f>
        <v/>
      </c>
      <c r="K285" t="str">
        <f>IF($I285="","",INDEX('Product Master'!$C$7:$C$1000,MATCH($I285,'Product Master'!$A$7:$A$1000,0)))</f>
        <v/>
      </c>
      <c r="L285" t="str">
        <f>IF($I285="","",INDEX('Product Master'!$M$7:$M$1000,MATCH($I285,'Product Master'!$A$7:$A$1000,0)))</f>
        <v/>
      </c>
      <c r="M285" t="str">
        <f>IF($I285="","",INDEX('Product Master'!$N$7:$N$1000,MATCH($I285,'Product Master'!$A$7:$A$1000,0)))</f>
        <v/>
      </c>
    </row>
    <row r="286" spans="1:13" x14ac:dyDescent="0.3">
      <c r="A286" t="str">
        <f>IFERROR(INDEX('Product Master'!$A$7:$A$1000,_xlfn.AGGREGATE(15,6,(ROW('Product Master'!$A$7:$A$1000)-ROW('Product Master'!$A$7)+1)/(('Product Master'!$A$7:$A$1000&lt;&gt;"")*('Product Master'!$P$7:$P$1000="Low Stock")),ROWS($A$12:A286))),"")</f>
        <v/>
      </c>
      <c r="B286" t="str">
        <f>IF($A286="","",INDEX('Product Master'!$B$7:$B$1000,MATCH($A286,'Product Master'!$A$7:$A$1000,0)))</f>
        <v/>
      </c>
      <c r="C286" t="str">
        <f>IF($A286="","",INDEX('Product Master'!$C$7:$C$1000,MATCH($A286,'Product Master'!$A$7:$A$1000,0)))</f>
        <v/>
      </c>
      <c r="D286" t="str">
        <f>IF($A286="","",INDEX('Product Master'!$M$7:$M$1000,MATCH($A286,'Product Master'!$A$7:$A$1000,0)))</f>
        <v/>
      </c>
      <c r="E286" t="str">
        <f>IF($A286="","",INDEX('Product Master'!$N$7:$N$1000,MATCH($A286,'Product Master'!$A$7:$A$1000,0)))</f>
        <v/>
      </c>
      <c r="F286" t="str">
        <f>IF($A286="","",INDEX('Product Master'!$P$7:$P$1000,MATCH($A286,'Product Master'!$A$7:$A$1000,0)))</f>
        <v/>
      </c>
      <c r="I286" t="str">
        <f>IFERROR(INDEX('Product Master'!$A$7:$A$1000,_xlfn.AGGREGATE(15,6,(ROW('Product Master'!$A$7:$A$1000)-ROW('Product Master'!$A$7)+1)/(('Product Master'!$A$7:$A$1000&lt;&gt;"")*('Product Master'!$P$7:$P$1000="Out of Stock")),ROWS($I$12:I286))),"")</f>
        <v/>
      </c>
      <c r="J286" t="str">
        <f>IF($I286="","",INDEX('Product Master'!$B$7:$B$1000,MATCH($I286,'Product Master'!$A$7:$A$1000,0)))</f>
        <v/>
      </c>
      <c r="K286" t="str">
        <f>IF($I286="","",INDEX('Product Master'!$C$7:$C$1000,MATCH($I286,'Product Master'!$A$7:$A$1000,0)))</f>
        <v/>
      </c>
      <c r="L286" t="str">
        <f>IF($I286="","",INDEX('Product Master'!$M$7:$M$1000,MATCH($I286,'Product Master'!$A$7:$A$1000,0)))</f>
        <v/>
      </c>
      <c r="M286" t="str">
        <f>IF($I286="","",INDEX('Product Master'!$N$7:$N$1000,MATCH($I286,'Product Master'!$A$7:$A$1000,0)))</f>
        <v/>
      </c>
    </row>
    <row r="287" spans="1:13" x14ac:dyDescent="0.3">
      <c r="A287" t="str">
        <f>IFERROR(INDEX('Product Master'!$A$7:$A$1000,_xlfn.AGGREGATE(15,6,(ROW('Product Master'!$A$7:$A$1000)-ROW('Product Master'!$A$7)+1)/(('Product Master'!$A$7:$A$1000&lt;&gt;"")*('Product Master'!$P$7:$P$1000="Low Stock")),ROWS($A$12:A287))),"")</f>
        <v/>
      </c>
      <c r="B287" t="str">
        <f>IF($A287="","",INDEX('Product Master'!$B$7:$B$1000,MATCH($A287,'Product Master'!$A$7:$A$1000,0)))</f>
        <v/>
      </c>
      <c r="C287" t="str">
        <f>IF($A287="","",INDEX('Product Master'!$C$7:$C$1000,MATCH($A287,'Product Master'!$A$7:$A$1000,0)))</f>
        <v/>
      </c>
      <c r="D287" t="str">
        <f>IF($A287="","",INDEX('Product Master'!$M$7:$M$1000,MATCH($A287,'Product Master'!$A$7:$A$1000,0)))</f>
        <v/>
      </c>
      <c r="E287" t="str">
        <f>IF($A287="","",INDEX('Product Master'!$N$7:$N$1000,MATCH($A287,'Product Master'!$A$7:$A$1000,0)))</f>
        <v/>
      </c>
      <c r="F287" t="str">
        <f>IF($A287="","",INDEX('Product Master'!$P$7:$P$1000,MATCH($A287,'Product Master'!$A$7:$A$1000,0)))</f>
        <v/>
      </c>
      <c r="I287" t="str">
        <f>IFERROR(INDEX('Product Master'!$A$7:$A$1000,_xlfn.AGGREGATE(15,6,(ROW('Product Master'!$A$7:$A$1000)-ROW('Product Master'!$A$7)+1)/(('Product Master'!$A$7:$A$1000&lt;&gt;"")*('Product Master'!$P$7:$P$1000="Out of Stock")),ROWS($I$12:I287))),"")</f>
        <v/>
      </c>
      <c r="J287" t="str">
        <f>IF($I287="","",INDEX('Product Master'!$B$7:$B$1000,MATCH($I287,'Product Master'!$A$7:$A$1000,0)))</f>
        <v/>
      </c>
      <c r="K287" t="str">
        <f>IF($I287="","",INDEX('Product Master'!$C$7:$C$1000,MATCH($I287,'Product Master'!$A$7:$A$1000,0)))</f>
        <v/>
      </c>
      <c r="L287" t="str">
        <f>IF($I287="","",INDEX('Product Master'!$M$7:$M$1000,MATCH($I287,'Product Master'!$A$7:$A$1000,0)))</f>
        <v/>
      </c>
      <c r="M287" t="str">
        <f>IF($I287="","",INDEX('Product Master'!$N$7:$N$1000,MATCH($I287,'Product Master'!$A$7:$A$1000,0)))</f>
        <v/>
      </c>
    </row>
    <row r="288" spans="1:13" x14ac:dyDescent="0.3">
      <c r="A288" t="str">
        <f>IFERROR(INDEX('Product Master'!$A$7:$A$1000,_xlfn.AGGREGATE(15,6,(ROW('Product Master'!$A$7:$A$1000)-ROW('Product Master'!$A$7)+1)/(('Product Master'!$A$7:$A$1000&lt;&gt;"")*('Product Master'!$P$7:$P$1000="Low Stock")),ROWS($A$12:A288))),"")</f>
        <v/>
      </c>
      <c r="B288" t="str">
        <f>IF($A288="","",INDEX('Product Master'!$B$7:$B$1000,MATCH($A288,'Product Master'!$A$7:$A$1000,0)))</f>
        <v/>
      </c>
      <c r="C288" t="str">
        <f>IF($A288="","",INDEX('Product Master'!$C$7:$C$1000,MATCH($A288,'Product Master'!$A$7:$A$1000,0)))</f>
        <v/>
      </c>
      <c r="D288" t="str">
        <f>IF($A288="","",INDEX('Product Master'!$M$7:$M$1000,MATCH($A288,'Product Master'!$A$7:$A$1000,0)))</f>
        <v/>
      </c>
      <c r="E288" t="str">
        <f>IF($A288="","",INDEX('Product Master'!$N$7:$N$1000,MATCH($A288,'Product Master'!$A$7:$A$1000,0)))</f>
        <v/>
      </c>
      <c r="F288" t="str">
        <f>IF($A288="","",INDEX('Product Master'!$P$7:$P$1000,MATCH($A288,'Product Master'!$A$7:$A$1000,0)))</f>
        <v/>
      </c>
      <c r="I288" t="str">
        <f>IFERROR(INDEX('Product Master'!$A$7:$A$1000,_xlfn.AGGREGATE(15,6,(ROW('Product Master'!$A$7:$A$1000)-ROW('Product Master'!$A$7)+1)/(('Product Master'!$A$7:$A$1000&lt;&gt;"")*('Product Master'!$P$7:$P$1000="Out of Stock")),ROWS($I$12:I288))),"")</f>
        <v/>
      </c>
      <c r="J288" t="str">
        <f>IF($I288="","",INDEX('Product Master'!$B$7:$B$1000,MATCH($I288,'Product Master'!$A$7:$A$1000,0)))</f>
        <v/>
      </c>
      <c r="K288" t="str">
        <f>IF($I288="","",INDEX('Product Master'!$C$7:$C$1000,MATCH($I288,'Product Master'!$A$7:$A$1000,0)))</f>
        <v/>
      </c>
      <c r="L288" t="str">
        <f>IF($I288="","",INDEX('Product Master'!$M$7:$M$1000,MATCH($I288,'Product Master'!$A$7:$A$1000,0)))</f>
        <v/>
      </c>
      <c r="M288" t="str">
        <f>IF($I288="","",INDEX('Product Master'!$N$7:$N$1000,MATCH($I288,'Product Master'!$A$7:$A$1000,0)))</f>
        <v/>
      </c>
    </row>
    <row r="289" spans="1:13" x14ac:dyDescent="0.3">
      <c r="A289" t="str">
        <f>IFERROR(INDEX('Product Master'!$A$7:$A$1000,_xlfn.AGGREGATE(15,6,(ROW('Product Master'!$A$7:$A$1000)-ROW('Product Master'!$A$7)+1)/(('Product Master'!$A$7:$A$1000&lt;&gt;"")*('Product Master'!$P$7:$P$1000="Low Stock")),ROWS($A$12:A289))),"")</f>
        <v/>
      </c>
      <c r="B289" t="str">
        <f>IF($A289="","",INDEX('Product Master'!$B$7:$B$1000,MATCH($A289,'Product Master'!$A$7:$A$1000,0)))</f>
        <v/>
      </c>
      <c r="C289" t="str">
        <f>IF($A289="","",INDEX('Product Master'!$C$7:$C$1000,MATCH($A289,'Product Master'!$A$7:$A$1000,0)))</f>
        <v/>
      </c>
      <c r="D289" t="str">
        <f>IF($A289="","",INDEX('Product Master'!$M$7:$M$1000,MATCH($A289,'Product Master'!$A$7:$A$1000,0)))</f>
        <v/>
      </c>
      <c r="E289" t="str">
        <f>IF($A289="","",INDEX('Product Master'!$N$7:$N$1000,MATCH($A289,'Product Master'!$A$7:$A$1000,0)))</f>
        <v/>
      </c>
      <c r="F289" t="str">
        <f>IF($A289="","",INDEX('Product Master'!$P$7:$P$1000,MATCH($A289,'Product Master'!$A$7:$A$1000,0)))</f>
        <v/>
      </c>
      <c r="I289" t="str">
        <f>IFERROR(INDEX('Product Master'!$A$7:$A$1000,_xlfn.AGGREGATE(15,6,(ROW('Product Master'!$A$7:$A$1000)-ROW('Product Master'!$A$7)+1)/(('Product Master'!$A$7:$A$1000&lt;&gt;"")*('Product Master'!$P$7:$P$1000="Out of Stock")),ROWS($I$12:I289))),"")</f>
        <v/>
      </c>
      <c r="J289" t="str">
        <f>IF($I289="","",INDEX('Product Master'!$B$7:$B$1000,MATCH($I289,'Product Master'!$A$7:$A$1000,0)))</f>
        <v/>
      </c>
      <c r="K289" t="str">
        <f>IF($I289="","",INDEX('Product Master'!$C$7:$C$1000,MATCH($I289,'Product Master'!$A$7:$A$1000,0)))</f>
        <v/>
      </c>
      <c r="L289" t="str">
        <f>IF($I289="","",INDEX('Product Master'!$M$7:$M$1000,MATCH($I289,'Product Master'!$A$7:$A$1000,0)))</f>
        <v/>
      </c>
      <c r="M289" t="str">
        <f>IF($I289="","",INDEX('Product Master'!$N$7:$N$1000,MATCH($I289,'Product Master'!$A$7:$A$1000,0)))</f>
        <v/>
      </c>
    </row>
    <row r="290" spans="1:13" x14ac:dyDescent="0.3">
      <c r="A290" t="str">
        <f>IFERROR(INDEX('Product Master'!$A$7:$A$1000,_xlfn.AGGREGATE(15,6,(ROW('Product Master'!$A$7:$A$1000)-ROW('Product Master'!$A$7)+1)/(('Product Master'!$A$7:$A$1000&lt;&gt;"")*('Product Master'!$P$7:$P$1000="Low Stock")),ROWS($A$12:A290))),"")</f>
        <v/>
      </c>
      <c r="B290" t="str">
        <f>IF($A290="","",INDEX('Product Master'!$B$7:$B$1000,MATCH($A290,'Product Master'!$A$7:$A$1000,0)))</f>
        <v/>
      </c>
      <c r="C290" t="str">
        <f>IF($A290="","",INDEX('Product Master'!$C$7:$C$1000,MATCH($A290,'Product Master'!$A$7:$A$1000,0)))</f>
        <v/>
      </c>
      <c r="D290" t="str">
        <f>IF($A290="","",INDEX('Product Master'!$M$7:$M$1000,MATCH($A290,'Product Master'!$A$7:$A$1000,0)))</f>
        <v/>
      </c>
      <c r="E290" t="str">
        <f>IF($A290="","",INDEX('Product Master'!$N$7:$N$1000,MATCH($A290,'Product Master'!$A$7:$A$1000,0)))</f>
        <v/>
      </c>
      <c r="F290" t="str">
        <f>IF($A290="","",INDEX('Product Master'!$P$7:$P$1000,MATCH($A290,'Product Master'!$A$7:$A$1000,0)))</f>
        <v/>
      </c>
      <c r="I290" t="str">
        <f>IFERROR(INDEX('Product Master'!$A$7:$A$1000,_xlfn.AGGREGATE(15,6,(ROW('Product Master'!$A$7:$A$1000)-ROW('Product Master'!$A$7)+1)/(('Product Master'!$A$7:$A$1000&lt;&gt;"")*('Product Master'!$P$7:$P$1000="Out of Stock")),ROWS($I$12:I290))),"")</f>
        <v/>
      </c>
      <c r="J290" t="str">
        <f>IF($I290="","",INDEX('Product Master'!$B$7:$B$1000,MATCH($I290,'Product Master'!$A$7:$A$1000,0)))</f>
        <v/>
      </c>
      <c r="K290" t="str">
        <f>IF($I290="","",INDEX('Product Master'!$C$7:$C$1000,MATCH($I290,'Product Master'!$A$7:$A$1000,0)))</f>
        <v/>
      </c>
      <c r="L290" t="str">
        <f>IF($I290="","",INDEX('Product Master'!$M$7:$M$1000,MATCH($I290,'Product Master'!$A$7:$A$1000,0)))</f>
        <v/>
      </c>
      <c r="M290" t="str">
        <f>IF($I290="","",INDEX('Product Master'!$N$7:$N$1000,MATCH($I290,'Product Master'!$A$7:$A$1000,0)))</f>
        <v/>
      </c>
    </row>
    <row r="291" spans="1:13" x14ac:dyDescent="0.3">
      <c r="A291" t="str">
        <f>IFERROR(INDEX('Product Master'!$A$7:$A$1000,_xlfn.AGGREGATE(15,6,(ROW('Product Master'!$A$7:$A$1000)-ROW('Product Master'!$A$7)+1)/(('Product Master'!$A$7:$A$1000&lt;&gt;"")*('Product Master'!$P$7:$P$1000="Low Stock")),ROWS($A$12:A291))),"")</f>
        <v/>
      </c>
      <c r="B291" t="str">
        <f>IF($A291="","",INDEX('Product Master'!$B$7:$B$1000,MATCH($A291,'Product Master'!$A$7:$A$1000,0)))</f>
        <v/>
      </c>
      <c r="C291" t="str">
        <f>IF($A291="","",INDEX('Product Master'!$C$7:$C$1000,MATCH($A291,'Product Master'!$A$7:$A$1000,0)))</f>
        <v/>
      </c>
      <c r="D291" t="str">
        <f>IF($A291="","",INDEX('Product Master'!$M$7:$M$1000,MATCH($A291,'Product Master'!$A$7:$A$1000,0)))</f>
        <v/>
      </c>
      <c r="E291" t="str">
        <f>IF($A291="","",INDEX('Product Master'!$N$7:$N$1000,MATCH($A291,'Product Master'!$A$7:$A$1000,0)))</f>
        <v/>
      </c>
      <c r="F291" t="str">
        <f>IF($A291="","",INDEX('Product Master'!$P$7:$P$1000,MATCH($A291,'Product Master'!$A$7:$A$1000,0)))</f>
        <v/>
      </c>
      <c r="I291" t="str">
        <f>IFERROR(INDEX('Product Master'!$A$7:$A$1000,_xlfn.AGGREGATE(15,6,(ROW('Product Master'!$A$7:$A$1000)-ROW('Product Master'!$A$7)+1)/(('Product Master'!$A$7:$A$1000&lt;&gt;"")*('Product Master'!$P$7:$P$1000="Out of Stock")),ROWS($I$12:I291))),"")</f>
        <v/>
      </c>
      <c r="J291" t="str">
        <f>IF($I291="","",INDEX('Product Master'!$B$7:$B$1000,MATCH($I291,'Product Master'!$A$7:$A$1000,0)))</f>
        <v/>
      </c>
      <c r="K291" t="str">
        <f>IF($I291="","",INDEX('Product Master'!$C$7:$C$1000,MATCH($I291,'Product Master'!$A$7:$A$1000,0)))</f>
        <v/>
      </c>
      <c r="L291" t="str">
        <f>IF($I291="","",INDEX('Product Master'!$M$7:$M$1000,MATCH($I291,'Product Master'!$A$7:$A$1000,0)))</f>
        <v/>
      </c>
      <c r="M291" t="str">
        <f>IF($I291="","",INDEX('Product Master'!$N$7:$N$1000,MATCH($I291,'Product Master'!$A$7:$A$1000,0)))</f>
        <v/>
      </c>
    </row>
    <row r="292" spans="1:13" x14ac:dyDescent="0.3">
      <c r="A292" t="str">
        <f>IFERROR(INDEX('Product Master'!$A$7:$A$1000,_xlfn.AGGREGATE(15,6,(ROW('Product Master'!$A$7:$A$1000)-ROW('Product Master'!$A$7)+1)/(('Product Master'!$A$7:$A$1000&lt;&gt;"")*('Product Master'!$P$7:$P$1000="Low Stock")),ROWS($A$12:A292))),"")</f>
        <v/>
      </c>
      <c r="B292" t="str">
        <f>IF($A292="","",INDEX('Product Master'!$B$7:$B$1000,MATCH($A292,'Product Master'!$A$7:$A$1000,0)))</f>
        <v/>
      </c>
      <c r="C292" t="str">
        <f>IF($A292="","",INDEX('Product Master'!$C$7:$C$1000,MATCH($A292,'Product Master'!$A$7:$A$1000,0)))</f>
        <v/>
      </c>
      <c r="D292" t="str">
        <f>IF($A292="","",INDEX('Product Master'!$M$7:$M$1000,MATCH($A292,'Product Master'!$A$7:$A$1000,0)))</f>
        <v/>
      </c>
      <c r="E292" t="str">
        <f>IF($A292="","",INDEX('Product Master'!$N$7:$N$1000,MATCH($A292,'Product Master'!$A$7:$A$1000,0)))</f>
        <v/>
      </c>
      <c r="F292" t="str">
        <f>IF($A292="","",INDEX('Product Master'!$P$7:$P$1000,MATCH($A292,'Product Master'!$A$7:$A$1000,0)))</f>
        <v/>
      </c>
      <c r="I292" t="str">
        <f>IFERROR(INDEX('Product Master'!$A$7:$A$1000,_xlfn.AGGREGATE(15,6,(ROW('Product Master'!$A$7:$A$1000)-ROW('Product Master'!$A$7)+1)/(('Product Master'!$A$7:$A$1000&lt;&gt;"")*('Product Master'!$P$7:$P$1000="Out of Stock")),ROWS($I$12:I292))),"")</f>
        <v/>
      </c>
      <c r="J292" t="str">
        <f>IF($I292="","",INDEX('Product Master'!$B$7:$B$1000,MATCH($I292,'Product Master'!$A$7:$A$1000,0)))</f>
        <v/>
      </c>
      <c r="K292" t="str">
        <f>IF($I292="","",INDEX('Product Master'!$C$7:$C$1000,MATCH($I292,'Product Master'!$A$7:$A$1000,0)))</f>
        <v/>
      </c>
      <c r="L292" t="str">
        <f>IF($I292="","",INDEX('Product Master'!$M$7:$M$1000,MATCH($I292,'Product Master'!$A$7:$A$1000,0)))</f>
        <v/>
      </c>
      <c r="M292" t="str">
        <f>IF($I292="","",INDEX('Product Master'!$N$7:$N$1000,MATCH($I292,'Product Master'!$A$7:$A$1000,0)))</f>
        <v/>
      </c>
    </row>
    <row r="293" spans="1:13" x14ac:dyDescent="0.3">
      <c r="A293" t="str">
        <f>IFERROR(INDEX('Product Master'!$A$7:$A$1000,_xlfn.AGGREGATE(15,6,(ROW('Product Master'!$A$7:$A$1000)-ROW('Product Master'!$A$7)+1)/(('Product Master'!$A$7:$A$1000&lt;&gt;"")*('Product Master'!$P$7:$P$1000="Low Stock")),ROWS($A$12:A293))),"")</f>
        <v/>
      </c>
      <c r="B293" t="str">
        <f>IF($A293="","",INDEX('Product Master'!$B$7:$B$1000,MATCH($A293,'Product Master'!$A$7:$A$1000,0)))</f>
        <v/>
      </c>
      <c r="C293" t="str">
        <f>IF($A293="","",INDEX('Product Master'!$C$7:$C$1000,MATCH($A293,'Product Master'!$A$7:$A$1000,0)))</f>
        <v/>
      </c>
      <c r="D293" t="str">
        <f>IF($A293="","",INDEX('Product Master'!$M$7:$M$1000,MATCH($A293,'Product Master'!$A$7:$A$1000,0)))</f>
        <v/>
      </c>
      <c r="E293" t="str">
        <f>IF($A293="","",INDEX('Product Master'!$N$7:$N$1000,MATCH($A293,'Product Master'!$A$7:$A$1000,0)))</f>
        <v/>
      </c>
      <c r="F293" t="str">
        <f>IF($A293="","",INDEX('Product Master'!$P$7:$P$1000,MATCH($A293,'Product Master'!$A$7:$A$1000,0)))</f>
        <v/>
      </c>
      <c r="I293" t="str">
        <f>IFERROR(INDEX('Product Master'!$A$7:$A$1000,_xlfn.AGGREGATE(15,6,(ROW('Product Master'!$A$7:$A$1000)-ROW('Product Master'!$A$7)+1)/(('Product Master'!$A$7:$A$1000&lt;&gt;"")*('Product Master'!$P$7:$P$1000="Out of Stock")),ROWS($I$12:I293))),"")</f>
        <v/>
      </c>
      <c r="J293" t="str">
        <f>IF($I293="","",INDEX('Product Master'!$B$7:$B$1000,MATCH($I293,'Product Master'!$A$7:$A$1000,0)))</f>
        <v/>
      </c>
      <c r="K293" t="str">
        <f>IF($I293="","",INDEX('Product Master'!$C$7:$C$1000,MATCH($I293,'Product Master'!$A$7:$A$1000,0)))</f>
        <v/>
      </c>
      <c r="L293" t="str">
        <f>IF($I293="","",INDEX('Product Master'!$M$7:$M$1000,MATCH($I293,'Product Master'!$A$7:$A$1000,0)))</f>
        <v/>
      </c>
      <c r="M293" t="str">
        <f>IF($I293="","",INDEX('Product Master'!$N$7:$N$1000,MATCH($I293,'Product Master'!$A$7:$A$1000,0)))</f>
        <v/>
      </c>
    </row>
    <row r="294" spans="1:13" x14ac:dyDescent="0.3">
      <c r="A294" t="str">
        <f>IFERROR(INDEX('Product Master'!$A$7:$A$1000,_xlfn.AGGREGATE(15,6,(ROW('Product Master'!$A$7:$A$1000)-ROW('Product Master'!$A$7)+1)/(('Product Master'!$A$7:$A$1000&lt;&gt;"")*('Product Master'!$P$7:$P$1000="Low Stock")),ROWS($A$12:A294))),"")</f>
        <v/>
      </c>
      <c r="B294" t="str">
        <f>IF($A294="","",INDEX('Product Master'!$B$7:$B$1000,MATCH($A294,'Product Master'!$A$7:$A$1000,0)))</f>
        <v/>
      </c>
      <c r="C294" t="str">
        <f>IF($A294="","",INDEX('Product Master'!$C$7:$C$1000,MATCH($A294,'Product Master'!$A$7:$A$1000,0)))</f>
        <v/>
      </c>
      <c r="D294" t="str">
        <f>IF($A294="","",INDEX('Product Master'!$M$7:$M$1000,MATCH($A294,'Product Master'!$A$7:$A$1000,0)))</f>
        <v/>
      </c>
      <c r="E294" t="str">
        <f>IF($A294="","",INDEX('Product Master'!$N$7:$N$1000,MATCH($A294,'Product Master'!$A$7:$A$1000,0)))</f>
        <v/>
      </c>
      <c r="F294" t="str">
        <f>IF($A294="","",INDEX('Product Master'!$P$7:$P$1000,MATCH($A294,'Product Master'!$A$7:$A$1000,0)))</f>
        <v/>
      </c>
      <c r="I294" t="str">
        <f>IFERROR(INDEX('Product Master'!$A$7:$A$1000,_xlfn.AGGREGATE(15,6,(ROW('Product Master'!$A$7:$A$1000)-ROW('Product Master'!$A$7)+1)/(('Product Master'!$A$7:$A$1000&lt;&gt;"")*('Product Master'!$P$7:$P$1000="Out of Stock")),ROWS($I$12:I294))),"")</f>
        <v/>
      </c>
      <c r="J294" t="str">
        <f>IF($I294="","",INDEX('Product Master'!$B$7:$B$1000,MATCH($I294,'Product Master'!$A$7:$A$1000,0)))</f>
        <v/>
      </c>
      <c r="K294" t="str">
        <f>IF($I294="","",INDEX('Product Master'!$C$7:$C$1000,MATCH($I294,'Product Master'!$A$7:$A$1000,0)))</f>
        <v/>
      </c>
      <c r="L294" t="str">
        <f>IF($I294="","",INDEX('Product Master'!$M$7:$M$1000,MATCH($I294,'Product Master'!$A$7:$A$1000,0)))</f>
        <v/>
      </c>
      <c r="M294" t="str">
        <f>IF($I294="","",INDEX('Product Master'!$N$7:$N$1000,MATCH($I294,'Product Master'!$A$7:$A$1000,0)))</f>
        <v/>
      </c>
    </row>
    <row r="295" spans="1:13" x14ac:dyDescent="0.3">
      <c r="A295" t="str">
        <f>IFERROR(INDEX('Product Master'!$A$7:$A$1000,_xlfn.AGGREGATE(15,6,(ROW('Product Master'!$A$7:$A$1000)-ROW('Product Master'!$A$7)+1)/(('Product Master'!$A$7:$A$1000&lt;&gt;"")*('Product Master'!$P$7:$P$1000="Low Stock")),ROWS($A$12:A295))),"")</f>
        <v/>
      </c>
      <c r="B295" t="str">
        <f>IF($A295="","",INDEX('Product Master'!$B$7:$B$1000,MATCH($A295,'Product Master'!$A$7:$A$1000,0)))</f>
        <v/>
      </c>
      <c r="C295" t="str">
        <f>IF($A295="","",INDEX('Product Master'!$C$7:$C$1000,MATCH($A295,'Product Master'!$A$7:$A$1000,0)))</f>
        <v/>
      </c>
      <c r="D295" t="str">
        <f>IF($A295="","",INDEX('Product Master'!$M$7:$M$1000,MATCH($A295,'Product Master'!$A$7:$A$1000,0)))</f>
        <v/>
      </c>
      <c r="E295" t="str">
        <f>IF($A295="","",INDEX('Product Master'!$N$7:$N$1000,MATCH($A295,'Product Master'!$A$7:$A$1000,0)))</f>
        <v/>
      </c>
      <c r="F295" t="str">
        <f>IF($A295="","",INDEX('Product Master'!$P$7:$P$1000,MATCH($A295,'Product Master'!$A$7:$A$1000,0)))</f>
        <v/>
      </c>
      <c r="I295" t="str">
        <f>IFERROR(INDEX('Product Master'!$A$7:$A$1000,_xlfn.AGGREGATE(15,6,(ROW('Product Master'!$A$7:$A$1000)-ROW('Product Master'!$A$7)+1)/(('Product Master'!$A$7:$A$1000&lt;&gt;"")*('Product Master'!$P$7:$P$1000="Out of Stock")),ROWS($I$12:I295))),"")</f>
        <v/>
      </c>
      <c r="J295" t="str">
        <f>IF($I295="","",INDEX('Product Master'!$B$7:$B$1000,MATCH($I295,'Product Master'!$A$7:$A$1000,0)))</f>
        <v/>
      </c>
      <c r="K295" t="str">
        <f>IF($I295="","",INDEX('Product Master'!$C$7:$C$1000,MATCH($I295,'Product Master'!$A$7:$A$1000,0)))</f>
        <v/>
      </c>
      <c r="L295" t="str">
        <f>IF($I295="","",INDEX('Product Master'!$M$7:$M$1000,MATCH($I295,'Product Master'!$A$7:$A$1000,0)))</f>
        <v/>
      </c>
      <c r="M295" t="str">
        <f>IF($I295="","",INDEX('Product Master'!$N$7:$N$1000,MATCH($I295,'Product Master'!$A$7:$A$1000,0)))</f>
        <v/>
      </c>
    </row>
    <row r="296" spans="1:13" x14ac:dyDescent="0.3">
      <c r="A296" t="str">
        <f>IFERROR(INDEX('Product Master'!$A$7:$A$1000,_xlfn.AGGREGATE(15,6,(ROW('Product Master'!$A$7:$A$1000)-ROW('Product Master'!$A$7)+1)/(('Product Master'!$A$7:$A$1000&lt;&gt;"")*('Product Master'!$P$7:$P$1000="Low Stock")),ROWS($A$12:A296))),"")</f>
        <v/>
      </c>
      <c r="B296" t="str">
        <f>IF($A296="","",INDEX('Product Master'!$B$7:$B$1000,MATCH($A296,'Product Master'!$A$7:$A$1000,0)))</f>
        <v/>
      </c>
      <c r="C296" t="str">
        <f>IF($A296="","",INDEX('Product Master'!$C$7:$C$1000,MATCH($A296,'Product Master'!$A$7:$A$1000,0)))</f>
        <v/>
      </c>
      <c r="D296" t="str">
        <f>IF($A296="","",INDEX('Product Master'!$M$7:$M$1000,MATCH($A296,'Product Master'!$A$7:$A$1000,0)))</f>
        <v/>
      </c>
      <c r="E296" t="str">
        <f>IF($A296="","",INDEX('Product Master'!$N$7:$N$1000,MATCH($A296,'Product Master'!$A$7:$A$1000,0)))</f>
        <v/>
      </c>
      <c r="F296" t="str">
        <f>IF($A296="","",INDEX('Product Master'!$P$7:$P$1000,MATCH($A296,'Product Master'!$A$7:$A$1000,0)))</f>
        <v/>
      </c>
      <c r="I296" t="str">
        <f>IFERROR(INDEX('Product Master'!$A$7:$A$1000,_xlfn.AGGREGATE(15,6,(ROW('Product Master'!$A$7:$A$1000)-ROW('Product Master'!$A$7)+1)/(('Product Master'!$A$7:$A$1000&lt;&gt;"")*('Product Master'!$P$7:$P$1000="Out of Stock")),ROWS($I$12:I296))),"")</f>
        <v/>
      </c>
      <c r="J296" t="str">
        <f>IF($I296="","",INDEX('Product Master'!$B$7:$B$1000,MATCH($I296,'Product Master'!$A$7:$A$1000,0)))</f>
        <v/>
      </c>
      <c r="K296" t="str">
        <f>IF($I296="","",INDEX('Product Master'!$C$7:$C$1000,MATCH($I296,'Product Master'!$A$7:$A$1000,0)))</f>
        <v/>
      </c>
      <c r="L296" t="str">
        <f>IF($I296="","",INDEX('Product Master'!$M$7:$M$1000,MATCH($I296,'Product Master'!$A$7:$A$1000,0)))</f>
        <v/>
      </c>
      <c r="M296" t="str">
        <f>IF($I296="","",INDEX('Product Master'!$N$7:$N$1000,MATCH($I296,'Product Master'!$A$7:$A$1000,0)))</f>
        <v/>
      </c>
    </row>
    <row r="297" spans="1:13" x14ac:dyDescent="0.3">
      <c r="A297" t="str">
        <f>IFERROR(INDEX('Product Master'!$A$7:$A$1000,_xlfn.AGGREGATE(15,6,(ROW('Product Master'!$A$7:$A$1000)-ROW('Product Master'!$A$7)+1)/(('Product Master'!$A$7:$A$1000&lt;&gt;"")*('Product Master'!$P$7:$P$1000="Low Stock")),ROWS($A$12:A297))),"")</f>
        <v/>
      </c>
      <c r="B297" t="str">
        <f>IF($A297="","",INDEX('Product Master'!$B$7:$B$1000,MATCH($A297,'Product Master'!$A$7:$A$1000,0)))</f>
        <v/>
      </c>
      <c r="C297" t="str">
        <f>IF($A297="","",INDEX('Product Master'!$C$7:$C$1000,MATCH($A297,'Product Master'!$A$7:$A$1000,0)))</f>
        <v/>
      </c>
      <c r="D297" t="str">
        <f>IF($A297="","",INDEX('Product Master'!$M$7:$M$1000,MATCH($A297,'Product Master'!$A$7:$A$1000,0)))</f>
        <v/>
      </c>
      <c r="E297" t="str">
        <f>IF($A297="","",INDEX('Product Master'!$N$7:$N$1000,MATCH($A297,'Product Master'!$A$7:$A$1000,0)))</f>
        <v/>
      </c>
      <c r="F297" t="str">
        <f>IF($A297="","",INDEX('Product Master'!$P$7:$P$1000,MATCH($A297,'Product Master'!$A$7:$A$1000,0)))</f>
        <v/>
      </c>
      <c r="I297" t="str">
        <f>IFERROR(INDEX('Product Master'!$A$7:$A$1000,_xlfn.AGGREGATE(15,6,(ROW('Product Master'!$A$7:$A$1000)-ROW('Product Master'!$A$7)+1)/(('Product Master'!$A$7:$A$1000&lt;&gt;"")*('Product Master'!$P$7:$P$1000="Out of Stock")),ROWS($I$12:I297))),"")</f>
        <v/>
      </c>
      <c r="J297" t="str">
        <f>IF($I297="","",INDEX('Product Master'!$B$7:$B$1000,MATCH($I297,'Product Master'!$A$7:$A$1000,0)))</f>
        <v/>
      </c>
      <c r="K297" t="str">
        <f>IF($I297="","",INDEX('Product Master'!$C$7:$C$1000,MATCH($I297,'Product Master'!$A$7:$A$1000,0)))</f>
        <v/>
      </c>
      <c r="L297" t="str">
        <f>IF($I297="","",INDEX('Product Master'!$M$7:$M$1000,MATCH($I297,'Product Master'!$A$7:$A$1000,0)))</f>
        <v/>
      </c>
      <c r="M297" t="str">
        <f>IF($I297="","",INDEX('Product Master'!$N$7:$N$1000,MATCH($I297,'Product Master'!$A$7:$A$1000,0)))</f>
        <v/>
      </c>
    </row>
    <row r="298" spans="1:13" x14ac:dyDescent="0.3">
      <c r="A298" t="str">
        <f>IFERROR(INDEX('Product Master'!$A$7:$A$1000,_xlfn.AGGREGATE(15,6,(ROW('Product Master'!$A$7:$A$1000)-ROW('Product Master'!$A$7)+1)/(('Product Master'!$A$7:$A$1000&lt;&gt;"")*('Product Master'!$P$7:$P$1000="Low Stock")),ROWS($A$12:A298))),"")</f>
        <v/>
      </c>
      <c r="B298" t="str">
        <f>IF($A298="","",INDEX('Product Master'!$B$7:$B$1000,MATCH($A298,'Product Master'!$A$7:$A$1000,0)))</f>
        <v/>
      </c>
      <c r="C298" t="str">
        <f>IF($A298="","",INDEX('Product Master'!$C$7:$C$1000,MATCH($A298,'Product Master'!$A$7:$A$1000,0)))</f>
        <v/>
      </c>
      <c r="D298" t="str">
        <f>IF($A298="","",INDEX('Product Master'!$M$7:$M$1000,MATCH($A298,'Product Master'!$A$7:$A$1000,0)))</f>
        <v/>
      </c>
      <c r="E298" t="str">
        <f>IF($A298="","",INDEX('Product Master'!$N$7:$N$1000,MATCH($A298,'Product Master'!$A$7:$A$1000,0)))</f>
        <v/>
      </c>
      <c r="F298" t="str">
        <f>IF($A298="","",INDEX('Product Master'!$P$7:$P$1000,MATCH($A298,'Product Master'!$A$7:$A$1000,0)))</f>
        <v/>
      </c>
      <c r="I298" t="str">
        <f>IFERROR(INDEX('Product Master'!$A$7:$A$1000,_xlfn.AGGREGATE(15,6,(ROW('Product Master'!$A$7:$A$1000)-ROW('Product Master'!$A$7)+1)/(('Product Master'!$A$7:$A$1000&lt;&gt;"")*('Product Master'!$P$7:$P$1000="Out of Stock")),ROWS($I$12:I298))),"")</f>
        <v/>
      </c>
      <c r="J298" t="str">
        <f>IF($I298="","",INDEX('Product Master'!$B$7:$B$1000,MATCH($I298,'Product Master'!$A$7:$A$1000,0)))</f>
        <v/>
      </c>
      <c r="K298" t="str">
        <f>IF($I298="","",INDEX('Product Master'!$C$7:$C$1000,MATCH($I298,'Product Master'!$A$7:$A$1000,0)))</f>
        <v/>
      </c>
      <c r="L298" t="str">
        <f>IF($I298="","",INDEX('Product Master'!$M$7:$M$1000,MATCH($I298,'Product Master'!$A$7:$A$1000,0)))</f>
        <v/>
      </c>
      <c r="M298" t="str">
        <f>IF($I298="","",INDEX('Product Master'!$N$7:$N$1000,MATCH($I298,'Product Master'!$A$7:$A$1000,0)))</f>
        <v/>
      </c>
    </row>
    <row r="299" spans="1:13" x14ac:dyDescent="0.3">
      <c r="A299" t="str">
        <f>IFERROR(INDEX('Product Master'!$A$7:$A$1000,_xlfn.AGGREGATE(15,6,(ROW('Product Master'!$A$7:$A$1000)-ROW('Product Master'!$A$7)+1)/(('Product Master'!$A$7:$A$1000&lt;&gt;"")*('Product Master'!$P$7:$P$1000="Low Stock")),ROWS($A$12:A299))),"")</f>
        <v/>
      </c>
      <c r="B299" t="str">
        <f>IF($A299="","",INDEX('Product Master'!$B$7:$B$1000,MATCH($A299,'Product Master'!$A$7:$A$1000,0)))</f>
        <v/>
      </c>
      <c r="C299" t="str">
        <f>IF($A299="","",INDEX('Product Master'!$C$7:$C$1000,MATCH($A299,'Product Master'!$A$7:$A$1000,0)))</f>
        <v/>
      </c>
      <c r="D299" t="str">
        <f>IF($A299="","",INDEX('Product Master'!$M$7:$M$1000,MATCH($A299,'Product Master'!$A$7:$A$1000,0)))</f>
        <v/>
      </c>
      <c r="E299" t="str">
        <f>IF($A299="","",INDEX('Product Master'!$N$7:$N$1000,MATCH($A299,'Product Master'!$A$7:$A$1000,0)))</f>
        <v/>
      </c>
      <c r="F299" t="str">
        <f>IF($A299="","",INDEX('Product Master'!$P$7:$P$1000,MATCH($A299,'Product Master'!$A$7:$A$1000,0)))</f>
        <v/>
      </c>
      <c r="I299" t="str">
        <f>IFERROR(INDEX('Product Master'!$A$7:$A$1000,_xlfn.AGGREGATE(15,6,(ROW('Product Master'!$A$7:$A$1000)-ROW('Product Master'!$A$7)+1)/(('Product Master'!$A$7:$A$1000&lt;&gt;"")*('Product Master'!$P$7:$P$1000="Out of Stock")),ROWS($I$12:I299))),"")</f>
        <v/>
      </c>
      <c r="J299" t="str">
        <f>IF($I299="","",INDEX('Product Master'!$B$7:$B$1000,MATCH($I299,'Product Master'!$A$7:$A$1000,0)))</f>
        <v/>
      </c>
      <c r="K299" t="str">
        <f>IF($I299="","",INDEX('Product Master'!$C$7:$C$1000,MATCH($I299,'Product Master'!$A$7:$A$1000,0)))</f>
        <v/>
      </c>
      <c r="L299" t="str">
        <f>IF($I299="","",INDEX('Product Master'!$M$7:$M$1000,MATCH($I299,'Product Master'!$A$7:$A$1000,0)))</f>
        <v/>
      </c>
      <c r="M299" t="str">
        <f>IF($I299="","",INDEX('Product Master'!$N$7:$N$1000,MATCH($I299,'Product Master'!$A$7:$A$1000,0)))</f>
        <v/>
      </c>
    </row>
    <row r="300" spans="1:13" x14ac:dyDescent="0.3">
      <c r="A300" t="str">
        <f>IFERROR(INDEX('Product Master'!$A$7:$A$1000,_xlfn.AGGREGATE(15,6,(ROW('Product Master'!$A$7:$A$1000)-ROW('Product Master'!$A$7)+1)/(('Product Master'!$A$7:$A$1000&lt;&gt;"")*('Product Master'!$P$7:$P$1000="Low Stock")),ROWS($A$12:A300))),"")</f>
        <v/>
      </c>
      <c r="B300" t="str">
        <f>IF($A300="","",INDEX('Product Master'!$B$7:$B$1000,MATCH($A300,'Product Master'!$A$7:$A$1000,0)))</f>
        <v/>
      </c>
      <c r="C300" t="str">
        <f>IF($A300="","",INDEX('Product Master'!$C$7:$C$1000,MATCH($A300,'Product Master'!$A$7:$A$1000,0)))</f>
        <v/>
      </c>
      <c r="D300" t="str">
        <f>IF($A300="","",INDEX('Product Master'!$M$7:$M$1000,MATCH($A300,'Product Master'!$A$7:$A$1000,0)))</f>
        <v/>
      </c>
      <c r="E300" t="str">
        <f>IF($A300="","",INDEX('Product Master'!$N$7:$N$1000,MATCH($A300,'Product Master'!$A$7:$A$1000,0)))</f>
        <v/>
      </c>
      <c r="F300" t="str">
        <f>IF($A300="","",INDEX('Product Master'!$P$7:$P$1000,MATCH($A300,'Product Master'!$A$7:$A$1000,0)))</f>
        <v/>
      </c>
      <c r="I300" t="str">
        <f>IFERROR(INDEX('Product Master'!$A$7:$A$1000,_xlfn.AGGREGATE(15,6,(ROW('Product Master'!$A$7:$A$1000)-ROW('Product Master'!$A$7)+1)/(('Product Master'!$A$7:$A$1000&lt;&gt;"")*('Product Master'!$P$7:$P$1000="Out of Stock")),ROWS($I$12:I300))),"")</f>
        <v/>
      </c>
      <c r="J300" t="str">
        <f>IF($I300="","",INDEX('Product Master'!$B$7:$B$1000,MATCH($I300,'Product Master'!$A$7:$A$1000,0)))</f>
        <v/>
      </c>
      <c r="K300" t="str">
        <f>IF($I300="","",INDEX('Product Master'!$C$7:$C$1000,MATCH($I300,'Product Master'!$A$7:$A$1000,0)))</f>
        <v/>
      </c>
      <c r="L300" t="str">
        <f>IF($I300="","",INDEX('Product Master'!$M$7:$M$1000,MATCH($I300,'Product Master'!$A$7:$A$1000,0)))</f>
        <v/>
      </c>
      <c r="M300" t="str">
        <f>IF($I300="","",INDEX('Product Master'!$N$7:$N$1000,MATCH($I300,'Product Master'!$A$7:$A$1000,0)))</f>
        <v/>
      </c>
    </row>
    <row r="301" spans="1:13" x14ac:dyDescent="0.3">
      <c r="A301" t="str">
        <f>IFERROR(INDEX('Product Master'!$A$7:$A$1000,_xlfn.AGGREGATE(15,6,(ROW('Product Master'!$A$7:$A$1000)-ROW('Product Master'!$A$7)+1)/(('Product Master'!$A$7:$A$1000&lt;&gt;"")*('Product Master'!$P$7:$P$1000="Low Stock")),ROWS($A$12:A301))),"")</f>
        <v/>
      </c>
      <c r="B301" t="str">
        <f>IF($A301="","",INDEX('Product Master'!$B$7:$B$1000,MATCH($A301,'Product Master'!$A$7:$A$1000,0)))</f>
        <v/>
      </c>
      <c r="C301" t="str">
        <f>IF($A301="","",INDEX('Product Master'!$C$7:$C$1000,MATCH($A301,'Product Master'!$A$7:$A$1000,0)))</f>
        <v/>
      </c>
      <c r="D301" t="str">
        <f>IF($A301="","",INDEX('Product Master'!$M$7:$M$1000,MATCH($A301,'Product Master'!$A$7:$A$1000,0)))</f>
        <v/>
      </c>
      <c r="E301" t="str">
        <f>IF($A301="","",INDEX('Product Master'!$N$7:$N$1000,MATCH($A301,'Product Master'!$A$7:$A$1000,0)))</f>
        <v/>
      </c>
      <c r="F301" t="str">
        <f>IF($A301="","",INDEX('Product Master'!$P$7:$P$1000,MATCH($A301,'Product Master'!$A$7:$A$1000,0)))</f>
        <v/>
      </c>
      <c r="I301" t="str">
        <f>IFERROR(INDEX('Product Master'!$A$7:$A$1000,_xlfn.AGGREGATE(15,6,(ROW('Product Master'!$A$7:$A$1000)-ROW('Product Master'!$A$7)+1)/(('Product Master'!$A$7:$A$1000&lt;&gt;"")*('Product Master'!$P$7:$P$1000="Out of Stock")),ROWS($I$12:I301))),"")</f>
        <v/>
      </c>
      <c r="J301" t="str">
        <f>IF($I301="","",INDEX('Product Master'!$B$7:$B$1000,MATCH($I301,'Product Master'!$A$7:$A$1000,0)))</f>
        <v/>
      </c>
      <c r="K301" t="str">
        <f>IF($I301="","",INDEX('Product Master'!$C$7:$C$1000,MATCH($I301,'Product Master'!$A$7:$A$1000,0)))</f>
        <v/>
      </c>
      <c r="L301" t="str">
        <f>IF($I301="","",INDEX('Product Master'!$M$7:$M$1000,MATCH($I301,'Product Master'!$A$7:$A$1000,0)))</f>
        <v/>
      </c>
      <c r="M301" t="str">
        <f>IF($I301="","",INDEX('Product Master'!$N$7:$N$1000,MATCH($I301,'Product Master'!$A$7:$A$1000,0)))</f>
        <v/>
      </c>
    </row>
    <row r="302" spans="1:13" x14ac:dyDescent="0.3">
      <c r="A302" t="str">
        <f>IFERROR(INDEX('Product Master'!$A$7:$A$1000,_xlfn.AGGREGATE(15,6,(ROW('Product Master'!$A$7:$A$1000)-ROW('Product Master'!$A$7)+1)/(('Product Master'!$A$7:$A$1000&lt;&gt;"")*('Product Master'!$P$7:$P$1000="Low Stock")),ROWS($A$12:A302))),"")</f>
        <v/>
      </c>
      <c r="B302" t="str">
        <f>IF($A302="","",INDEX('Product Master'!$B$7:$B$1000,MATCH($A302,'Product Master'!$A$7:$A$1000,0)))</f>
        <v/>
      </c>
      <c r="C302" t="str">
        <f>IF($A302="","",INDEX('Product Master'!$C$7:$C$1000,MATCH($A302,'Product Master'!$A$7:$A$1000,0)))</f>
        <v/>
      </c>
      <c r="D302" t="str">
        <f>IF($A302="","",INDEX('Product Master'!$M$7:$M$1000,MATCH($A302,'Product Master'!$A$7:$A$1000,0)))</f>
        <v/>
      </c>
      <c r="E302" t="str">
        <f>IF($A302="","",INDEX('Product Master'!$N$7:$N$1000,MATCH($A302,'Product Master'!$A$7:$A$1000,0)))</f>
        <v/>
      </c>
      <c r="F302" t="str">
        <f>IF($A302="","",INDEX('Product Master'!$P$7:$P$1000,MATCH($A302,'Product Master'!$A$7:$A$1000,0)))</f>
        <v/>
      </c>
      <c r="I302" t="str">
        <f>IFERROR(INDEX('Product Master'!$A$7:$A$1000,_xlfn.AGGREGATE(15,6,(ROW('Product Master'!$A$7:$A$1000)-ROW('Product Master'!$A$7)+1)/(('Product Master'!$A$7:$A$1000&lt;&gt;"")*('Product Master'!$P$7:$P$1000="Out of Stock")),ROWS($I$12:I302))),"")</f>
        <v/>
      </c>
      <c r="J302" t="str">
        <f>IF($I302="","",INDEX('Product Master'!$B$7:$B$1000,MATCH($I302,'Product Master'!$A$7:$A$1000,0)))</f>
        <v/>
      </c>
      <c r="K302" t="str">
        <f>IF($I302="","",INDEX('Product Master'!$C$7:$C$1000,MATCH($I302,'Product Master'!$A$7:$A$1000,0)))</f>
        <v/>
      </c>
      <c r="L302" t="str">
        <f>IF($I302="","",INDEX('Product Master'!$M$7:$M$1000,MATCH($I302,'Product Master'!$A$7:$A$1000,0)))</f>
        <v/>
      </c>
      <c r="M302" t="str">
        <f>IF($I302="","",INDEX('Product Master'!$N$7:$N$1000,MATCH($I302,'Product Master'!$A$7:$A$1000,0)))</f>
        <v/>
      </c>
    </row>
    <row r="303" spans="1:13" x14ac:dyDescent="0.3">
      <c r="A303" t="str">
        <f>IFERROR(INDEX('Product Master'!$A$7:$A$1000,_xlfn.AGGREGATE(15,6,(ROW('Product Master'!$A$7:$A$1000)-ROW('Product Master'!$A$7)+1)/(('Product Master'!$A$7:$A$1000&lt;&gt;"")*('Product Master'!$P$7:$P$1000="Low Stock")),ROWS($A$12:A303))),"")</f>
        <v/>
      </c>
      <c r="B303" t="str">
        <f>IF($A303="","",INDEX('Product Master'!$B$7:$B$1000,MATCH($A303,'Product Master'!$A$7:$A$1000,0)))</f>
        <v/>
      </c>
      <c r="C303" t="str">
        <f>IF($A303="","",INDEX('Product Master'!$C$7:$C$1000,MATCH($A303,'Product Master'!$A$7:$A$1000,0)))</f>
        <v/>
      </c>
      <c r="D303" t="str">
        <f>IF($A303="","",INDEX('Product Master'!$M$7:$M$1000,MATCH($A303,'Product Master'!$A$7:$A$1000,0)))</f>
        <v/>
      </c>
      <c r="E303" t="str">
        <f>IF($A303="","",INDEX('Product Master'!$N$7:$N$1000,MATCH($A303,'Product Master'!$A$7:$A$1000,0)))</f>
        <v/>
      </c>
      <c r="F303" t="str">
        <f>IF($A303="","",INDEX('Product Master'!$P$7:$P$1000,MATCH($A303,'Product Master'!$A$7:$A$1000,0)))</f>
        <v/>
      </c>
      <c r="I303" t="str">
        <f>IFERROR(INDEX('Product Master'!$A$7:$A$1000,_xlfn.AGGREGATE(15,6,(ROW('Product Master'!$A$7:$A$1000)-ROW('Product Master'!$A$7)+1)/(('Product Master'!$A$7:$A$1000&lt;&gt;"")*('Product Master'!$P$7:$P$1000="Out of Stock")),ROWS($I$12:I303))),"")</f>
        <v/>
      </c>
      <c r="J303" t="str">
        <f>IF($I303="","",INDEX('Product Master'!$B$7:$B$1000,MATCH($I303,'Product Master'!$A$7:$A$1000,0)))</f>
        <v/>
      </c>
      <c r="K303" t="str">
        <f>IF($I303="","",INDEX('Product Master'!$C$7:$C$1000,MATCH($I303,'Product Master'!$A$7:$A$1000,0)))</f>
        <v/>
      </c>
      <c r="L303" t="str">
        <f>IF($I303="","",INDEX('Product Master'!$M$7:$M$1000,MATCH($I303,'Product Master'!$A$7:$A$1000,0)))</f>
        <v/>
      </c>
      <c r="M303" t="str">
        <f>IF($I303="","",INDEX('Product Master'!$N$7:$N$1000,MATCH($I303,'Product Master'!$A$7:$A$1000,0)))</f>
        <v/>
      </c>
    </row>
    <row r="304" spans="1:13" x14ac:dyDescent="0.3">
      <c r="A304" t="str">
        <f>IFERROR(INDEX('Product Master'!$A$7:$A$1000,_xlfn.AGGREGATE(15,6,(ROW('Product Master'!$A$7:$A$1000)-ROW('Product Master'!$A$7)+1)/(('Product Master'!$A$7:$A$1000&lt;&gt;"")*('Product Master'!$P$7:$P$1000="Low Stock")),ROWS($A$12:A304))),"")</f>
        <v/>
      </c>
      <c r="B304" t="str">
        <f>IF($A304="","",INDEX('Product Master'!$B$7:$B$1000,MATCH($A304,'Product Master'!$A$7:$A$1000,0)))</f>
        <v/>
      </c>
      <c r="C304" t="str">
        <f>IF($A304="","",INDEX('Product Master'!$C$7:$C$1000,MATCH($A304,'Product Master'!$A$7:$A$1000,0)))</f>
        <v/>
      </c>
      <c r="D304" t="str">
        <f>IF($A304="","",INDEX('Product Master'!$M$7:$M$1000,MATCH($A304,'Product Master'!$A$7:$A$1000,0)))</f>
        <v/>
      </c>
      <c r="E304" t="str">
        <f>IF($A304="","",INDEX('Product Master'!$N$7:$N$1000,MATCH($A304,'Product Master'!$A$7:$A$1000,0)))</f>
        <v/>
      </c>
      <c r="F304" t="str">
        <f>IF($A304="","",INDEX('Product Master'!$P$7:$P$1000,MATCH($A304,'Product Master'!$A$7:$A$1000,0)))</f>
        <v/>
      </c>
      <c r="I304" t="str">
        <f>IFERROR(INDEX('Product Master'!$A$7:$A$1000,_xlfn.AGGREGATE(15,6,(ROW('Product Master'!$A$7:$A$1000)-ROW('Product Master'!$A$7)+1)/(('Product Master'!$A$7:$A$1000&lt;&gt;"")*('Product Master'!$P$7:$P$1000="Out of Stock")),ROWS($I$12:I304))),"")</f>
        <v/>
      </c>
      <c r="J304" t="str">
        <f>IF($I304="","",INDEX('Product Master'!$B$7:$B$1000,MATCH($I304,'Product Master'!$A$7:$A$1000,0)))</f>
        <v/>
      </c>
      <c r="K304" t="str">
        <f>IF($I304="","",INDEX('Product Master'!$C$7:$C$1000,MATCH($I304,'Product Master'!$A$7:$A$1000,0)))</f>
        <v/>
      </c>
      <c r="L304" t="str">
        <f>IF($I304="","",INDEX('Product Master'!$M$7:$M$1000,MATCH($I304,'Product Master'!$A$7:$A$1000,0)))</f>
        <v/>
      </c>
      <c r="M304" t="str">
        <f>IF($I304="","",INDEX('Product Master'!$N$7:$N$1000,MATCH($I304,'Product Master'!$A$7:$A$1000,0)))</f>
        <v/>
      </c>
    </row>
    <row r="305" spans="1:13" x14ac:dyDescent="0.3">
      <c r="A305" t="str">
        <f>IFERROR(INDEX('Product Master'!$A$7:$A$1000,_xlfn.AGGREGATE(15,6,(ROW('Product Master'!$A$7:$A$1000)-ROW('Product Master'!$A$7)+1)/(('Product Master'!$A$7:$A$1000&lt;&gt;"")*('Product Master'!$P$7:$P$1000="Low Stock")),ROWS($A$12:A305))),"")</f>
        <v/>
      </c>
      <c r="B305" t="str">
        <f>IF($A305="","",INDEX('Product Master'!$B$7:$B$1000,MATCH($A305,'Product Master'!$A$7:$A$1000,0)))</f>
        <v/>
      </c>
      <c r="C305" t="str">
        <f>IF($A305="","",INDEX('Product Master'!$C$7:$C$1000,MATCH($A305,'Product Master'!$A$7:$A$1000,0)))</f>
        <v/>
      </c>
      <c r="D305" t="str">
        <f>IF($A305="","",INDEX('Product Master'!$M$7:$M$1000,MATCH($A305,'Product Master'!$A$7:$A$1000,0)))</f>
        <v/>
      </c>
      <c r="E305" t="str">
        <f>IF($A305="","",INDEX('Product Master'!$N$7:$N$1000,MATCH($A305,'Product Master'!$A$7:$A$1000,0)))</f>
        <v/>
      </c>
      <c r="F305" t="str">
        <f>IF($A305="","",INDEX('Product Master'!$P$7:$P$1000,MATCH($A305,'Product Master'!$A$7:$A$1000,0)))</f>
        <v/>
      </c>
      <c r="I305" t="str">
        <f>IFERROR(INDEX('Product Master'!$A$7:$A$1000,_xlfn.AGGREGATE(15,6,(ROW('Product Master'!$A$7:$A$1000)-ROW('Product Master'!$A$7)+1)/(('Product Master'!$A$7:$A$1000&lt;&gt;"")*('Product Master'!$P$7:$P$1000="Out of Stock")),ROWS($I$12:I305))),"")</f>
        <v/>
      </c>
      <c r="J305" t="str">
        <f>IF($I305="","",INDEX('Product Master'!$B$7:$B$1000,MATCH($I305,'Product Master'!$A$7:$A$1000,0)))</f>
        <v/>
      </c>
      <c r="K305" t="str">
        <f>IF($I305="","",INDEX('Product Master'!$C$7:$C$1000,MATCH($I305,'Product Master'!$A$7:$A$1000,0)))</f>
        <v/>
      </c>
      <c r="L305" t="str">
        <f>IF($I305="","",INDEX('Product Master'!$M$7:$M$1000,MATCH($I305,'Product Master'!$A$7:$A$1000,0)))</f>
        <v/>
      </c>
      <c r="M305" t="str">
        <f>IF($I305="","",INDEX('Product Master'!$N$7:$N$1000,MATCH($I305,'Product Master'!$A$7:$A$1000,0)))</f>
        <v/>
      </c>
    </row>
    <row r="306" spans="1:13" x14ac:dyDescent="0.3">
      <c r="A306" t="str">
        <f>IFERROR(INDEX('Product Master'!$A$7:$A$1000,_xlfn.AGGREGATE(15,6,(ROW('Product Master'!$A$7:$A$1000)-ROW('Product Master'!$A$7)+1)/(('Product Master'!$A$7:$A$1000&lt;&gt;"")*('Product Master'!$P$7:$P$1000="Low Stock")),ROWS($A$12:A306))),"")</f>
        <v/>
      </c>
      <c r="B306" t="str">
        <f>IF($A306="","",INDEX('Product Master'!$B$7:$B$1000,MATCH($A306,'Product Master'!$A$7:$A$1000,0)))</f>
        <v/>
      </c>
      <c r="C306" t="str">
        <f>IF($A306="","",INDEX('Product Master'!$C$7:$C$1000,MATCH($A306,'Product Master'!$A$7:$A$1000,0)))</f>
        <v/>
      </c>
      <c r="D306" t="str">
        <f>IF($A306="","",INDEX('Product Master'!$M$7:$M$1000,MATCH($A306,'Product Master'!$A$7:$A$1000,0)))</f>
        <v/>
      </c>
      <c r="E306" t="str">
        <f>IF($A306="","",INDEX('Product Master'!$N$7:$N$1000,MATCH($A306,'Product Master'!$A$7:$A$1000,0)))</f>
        <v/>
      </c>
      <c r="F306" t="str">
        <f>IF($A306="","",INDEX('Product Master'!$P$7:$P$1000,MATCH($A306,'Product Master'!$A$7:$A$1000,0)))</f>
        <v/>
      </c>
      <c r="I306" t="str">
        <f>IFERROR(INDEX('Product Master'!$A$7:$A$1000,_xlfn.AGGREGATE(15,6,(ROW('Product Master'!$A$7:$A$1000)-ROW('Product Master'!$A$7)+1)/(('Product Master'!$A$7:$A$1000&lt;&gt;"")*('Product Master'!$P$7:$P$1000="Out of Stock")),ROWS($I$12:I306))),"")</f>
        <v/>
      </c>
      <c r="J306" t="str">
        <f>IF($I306="","",INDEX('Product Master'!$B$7:$B$1000,MATCH($I306,'Product Master'!$A$7:$A$1000,0)))</f>
        <v/>
      </c>
      <c r="K306" t="str">
        <f>IF($I306="","",INDEX('Product Master'!$C$7:$C$1000,MATCH($I306,'Product Master'!$A$7:$A$1000,0)))</f>
        <v/>
      </c>
      <c r="L306" t="str">
        <f>IF($I306="","",INDEX('Product Master'!$M$7:$M$1000,MATCH($I306,'Product Master'!$A$7:$A$1000,0)))</f>
        <v/>
      </c>
      <c r="M306" t="str">
        <f>IF($I306="","",INDEX('Product Master'!$N$7:$N$1000,MATCH($I306,'Product Master'!$A$7:$A$1000,0)))</f>
        <v/>
      </c>
    </row>
    <row r="307" spans="1:13" x14ac:dyDescent="0.3">
      <c r="A307" t="str">
        <f>IFERROR(INDEX('Product Master'!$A$7:$A$1000,_xlfn.AGGREGATE(15,6,(ROW('Product Master'!$A$7:$A$1000)-ROW('Product Master'!$A$7)+1)/(('Product Master'!$A$7:$A$1000&lt;&gt;"")*('Product Master'!$P$7:$P$1000="Low Stock")),ROWS($A$12:A307))),"")</f>
        <v/>
      </c>
      <c r="B307" t="str">
        <f>IF($A307="","",INDEX('Product Master'!$B$7:$B$1000,MATCH($A307,'Product Master'!$A$7:$A$1000,0)))</f>
        <v/>
      </c>
      <c r="C307" t="str">
        <f>IF($A307="","",INDEX('Product Master'!$C$7:$C$1000,MATCH($A307,'Product Master'!$A$7:$A$1000,0)))</f>
        <v/>
      </c>
      <c r="D307" t="str">
        <f>IF($A307="","",INDEX('Product Master'!$M$7:$M$1000,MATCH($A307,'Product Master'!$A$7:$A$1000,0)))</f>
        <v/>
      </c>
      <c r="E307" t="str">
        <f>IF($A307="","",INDEX('Product Master'!$N$7:$N$1000,MATCH($A307,'Product Master'!$A$7:$A$1000,0)))</f>
        <v/>
      </c>
      <c r="F307" t="str">
        <f>IF($A307="","",INDEX('Product Master'!$P$7:$P$1000,MATCH($A307,'Product Master'!$A$7:$A$1000,0)))</f>
        <v/>
      </c>
      <c r="I307" t="str">
        <f>IFERROR(INDEX('Product Master'!$A$7:$A$1000,_xlfn.AGGREGATE(15,6,(ROW('Product Master'!$A$7:$A$1000)-ROW('Product Master'!$A$7)+1)/(('Product Master'!$A$7:$A$1000&lt;&gt;"")*('Product Master'!$P$7:$P$1000="Out of Stock")),ROWS($I$12:I307))),"")</f>
        <v/>
      </c>
      <c r="J307" t="str">
        <f>IF($I307="","",INDEX('Product Master'!$B$7:$B$1000,MATCH($I307,'Product Master'!$A$7:$A$1000,0)))</f>
        <v/>
      </c>
      <c r="K307" t="str">
        <f>IF($I307="","",INDEX('Product Master'!$C$7:$C$1000,MATCH($I307,'Product Master'!$A$7:$A$1000,0)))</f>
        <v/>
      </c>
      <c r="L307" t="str">
        <f>IF($I307="","",INDEX('Product Master'!$M$7:$M$1000,MATCH($I307,'Product Master'!$A$7:$A$1000,0)))</f>
        <v/>
      </c>
      <c r="M307" t="str">
        <f>IF($I307="","",INDEX('Product Master'!$N$7:$N$1000,MATCH($I307,'Product Master'!$A$7:$A$1000,0)))</f>
        <v/>
      </c>
    </row>
    <row r="308" spans="1:13" x14ac:dyDescent="0.3">
      <c r="A308" t="str">
        <f>IFERROR(INDEX('Product Master'!$A$7:$A$1000,_xlfn.AGGREGATE(15,6,(ROW('Product Master'!$A$7:$A$1000)-ROW('Product Master'!$A$7)+1)/(('Product Master'!$A$7:$A$1000&lt;&gt;"")*('Product Master'!$P$7:$P$1000="Low Stock")),ROWS($A$12:A308))),"")</f>
        <v/>
      </c>
      <c r="B308" t="str">
        <f>IF($A308="","",INDEX('Product Master'!$B$7:$B$1000,MATCH($A308,'Product Master'!$A$7:$A$1000,0)))</f>
        <v/>
      </c>
      <c r="C308" t="str">
        <f>IF($A308="","",INDEX('Product Master'!$C$7:$C$1000,MATCH($A308,'Product Master'!$A$7:$A$1000,0)))</f>
        <v/>
      </c>
      <c r="D308" t="str">
        <f>IF($A308="","",INDEX('Product Master'!$M$7:$M$1000,MATCH($A308,'Product Master'!$A$7:$A$1000,0)))</f>
        <v/>
      </c>
      <c r="E308" t="str">
        <f>IF($A308="","",INDEX('Product Master'!$N$7:$N$1000,MATCH($A308,'Product Master'!$A$7:$A$1000,0)))</f>
        <v/>
      </c>
      <c r="F308" t="str">
        <f>IF($A308="","",INDEX('Product Master'!$P$7:$P$1000,MATCH($A308,'Product Master'!$A$7:$A$1000,0)))</f>
        <v/>
      </c>
      <c r="I308" t="str">
        <f>IFERROR(INDEX('Product Master'!$A$7:$A$1000,_xlfn.AGGREGATE(15,6,(ROW('Product Master'!$A$7:$A$1000)-ROW('Product Master'!$A$7)+1)/(('Product Master'!$A$7:$A$1000&lt;&gt;"")*('Product Master'!$P$7:$P$1000="Out of Stock")),ROWS($I$12:I308))),"")</f>
        <v/>
      </c>
      <c r="J308" t="str">
        <f>IF($I308="","",INDEX('Product Master'!$B$7:$B$1000,MATCH($I308,'Product Master'!$A$7:$A$1000,0)))</f>
        <v/>
      </c>
      <c r="K308" t="str">
        <f>IF($I308="","",INDEX('Product Master'!$C$7:$C$1000,MATCH($I308,'Product Master'!$A$7:$A$1000,0)))</f>
        <v/>
      </c>
      <c r="L308" t="str">
        <f>IF($I308="","",INDEX('Product Master'!$M$7:$M$1000,MATCH($I308,'Product Master'!$A$7:$A$1000,0)))</f>
        <v/>
      </c>
      <c r="M308" t="str">
        <f>IF($I308="","",INDEX('Product Master'!$N$7:$N$1000,MATCH($I308,'Product Master'!$A$7:$A$1000,0)))</f>
        <v/>
      </c>
    </row>
    <row r="309" spans="1:13" x14ac:dyDescent="0.3">
      <c r="A309" t="str">
        <f>IFERROR(INDEX('Product Master'!$A$7:$A$1000,_xlfn.AGGREGATE(15,6,(ROW('Product Master'!$A$7:$A$1000)-ROW('Product Master'!$A$7)+1)/(('Product Master'!$A$7:$A$1000&lt;&gt;"")*('Product Master'!$P$7:$P$1000="Low Stock")),ROWS($A$12:A309))),"")</f>
        <v/>
      </c>
      <c r="B309" t="str">
        <f>IF($A309="","",INDEX('Product Master'!$B$7:$B$1000,MATCH($A309,'Product Master'!$A$7:$A$1000,0)))</f>
        <v/>
      </c>
      <c r="C309" t="str">
        <f>IF($A309="","",INDEX('Product Master'!$C$7:$C$1000,MATCH($A309,'Product Master'!$A$7:$A$1000,0)))</f>
        <v/>
      </c>
      <c r="D309" t="str">
        <f>IF($A309="","",INDEX('Product Master'!$M$7:$M$1000,MATCH($A309,'Product Master'!$A$7:$A$1000,0)))</f>
        <v/>
      </c>
      <c r="E309" t="str">
        <f>IF($A309="","",INDEX('Product Master'!$N$7:$N$1000,MATCH($A309,'Product Master'!$A$7:$A$1000,0)))</f>
        <v/>
      </c>
      <c r="F309" t="str">
        <f>IF($A309="","",INDEX('Product Master'!$P$7:$P$1000,MATCH($A309,'Product Master'!$A$7:$A$1000,0)))</f>
        <v/>
      </c>
      <c r="I309" t="str">
        <f>IFERROR(INDEX('Product Master'!$A$7:$A$1000,_xlfn.AGGREGATE(15,6,(ROW('Product Master'!$A$7:$A$1000)-ROW('Product Master'!$A$7)+1)/(('Product Master'!$A$7:$A$1000&lt;&gt;"")*('Product Master'!$P$7:$P$1000="Out of Stock")),ROWS($I$12:I309))),"")</f>
        <v/>
      </c>
      <c r="J309" t="str">
        <f>IF($I309="","",INDEX('Product Master'!$B$7:$B$1000,MATCH($I309,'Product Master'!$A$7:$A$1000,0)))</f>
        <v/>
      </c>
      <c r="K309" t="str">
        <f>IF($I309="","",INDEX('Product Master'!$C$7:$C$1000,MATCH($I309,'Product Master'!$A$7:$A$1000,0)))</f>
        <v/>
      </c>
      <c r="L309" t="str">
        <f>IF($I309="","",INDEX('Product Master'!$M$7:$M$1000,MATCH($I309,'Product Master'!$A$7:$A$1000,0)))</f>
        <v/>
      </c>
      <c r="M309" t="str">
        <f>IF($I309="","",INDEX('Product Master'!$N$7:$N$1000,MATCH($I309,'Product Master'!$A$7:$A$1000,0)))</f>
        <v/>
      </c>
    </row>
    <row r="310" spans="1:13" x14ac:dyDescent="0.3">
      <c r="A310" t="str">
        <f>IFERROR(INDEX('Product Master'!$A$7:$A$1000,_xlfn.AGGREGATE(15,6,(ROW('Product Master'!$A$7:$A$1000)-ROW('Product Master'!$A$7)+1)/(('Product Master'!$A$7:$A$1000&lt;&gt;"")*('Product Master'!$P$7:$P$1000="Low Stock")),ROWS($A$12:A310))),"")</f>
        <v/>
      </c>
      <c r="B310" t="str">
        <f>IF($A310="","",INDEX('Product Master'!$B$7:$B$1000,MATCH($A310,'Product Master'!$A$7:$A$1000,0)))</f>
        <v/>
      </c>
      <c r="C310" t="str">
        <f>IF($A310="","",INDEX('Product Master'!$C$7:$C$1000,MATCH($A310,'Product Master'!$A$7:$A$1000,0)))</f>
        <v/>
      </c>
      <c r="D310" t="str">
        <f>IF($A310="","",INDEX('Product Master'!$M$7:$M$1000,MATCH($A310,'Product Master'!$A$7:$A$1000,0)))</f>
        <v/>
      </c>
      <c r="E310" t="str">
        <f>IF($A310="","",INDEX('Product Master'!$N$7:$N$1000,MATCH($A310,'Product Master'!$A$7:$A$1000,0)))</f>
        <v/>
      </c>
      <c r="F310" t="str">
        <f>IF($A310="","",INDEX('Product Master'!$P$7:$P$1000,MATCH($A310,'Product Master'!$A$7:$A$1000,0)))</f>
        <v/>
      </c>
      <c r="I310" t="str">
        <f>IFERROR(INDEX('Product Master'!$A$7:$A$1000,_xlfn.AGGREGATE(15,6,(ROW('Product Master'!$A$7:$A$1000)-ROW('Product Master'!$A$7)+1)/(('Product Master'!$A$7:$A$1000&lt;&gt;"")*('Product Master'!$P$7:$P$1000="Out of Stock")),ROWS($I$12:I310))),"")</f>
        <v/>
      </c>
      <c r="J310" t="str">
        <f>IF($I310="","",INDEX('Product Master'!$B$7:$B$1000,MATCH($I310,'Product Master'!$A$7:$A$1000,0)))</f>
        <v/>
      </c>
      <c r="K310" t="str">
        <f>IF($I310="","",INDEX('Product Master'!$C$7:$C$1000,MATCH($I310,'Product Master'!$A$7:$A$1000,0)))</f>
        <v/>
      </c>
      <c r="L310" t="str">
        <f>IF($I310="","",INDEX('Product Master'!$M$7:$M$1000,MATCH($I310,'Product Master'!$A$7:$A$1000,0)))</f>
        <v/>
      </c>
      <c r="M310" t="str">
        <f>IF($I310="","",INDEX('Product Master'!$N$7:$N$1000,MATCH($I310,'Product Master'!$A$7:$A$1000,0)))</f>
        <v/>
      </c>
    </row>
    <row r="311" spans="1:13" x14ac:dyDescent="0.3">
      <c r="A311" t="str">
        <f>IFERROR(INDEX('Product Master'!$A$7:$A$1000,_xlfn.AGGREGATE(15,6,(ROW('Product Master'!$A$7:$A$1000)-ROW('Product Master'!$A$7)+1)/(('Product Master'!$A$7:$A$1000&lt;&gt;"")*('Product Master'!$P$7:$P$1000="Low Stock")),ROWS($A$12:A311))),"")</f>
        <v/>
      </c>
      <c r="B311" t="str">
        <f>IF($A311="","",INDEX('Product Master'!$B$7:$B$1000,MATCH($A311,'Product Master'!$A$7:$A$1000,0)))</f>
        <v/>
      </c>
      <c r="C311" t="str">
        <f>IF($A311="","",INDEX('Product Master'!$C$7:$C$1000,MATCH($A311,'Product Master'!$A$7:$A$1000,0)))</f>
        <v/>
      </c>
      <c r="D311" t="str">
        <f>IF($A311="","",INDEX('Product Master'!$M$7:$M$1000,MATCH($A311,'Product Master'!$A$7:$A$1000,0)))</f>
        <v/>
      </c>
      <c r="E311" t="str">
        <f>IF($A311="","",INDEX('Product Master'!$N$7:$N$1000,MATCH($A311,'Product Master'!$A$7:$A$1000,0)))</f>
        <v/>
      </c>
      <c r="F311" t="str">
        <f>IF($A311="","",INDEX('Product Master'!$P$7:$P$1000,MATCH($A311,'Product Master'!$A$7:$A$1000,0)))</f>
        <v/>
      </c>
      <c r="I311" t="str">
        <f>IFERROR(INDEX('Product Master'!$A$7:$A$1000,_xlfn.AGGREGATE(15,6,(ROW('Product Master'!$A$7:$A$1000)-ROW('Product Master'!$A$7)+1)/(('Product Master'!$A$7:$A$1000&lt;&gt;"")*('Product Master'!$P$7:$P$1000="Out of Stock")),ROWS($I$12:I311))),"")</f>
        <v/>
      </c>
      <c r="J311" t="str">
        <f>IF($I311="","",INDEX('Product Master'!$B$7:$B$1000,MATCH($I311,'Product Master'!$A$7:$A$1000,0)))</f>
        <v/>
      </c>
      <c r="K311" t="str">
        <f>IF($I311="","",INDEX('Product Master'!$C$7:$C$1000,MATCH($I311,'Product Master'!$A$7:$A$1000,0)))</f>
        <v/>
      </c>
      <c r="L311" t="str">
        <f>IF($I311="","",INDEX('Product Master'!$M$7:$M$1000,MATCH($I311,'Product Master'!$A$7:$A$1000,0)))</f>
        <v/>
      </c>
      <c r="M311" t="str">
        <f>IF($I311="","",INDEX('Product Master'!$N$7:$N$1000,MATCH($I311,'Product Master'!$A$7:$A$1000,0)))</f>
        <v/>
      </c>
    </row>
    <row r="312" spans="1:13" x14ac:dyDescent="0.3">
      <c r="A312" t="str">
        <f>IFERROR(INDEX('Product Master'!$A$7:$A$1000,_xlfn.AGGREGATE(15,6,(ROW('Product Master'!$A$7:$A$1000)-ROW('Product Master'!$A$7)+1)/(('Product Master'!$A$7:$A$1000&lt;&gt;"")*('Product Master'!$P$7:$P$1000="Low Stock")),ROWS($A$12:A312))),"")</f>
        <v/>
      </c>
      <c r="B312" t="str">
        <f>IF($A312="","",INDEX('Product Master'!$B$7:$B$1000,MATCH($A312,'Product Master'!$A$7:$A$1000,0)))</f>
        <v/>
      </c>
      <c r="C312" t="str">
        <f>IF($A312="","",INDEX('Product Master'!$C$7:$C$1000,MATCH($A312,'Product Master'!$A$7:$A$1000,0)))</f>
        <v/>
      </c>
      <c r="D312" t="str">
        <f>IF($A312="","",INDEX('Product Master'!$M$7:$M$1000,MATCH($A312,'Product Master'!$A$7:$A$1000,0)))</f>
        <v/>
      </c>
      <c r="E312" t="str">
        <f>IF($A312="","",INDEX('Product Master'!$N$7:$N$1000,MATCH($A312,'Product Master'!$A$7:$A$1000,0)))</f>
        <v/>
      </c>
      <c r="F312" t="str">
        <f>IF($A312="","",INDEX('Product Master'!$P$7:$P$1000,MATCH($A312,'Product Master'!$A$7:$A$1000,0)))</f>
        <v/>
      </c>
      <c r="I312" t="str">
        <f>IFERROR(INDEX('Product Master'!$A$7:$A$1000,_xlfn.AGGREGATE(15,6,(ROW('Product Master'!$A$7:$A$1000)-ROW('Product Master'!$A$7)+1)/(('Product Master'!$A$7:$A$1000&lt;&gt;"")*('Product Master'!$P$7:$P$1000="Out of Stock")),ROWS($I$12:I312))),"")</f>
        <v/>
      </c>
      <c r="J312" t="str">
        <f>IF($I312="","",INDEX('Product Master'!$B$7:$B$1000,MATCH($I312,'Product Master'!$A$7:$A$1000,0)))</f>
        <v/>
      </c>
      <c r="K312" t="str">
        <f>IF($I312="","",INDEX('Product Master'!$C$7:$C$1000,MATCH($I312,'Product Master'!$A$7:$A$1000,0)))</f>
        <v/>
      </c>
      <c r="L312" t="str">
        <f>IF($I312="","",INDEX('Product Master'!$M$7:$M$1000,MATCH($I312,'Product Master'!$A$7:$A$1000,0)))</f>
        <v/>
      </c>
      <c r="M312" t="str">
        <f>IF($I312="","",INDEX('Product Master'!$N$7:$N$1000,MATCH($I312,'Product Master'!$A$7:$A$1000,0)))</f>
        <v/>
      </c>
    </row>
    <row r="313" spans="1:13" x14ac:dyDescent="0.3">
      <c r="A313" t="str">
        <f>IFERROR(INDEX('Product Master'!$A$7:$A$1000,_xlfn.AGGREGATE(15,6,(ROW('Product Master'!$A$7:$A$1000)-ROW('Product Master'!$A$7)+1)/(('Product Master'!$A$7:$A$1000&lt;&gt;"")*('Product Master'!$P$7:$P$1000="Low Stock")),ROWS($A$12:A313))),"")</f>
        <v/>
      </c>
      <c r="B313" t="str">
        <f>IF($A313="","",INDEX('Product Master'!$B$7:$B$1000,MATCH($A313,'Product Master'!$A$7:$A$1000,0)))</f>
        <v/>
      </c>
      <c r="C313" t="str">
        <f>IF($A313="","",INDEX('Product Master'!$C$7:$C$1000,MATCH($A313,'Product Master'!$A$7:$A$1000,0)))</f>
        <v/>
      </c>
      <c r="D313" t="str">
        <f>IF($A313="","",INDEX('Product Master'!$M$7:$M$1000,MATCH($A313,'Product Master'!$A$7:$A$1000,0)))</f>
        <v/>
      </c>
      <c r="E313" t="str">
        <f>IF($A313="","",INDEX('Product Master'!$N$7:$N$1000,MATCH($A313,'Product Master'!$A$7:$A$1000,0)))</f>
        <v/>
      </c>
      <c r="F313" t="str">
        <f>IF($A313="","",INDEX('Product Master'!$P$7:$P$1000,MATCH($A313,'Product Master'!$A$7:$A$1000,0)))</f>
        <v/>
      </c>
      <c r="I313" t="str">
        <f>IFERROR(INDEX('Product Master'!$A$7:$A$1000,_xlfn.AGGREGATE(15,6,(ROW('Product Master'!$A$7:$A$1000)-ROW('Product Master'!$A$7)+1)/(('Product Master'!$A$7:$A$1000&lt;&gt;"")*('Product Master'!$P$7:$P$1000="Out of Stock")),ROWS($I$12:I313))),"")</f>
        <v/>
      </c>
      <c r="J313" t="str">
        <f>IF($I313="","",INDEX('Product Master'!$B$7:$B$1000,MATCH($I313,'Product Master'!$A$7:$A$1000,0)))</f>
        <v/>
      </c>
      <c r="K313" t="str">
        <f>IF($I313="","",INDEX('Product Master'!$C$7:$C$1000,MATCH($I313,'Product Master'!$A$7:$A$1000,0)))</f>
        <v/>
      </c>
      <c r="L313" t="str">
        <f>IF($I313="","",INDEX('Product Master'!$M$7:$M$1000,MATCH($I313,'Product Master'!$A$7:$A$1000,0)))</f>
        <v/>
      </c>
      <c r="M313" t="str">
        <f>IF($I313="","",INDEX('Product Master'!$N$7:$N$1000,MATCH($I313,'Product Master'!$A$7:$A$1000,0)))</f>
        <v/>
      </c>
    </row>
    <row r="314" spans="1:13" x14ac:dyDescent="0.3">
      <c r="A314" t="str">
        <f>IFERROR(INDEX('Product Master'!$A$7:$A$1000,_xlfn.AGGREGATE(15,6,(ROW('Product Master'!$A$7:$A$1000)-ROW('Product Master'!$A$7)+1)/(('Product Master'!$A$7:$A$1000&lt;&gt;"")*('Product Master'!$P$7:$P$1000="Low Stock")),ROWS($A$12:A314))),"")</f>
        <v/>
      </c>
      <c r="B314" t="str">
        <f>IF($A314="","",INDEX('Product Master'!$B$7:$B$1000,MATCH($A314,'Product Master'!$A$7:$A$1000,0)))</f>
        <v/>
      </c>
      <c r="C314" t="str">
        <f>IF($A314="","",INDEX('Product Master'!$C$7:$C$1000,MATCH($A314,'Product Master'!$A$7:$A$1000,0)))</f>
        <v/>
      </c>
      <c r="D314" t="str">
        <f>IF($A314="","",INDEX('Product Master'!$M$7:$M$1000,MATCH($A314,'Product Master'!$A$7:$A$1000,0)))</f>
        <v/>
      </c>
      <c r="E314" t="str">
        <f>IF($A314="","",INDEX('Product Master'!$N$7:$N$1000,MATCH($A314,'Product Master'!$A$7:$A$1000,0)))</f>
        <v/>
      </c>
      <c r="F314" t="str">
        <f>IF($A314="","",INDEX('Product Master'!$P$7:$P$1000,MATCH($A314,'Product Master'!$A$7:$A$1000,0)))</f>
        <v/>
      </c>
      <c r="I314" t="str">
        <f>IFERROR(INDEX('Product Master'!$A$7:$A$1000,_xlfn.AGGREGATE(15,6,(ROW('Product Master'!$A$7:$A$1000)-ROW('Product Master'!$A$7)+1)/(('Product Master'!$A$7:$A$1000&lt;&gt;"")*('Product Master'!$P$7:$P$1000="Out of Stock")),ROWS($I$12:I314))),"")</f>
        <v/>
      </c>
      <c r="J314" t="str">
        <f>IF($I314="","",INDEX('Product Master'!$B$7:$B$1000,MATCH($I314,'Product Master'!$A$7:$A$1000,0)))</f>
        <v/>
      </c>
      <c r="K314" t="str">
        <f>IF($I314="","",INDEX('Product Master'!$C$7:$C$1000,MATCH($I314,'Product Master'!$A$7:$A$1000,0)))</f>
        <v/>
      </c>
      <c r="L314" t="str">
        <f>IF($I314="","",INDEX('Product Master'!$M$7:$M$1000,MATCH($I314,'Product Master'!$A$7:$A$1000,0)))</f>
        <v/>
      </c>
      <c r="M314" t="str">
        <f>IF($I314="","",INDEX('Product Master'!$N$7:$N$1000,MATCH($I314,'Product Master'!$A$7:$A$1000,0)))</f>
        <v/>
      </c>
    </row>
    <row r="315" spans="1:13" x14ac:dyDescent="0.3">
      <c r="A315" t="str">
        <f>IFERROR(INDEX('Product Master'!$A$7:$A$1000,_xlfn.AGGREGATE(15,6,(ROW('Product Master'!$A$7:$A$1000)-ROW('Product Master'!$A$7)+1)/(('Product Master'!$A$7:$A$1000&lt;&gt;"")*('Product Master'!$P$7:$P$1000="Low Stock")),ROWS($A$12:A315))),"")</f>
        <v/>
      </c>
      <c r="B315" t="str">
        <f>IF($A315="","",INDEX('Product Master'!$B$7:$B$1000,MATCH($A315,'Product Master'!$A$7:$A$1000,0)))</f>
        <v/>
      </c>
      <c r="C315" t="str">
        <f>IF($A315="","",INDEX('Product Master'!$C$7:$C$1000,MATCH($A315,'Product Master'!$A$7:$A$1000,0)))</f>
        <v/>
      </c>
      <c r="D315" t="str">
        <f>IF($A315="","",INDEX('Product Master'!$M$7:$M$1000,MATCH($A315,'Product Master'!$A$7:$A$1000,0)))</f>
        <v/>
      </c>
      <c r="E315" t="str">
        <f>IF($A315="","",INDEX('Product Master'!$N$7:$N$1000,MATCH($A315,'Product Master'!$A$7:$A$1000,0)))</f>
        <v/>
      </c>
      <c r="F315" t="str">
        <f>IF($A315="","",INDEX('Product Master'!$P$7:$P$1000,MATCH($A315,'Product Master'!$A$7:$A$1000,0)))</f>
        <v/>
      </c>
      <c r="I315" t="str">
        <f>IFERROR(INDEX('Product Master'!$A$7:$A$1000,_xlfn.AGGREGATE(15,6,(ROW('Product Master'!$A$7:$A$1000)-ROW('Product Master'!$A$7)+1)/(('Product Master'!$A$7:$A$1000&lt;&gt;"")*('Product Master'!$P$7:$P$1000="Out of Stock")),ROWS($I$12:I315))),"")</f>
        <v/>
      </c>
      <c r="J315" t="str">
        <f>IF($I315="","",INDEX('Product Master'!$B$7:$B$1000,MATCH($I315,'Product Master'!$A$7:$A$1000,0)))</f>
        <v/>
      </c>
      <c r="K315" t="str">
        <f>IF($I315="","",INDEX('Product Master'!$C$7:$C$1000,MATCH($I315,'Product Master'!$A$7:$A$1000,0)))</f>
        <v/>
      </c>
      <c r="L315" t="str">
        <f>IF($I315="","",INDEX('Product Master'!$M$7:$M$1000,MATCH($I315,'Product Master'!$A$7:$A$1000,0)))</f>
        <v/>
      </c>
      <c r="M315" t="str">
        <f>IF($I315="","",INDEX('Product Master'!$N$7:$N$1000,MATCH($I315,'Product Master'!$A$7:$A$1000,0)))</f>
        <v/>
      </c>
    </row>
    <row r="316" spans="1:13" x14ac:dyDescent="0.3">
      <c r="A316" t="str">
        <f>IFERROR(INDEX('Product Master'!$A$7:$A$1000,_xlfn.AGGREGATE(15,6,(ROW('Product Master'!$A$7:$A$1000)-ROW('Product Master'!$A$7)+1)/(('Product Master'!$A$7:$A$1000&lt;&gt;"")*('Product Master'!$P$7:$P$1000="Low Stock")),ROWS($A$12:A316))),"")</f>
        <v/>
      </c>
      <c r="B316" t="str">
        <f>IF($A316="","",INDEX('Product Master'!$B$7:$B$1000,MATCH($A316,'Product Master'!$A$7:$A$1000,0)))</f>
        <v/>
      </c>
      <c r="C316" t="str">
        <f>IF($A316="","",INDEX('Product Master'!$C$7:$C$1000,MATCH($A316,'Product Master'!$A$7:$A$1000,0)))</f>
        <v/>
      </c>
      <c r="D316" t="str">
        <f>IF($A316="","",INDEX('Product Master'!$M$7:$M$1000,MATCH($A316,'Product Master'!$A$7:$A$1000,0)))</f>
        <v/>
      </c>
      <c r="E316" t="str">
        <f>IF($A316="","",INDEX('Product Master'!$N$7:$N$1000,MATCH($A316,'Product Master'!$A$7:$A$1000,0)))</f>
        <v/>
      </c>
      <c r="F316" t="str">
        <f>IF($A316="","",INDEX('Product Master'!$P$7:$P$1000,MATCH($A316,'Product Master'!$A$7:$A$1000,0)))</f>
        <v/>
      </c>
      <c r="I316" t="str">
        <f>IFERROR(INDEX('Product Master'!$A$7:$A$1000,_xlfn.AGGREGATE(15,6,(ROW('Product Master'!$A$7:$A$1000)-ROW('Product Master'!$A$7)+1)/(('Product Master'!$A$7:$A$1000&lt;&gt;"")*('Product Master'!$P$7:$P$1000="Out of Stock")),ROWS($I$12:I316))),"")</f>
        <v/>
      </c>
      <c r="J316" t="str">
        <f>IF($I316="","",INDEX('Product Master'!$B$7:$B$1000,MATCH($I316,'Product Master'!$A$7:$A$1000,0)))</f>
        <v/>
      </c>
      <c r="K316" t="str">
        <f>IF($I316="","",INDEX('Product Master'!$C$7:$C$1000,MATCH($I316,'Product Master'!$A$7:$A$1000,0)))</f>
        <v/>
      </c>
      <c r="L316" t="str">
        <f>IF($I316="","",INDEX('Product Master'!$M$7:$M$1000,MATCH($I316,'Product Master'!$A$7:$A$1000,0)))</f>
        <v/>
      </c>
      <c r="M316" t="str">
        <f>IF($I316="","",INDEX('Product Master'!$N$7:$N$1000,MATCH($I316,'Product Master'!$A$7:$A$1000,0)))</f>
        <v/>
      </c>
    </row>
    <row r="317" spans="1:13" x14ac:dyDescent="0.3">
      <c r="A317" t="str">
        <f>IFERROR(INDEX('Product Master'!$A$7:$A$1000,_xlfn.AGGREGATE(15,6,(ROW('Product Master'!$A$7:$A$1000)-ROW('Product Master'!$A$7)+1)/(('Product Master'!$A$7:$A$1000&lt;&gt;"")*('Product Master'!$P$7:$P$1000="Low Stock")),ROWS($A$12:A317))),"")</f>
        <v/>
      </c>
      <c r="B317" t="str">
        <f>IF($A317="","",INDEX('Product Master'!$B$7:$B$1000,MATCH($A317,'Product Master'!$A$7:$A$1000,0)))</f>
        <v/>
      </c>
      <c r="C317" t="str">
        <f>IF($A317="","",INDEX('Product Master'!$C$7:$C$1000,MATCH($A317,'Product Master'!$A$7:$A$1000,0)))</f>
        <v/>
      </c>
      <c r="D317" t="str">
        <f>IF($A317="","",INDEX('Product Master'!$M$7:$M$1000,MATCH($A317,'Product Master'!$A$7:$A$1000,0)))</f>
        <v/>
      </c>
      <c r="E317" t="str">
        <f>IF($A317="","",INDEX('Product Master'!$N$7:$N$1000,MATCH($A317,'Product Master'!$A$7:$A$1000,0)))</f>
        <v/>
      </c>
      <c r="F317" t="str">
        <f>IF($A317="","",INDEX('Product Master'!$P$7:$P$1000,MATCH($A317,'Product Master'!$A$7:$A$1000,0)))</f>
        <v/>
      </c>
      <c r="I317" t="str">
        <f>IFERROR(INDEX('Product Master'!$A$7:$A$1000,_xlfn.AGGREGATE(15,6,(ROW('Product Master'!$A$7:$A$1000)-ROW('Product Master'!$A$7)+1)/(('Product Master'!$A$7:$A$1000&lt;&gt;"")*('Product Master'!$P$7:$P$1000="Out of Stock")),ROWS($I$12:I317))),"")</f>
        <v/>
      </c>
      <c r="J317" t="str">
        <f>IF($I317="","",INDEX('Product Master'!$B$7:$B$1000,MATCH($I317,'Product Master'!$A$7:$A$1000,0)))</f>
        <v/>
      </c>
      <c r="K317" t="str">
        <f>IF($I317="","",INDEX('Product Master'!$C$7:$C$1000,MATCH($I317,'Product Master'!$A$7:$A$1000,0)))</f>
        <v/>
      </c>
      <c r="L317" t="str">
        <f>IF($I317="","",INDEX('Product Master'!$M$7:$M$1000,MATCH($I317,'Product Master'!$A$7:$A$1000,0)))</f>
        <v/>
      </c>
      <c r="M317" t="str">
        <f>IF($I317="","",INDEX('Product Master'!$N$7:$N$1000,MATCH($I317,'Product Master'!$A$7:$A$1000,0)))</f>
        <v/>
      </c>
    </row>
    <row r="318" spans="1:13" x14ac:dyDescent="0.3">
      <c r="A318" t="str">
        <f>IFERROR(INDEX('Product Master'!$A$7:$A$1000,_xlfn.AGGREGATE(15,6,(ROW('Product Master'!$A$7:$A$1000)-ROW('Product Master'!$A$7)+1)/(('Product Master'!$A$7:$A$1000&lt;&gt;"")*('Product Master'!$P$7:$P$1000="Low Stock")),ROWS($A$12:A318))),"")</f>
        <v/>
      </c>
      <c r="B318" t="str">
        <f>IF($A318="","",INDEX('Product Master'!$B$7:$B$1000,MATCH($A318,'Product Master'!$A$7:$A$1000,0)))</f>
        <v/>
      </c>
      <c r="C318" t="str">
        <f>IF($A318="","",INDEX('Product Master'!$C$7:$C$1000,MATCH($A318,'Product Master'!$A$7:$A$1000,0)))</f>
        <v/>
      </c>
      <c r="D318" t="str">
        <f>IF($A318="","",INDEX('Product Master'!$M$7:$M$1000,MATCH($A318,'Product Master'!$A$7:$A$1000,0)))</f>
        <v/>
      </c>
      <c r="E318" t="str">
        <f>IF($A318="","",INDEX('Product Master'!$N$7:$N$1000,MATCH($A318,'Product Master'!$A$7:$A$1000,0)))</f>
        <v/>
      </c>
      <c r="F318" t="str">
        <f>IF($A318="","",INDEX('Product Master'!$P$7:$P$1000,MATCH($A318,'Product Master'!$A$7:$A$1000,0)))</f>
        <v/>
      </c>
      <c r="I318" t="str">
        <f>IFERROR(INDEX('Product Master'!$A$7:$A$1000,_xlfn.AGGREGATE(15,6,(ROW('Product Master'!$A$7:$A$1000)-ROW('Product Master'!$A$7)+1)/(('Product Master'!$A$7:$A$1000&lt;&gt;"")*('Product Master'!$P$7:$P$1000="Out of Stock")),ROWS($I$12:I318))),"")</f>
        <v/>
      </c>
      <c r="J318" t="str">
        <f>IF($I318="","",INDEX('Product Master'!$B$7:$B$1000,MATCH($I318,'Product Master'!$A$7:$A$1000,0)))</f>
        <v/>
      </c>
      <c r="K318" t="str">
        <f>IF($I318="","",INDEX('Product Master'!$C$7:$C$1000,MATCH($I318,'Product Master'!$A$7:$A$1000,0)))</f>
        <v/>
      </c>
      <c r="L318" t="str">
        <f>IF($I318="","",INDEX('Product Master'!$M$7:$M$1000,MATCH($I318,'Product Master'!$A$7:$A$1000,0)))</f>
        <v/>
      </c>
      <c r="M318" t="str">
        <f>IF($I318="","",INDEX('Product Master'!$N$7:$N$1000,MATCH($I318,'Product Master'!$A$7:$A$1000,0)))</f>
        <v/>
      </c>
    </row>
    <row r="319" spans="1:13" x14ac:dyDescent="0.3">
      <c r="A319" t="str">
        <f>IFERROR(INDEX('Product Master'!$A$7:$A$1000,_xlfn.AGGREGATE(15,6,(ROW('Product Master'!$A$7:$A$1000)-ROW('Product Master'!$A$7)+1)/(('Product Master'!$A$7:$A$1000&lt;&gt;"")*('Product Master'!$P$7:$P$1000="Low Stock")),ROWS($A$12:A319))),"")</f>
        <v/>
      </c>
      <c r="B319" t="str">
        <f>IF($A319="","",INDEX('Product Master'!$B$7:$B$1000,MATCH($A319,'Product Master'!$A$7:$A$1000,0)))</f>
        <v/>
      </c>
      <c r="C319" t="str">
        <f>IF($A319="","",INDEX('Product Master'!$C$7:$C$1000,MATCH($A319,'Product Master'!$A$7:$A$1000,0)))</f>
        <v/>
      </c>
      <c r="D319" t="str">
        <f>IF($A319="","",INDEX('Product Master'!$M$7:$M$1000,MATCH($A319,'Product Master'!$A$7:$A$1000,0)))</f>
        <v/>
      </c>
      <c r="E319" t="str">
        <f>IF($A319="","",INDEX('Product Master'!$N$7:$N$1000,MATCH($A319,'Product Master'!$A$7:$A$1000,0)))</f>
        <v/>
      </c>
      <c r="F319" t="str">
        <f>IF($A319="","",INDEX('Product Master'!$P$7:$P$1000,MATCH($A319,'Product Master'!$A$7:$A$1000,0)))</f>
        <v/>
      </c>
      <c r="I319" t="str">
        <f>IFERROR(INDEX('Product Master'!$A$7:$A$1000,_xlfn.AGGREGATE(15,6,(ROW('Product Master'!$A$7:$A$1000)-ROW('Product Master'!$A$7)+1)/(('Product Master'!$A$7:$A$1000&lt;&gt;"")*('Product Master'!$P$7:$P$1000="Out of Stock")),ROWS($I$12:I319))),"")</f>
        <v/>
      </c>
      <c r="J319" t="str">
        <f>IF($I319="","",INDEX('Product Master'!$B$7:$B$1000,MATCH($I319,'Product Master'!$A$7:$A$1000,0)))</f>
        <v/>
      </c>
      <c r="K319" t="str">
        <f>IF($I319="","",INDEX('Product Master'!$C$7:$C$1000,MATCH($I319,'Product Master'!$A$7:$A$1000,0)))</f>
        <v/>
      </c>
      <c r="L319" t="str">
        <f>IF($I319="","",INDEX('Product Master'!$M$7:$M$1000,MATCH($I319,'Product Master'!$A$7:$A$1000,0)))</f>
        <v/>
      </c>
      <c r="M319" t="str">
        <f>IF($I319="","",INDEX('Product Master'!$N$7:$N$1000,MATCH($I319,'Product Master'!$A$7:$A$1000,0)))</f>
        <v/>
      </c>
    </row>
    <row r="320" spans="1:13" x14ac:dyDescent="0.3">
      <c r="A320" t="str">
        <f>IFERROR(INDEX('Product Master'!$A$7:$A$1000,_xlfn.AGGREGATE(15,6,(ROW('Product Master'!$A$7:$A$1000)-ROW('Product Master'!$A$7)+1)/(('Product Master'!$A$7:$A$1000&lt;&gt;"")*('Product Master'!$P$7:$P$1000="Low Stock")),ROWS($A$12:A320))),"")</f>
        <v/>
      </c>
      <c r="B320" t="str">
        <f>IF($A320="","",INDEX('Product Master'!$B$7:$B$1000,MATCH($A320,'Product Master'!$A$7:$A$1000,0)))</f>
        <v/>
      </c>
      <c r="C320" t="str">
        <f>IF($A320="","",INDEX('Product Master'!$C$7:$C$1000,MATCH($A320,'Product Master'!$A$7:$A$1000,0)))</f>
        <v/>
      </c>
      <c r="D320" t="str">
        <f>IF($A320="","",INDEX('Product Master'!$M$7:$M$1000,MATCH($A320,'Product Master'!$A$7:$A$1000,0)))</f>
        <v/>
      </c>
      <c r="E320" t="str">
        <f>IF($A320="","",INDEX('Product Master'!$N$7:$N$1000,MATCH($A320,'Product Master'!$A$7:$A$1000,0)))</f>
        <v/>
      </c>
      <c r="F320" t="str">
        <f>IF($A320="","",INDEX('Product Master'!$P$7:$P$1000,MATCH($A320,'Product Master'!$A$7:$A$1000,0)))</f>
        <v/>
      </c>
      <c r="I320" t="str">
        <f>IFERROR(INDEX('Product Master'!$A$7:$A$1000,_xlfn.AGGREGATE(15,6,(ROW('Product Master'!$A$7:$A$1000)-ROW('Product Master'!$A$7)+1)/(('Product Master'!$A$7:$A$1000&lt;&gt;"")*('Product Master'!$P$7:$P$1000="Out of Stock")),ROWS($I$12:I320))),"")</f>
        <v/>
      </c>
      <c r="J320" t="str">
        <f>IF($I320="","",INDEX('Product Master'!$B$7:$B$1000,MATCH($I320,'Product Master'!$A$7:$A$1000,0)))</f>
        <v/>
      </c>
      <c r="K320" t="str">
        <f>IF($I320="","",INDEX('Product Master'!$C$7:$C$1000,MATCH($I320,'Product Master'!$A$7:$A$1000,0)))</f>
        <v/>
      </c>
      <c r="L320" t="str">
        <f>IF($I320="","",INDEX('Product Master'!$M$7:$M$1000,MATCH($I320,'Product Master'!$A$7:$A$1000,0)))</f>
        <v/>
      </c>
      <c r="M320" t="str">
        <f>IF($I320="","",INDEX('Product Master'!$N$7:$N$1000,MATCH($I320,'Product Master'!$A$7:$A$1000,0)))</f>
        <v/>
      </c>
    </row>
    <row r="321" spans="1:13" x14ac:dyDescent="0.3">
      <c r="A321" t="str">
        <f>IFERROR(INDEX('Product Master'!$A$7:$A$1000,_xlfn.AGGREGATE(15,6,(ROW('Product Master'!$A$7:$A$1000)-ROW('Product Master'!$A$7)+1)/(('Product Master'!$A$7:$A$1000&lt;&gt;"")*('Product Master'!$P$7:$P$1000="Low Stock")),ROWS($A$12:A321))),"")</f>
        <v/>
      </c>
      <c r="B321" t="str">
        <f>IF($A321="","",INDEX('Product Master'!$B$7:$B$1000,MATCH($A321,'Product Master'!$A$7:$A$1000,0)))</f>
        <v/>
      </c>
      <c r="C321" t="str">
        <f>IF($A321="","",INDEX('Product Master'!$C$7:$C$1000,MATCH($A321,'Product Master'!$A$7:$A$1000,0)))</f>
        <v/>
      </c>
      <c r="D321" t="str">
        <f>IF($A321="","",INDEX('Product Master'!$M$7:$M$1000,MATCH($A321,'Product Master'!$A$7:$A$1000,0)))</f>
        <v/>
      </c>
      <c r="E321" t="str">
        <f>IF($A321="","",INDEX('Product Master'!$N$7:$N$1000,MATCH($A321,'Product Master'!$A$7:$A$1000,0)))</f>
        <v/>
      </c>
      <c r="F321" t="str">
        <f>IF($A321="","",INDEX('Product Master'!$P$7:$P$1000,MATCH($A321,'Product Master'!$A$7:$A$1000,0)))</f>
        <v/>
      </c>
      <c r="I321" t="str">
        <f>IFERROR(INDEX('Product Master'!$A$7:$A$1000,_xlfn.AGGREGATE(15,6,(ROW('Product Master'!$A$7:$A$1000)-ROW('Product Master'!$A$7)+1)/(('Product Master'!$A$7:$A$1000&lt;&gt;"")*('Product Master'!$P$7:$P$1000="Out of Stock")),ROWS($I$12:I321))),"")</f>
        <v/>
      </c>
      <c r="J321" t="str">
        <f>IF($I321="","",INDEX('Product Master'!$B$7:$B$1000,MATCH($I321,'Product Master'!$A$7:$A$1000,0)))</f>
        <v/>
      </c>
      <c r="K321" t="str">
        <f>IF($I321="","",INDEX('Product Master'!$C$7:$C$1000,MATCH($I321,'Product Master'!$A$7:$A$1000,0)))</f>
        <v/>
      </c>
      <c r="L321" t="str">
        <f>IF($I321="","",INDEX('Product Master'!$M$7:$M$1000,MATCH($I321,'Product Master'!$A$7:$A$1000,0)))</f>
        <v/>
      </c>
      <c r="M321" t="str">
        <f>IF($I321="","",INDEX('Product Master'!$N$7:$N$1000,MATCH($I321,'Product Master'!$A$7:$A$1000,0)))</f>
        <v/>
      </c>
    </row>
    <row r="322" spans="1:13" x14ac:dyDescent="0.3">
      <c r="A322" t="str">
        <f>IFERROR(INDEX('Product Master'!$A$7:$A$1000,_xlfn.AGGREGATE(15,6,(ROW('Product Master'!$A$7:$A$1000)-ROW('Product Master'!$A$7)+1)/(('Product Master'!$A$7:$A$1000&lt;&gt;"")*('Product Master'!$P$7:$P$1000="Low Stock")),ROWS($A$12:A322))),"")</f>
        <v/>
      </c>
      <c r="B322" t="str">
        <f>IF($A322="","",INDEX('Product Master'!$B$7:$B$1000,MATCH($A322,'Product Master'!$A$7:$A$1000,0)))</f>
        <v/>
      </c>
      <c r="C322" t="str">
        <f>IF($A322="","",INDEX('Product Master'!$C$7:$C$1000,MATCH($A322,'Product Master'!$A$7:$A$1000,0)))</f>
        <v/>
      </c>
      <c r="D322" t="str">
        <f>IF($A322="","",INDEX('Product Master'!$M$7:$M$1000,MATCH($A322,'Product Master'!$A$7:$A$1000,0)))</f>
        <v/>
      </c>
      <c r="E322" t="str">
        <f>IF($A322="","",INDEX('Product Master'!$N$7:$N$1000,MATCH($A322,'Product Master'!$A$7:$A$1000,0)))</f>
        <v/>
      </c>
      <c r="F322" t="str">
        <f>IF($A322="","",INDEX('Product Master'!$P$7:$P$1000,MATCH($A322,'Product Master'!$A$7:$A$1000,0)))</f>
        <v/>
      </c>
      <c r="I322" t="str">
        <f>IFERROR(INDEX('Product Master'!$A$7:$A$1000,_xlfn.AGGREGATE(15,6,(ROW('Product Master'!$A$7:$A$1000)-ROW('Product Master'!$A$7)+1)/(('Product Master'!$A$7:$A$1000&lt;&gt;"")*('Product Master'!$P$7:$P$1000="Out of Stock")),ROWS($I$12:I322))),"")</f>
        <v/>
      </c>
      <c r="J322" t="str">
        <f>IF($I322="","",INDEX('Product Master'!$B$7:$B$1000,MATCH($I322,'Product Master'!$A$7:$A$1000,0)))</f>
        <v/>
      </c>
      <c r="K322" t="str">
        <f>IF($I322="","",INDEX('Product Master'!$C$7:$C$1000,MATCH($I322,'Product Master'!$A$7:$A$1000,0)))</f>
        <v/>
      </c>
      <c r="L322" t="str">
        <f>IF($I322="","",INDEX('Product Master'!$M$7:$M$1000,MATCH($I322,'Product Master'!$A$7:$A$1000,0)))</f>
        <v/>
      </c>
      <c r="M322" t="str">
        <f>IF($I322="","",INDEX('Product Master'!$N$7:$N$1000,MATCH($I322,'Product Master'!$A$7:$A$1000,0)))</f>
        <v/>
      </c>
    </row>
    <row r="323" spans="1:13" x14ac:dyDescent="0.3">
      <c r="A323" t="str">
        <f>IFERROR(INDEX('Product Master'!$A$7:$A$1000,_xlfn.AGGREGATE(15,6,(ROW('Product Master'!$A$7:$A$1000)-ROW('Product Master'!$A$7)+1)/(('Product Master'!$A$7:$A$1000&lt;&gt;"")*('Product Master'!$P$7:$P$1000="Low Stock")),ROWS($A$12:A323))),"")</f>
        <v/>
      </c>
      <c r="B323" t="str">
        <f>IF($A323="","",INDEX('Product Master'!$B$7:$B$1000,MATCH($A323,'Product Master'!$A$7:$A$1000,0)))</f>
        <v/>
      </c>
      <c r="C323" t="str">
        <f>IF($A323="","",INDEX('Product Master'!$C$7:$C$1000,MATCH($A323,'Product Master'!$A$7:$A$1000,0)))</f>
        <v/>
      </c>
      <c r="D323" t="str">
        <f>IF($A323="","",INDEX('Product Master'!$M$7:$M$1000,MATCH($A323,'Product Master'!$A$7:$A$1000,0)))</f>
        <v/>
      </c>
      <c r="E323" t="str">
        <f>IF($A323="","",INDEX('Product Master'!$N$7:$N$1000,MATCH($A323,'Product Master'!$A$7:$A$1000,0)))</f>
        <v/>
      </c>
      <c r="F323" t="str">
        <f>IF($A323="","",INDEX('Product Master'!$P$7:$P$1000,MATCH($A323,'Product Master'!$A$7:$A$1000,0)))</f>
        <v/>
      </c>
      <c r="I323" t="str">
        <f>IFERROR(INDEX('Product Master'!$A$7:$A$1000,_xlfn.AGGREGATE(15,6,(ROW('Product Master'!$A$7:$A$1000)-ROW('Product Master'!$A$7)+1)/(('Product Master'!$A$7:$A$1000&lt;&gt;"")*('Product Master'!$P$7:$P$1000="Out of Stock")),ROWS($I$12:I323))),"")</f>
        <v/>
      </c>
      <c r="J323" t="str">
        <f>IF($I323="","",INDEX('Product Master'!$B$7:$B$1000,MATCH($I323,'Product Master'!$A$7:$A$1000,0)))</f>
        <v/>
      </c>
      <c r="K323" t="str">
        <f>IF($I323="","",INDEX('Product Master'!$C$7:$C$1000,MATCH($I323,'Product Master'!$A$7:$A$1000,0)))</f>
        <v/>
      </c>
      <c r="L323" t="str">
        <f>IF($I323="","",INDEX('Product Master'!$M$7:$M$1000,MATCH($I323,'Product Master'!$A$7:$A$1000,0)))</f>
        <v/>
      </c>
      <c r="M323" t="str">
        <f>IF($I323="","",INDEX('Product Master'!$N$7:$N$1000,MATCH($I323,'Product Master'!$A$7:$A$1000,0)))</f>
        <v/>
      </c>
    </row>
    <row r="324" spans="1:13" x14ac:dyDescent="0.3">
      <c r="A324" t="str">
        <f>IFERROR(INDEX('Product Master'!$A$7:$A$1000,_xlfn.AGGREGATE(15,6,(ROW('Product Master'!$A$7:$A$1000)-ROW('Product Master'!$A$7)+1)/(('Product Master'!$A$7:$A$1000&lt;&gt;"")*('Product Master'!$P$7:$P$1000="Low Stock")),ROWS($A$12:A324))),"")</f>
        <v/>
      </c>
      <c r="B324" t="str">
        <f>IF($A324="","",INDEX('Product Master'!$B$7:$B$1000,MATCH($A324,'Product Master'!$A$7:$A$1000,0)))</f>
        <v/>
      </c>
      <c r="C324" t="str">
        <f>IF($A324="","",INDEX('Product Master'!$C$7:$C$1000,MATCH($A324,'Product Master'!$A$7:$A$1000,0)))</f>
        <v/>
      </c>
      <c r="D324" t="str">
        <f>IF($A324="","",INDEX('Product Master'!$M$7:$M$1000,MATCH($A324,'Product Master'!$A$7:$A$1000,0)))</f>
        <v/>
      </c>
      <c r="E324" t="str">
        <f>IF($A324="","",INDEX('Product Master'!$N$7:$N$1000,MATCH($A324,'Product Master'!$A$7:$A$1000,0)))</f>
        <v/>
      </c>
      <c r="F324" t="str">
        <f>IF($A324="","",INDEX('Product Master'!$P$7:$P$1000,MATCH($A324,'Product Master'!$A$7:$A$1000,0)))</f>
        <v/>
      </c>
      <c r="I324" t="str">
        <f>IFERROR(INDEX('Product Master'!$A$7:$A$1000,_xlfn.AGGREGATE(15,6,(ROW('Product Master'!$A$7:$A$1000)-ROW('Product Master'!$A$7)+1)/(('Product Master'!$A$7:$A$1000&lt;&gt;"")*('Product Master'!$P$7:$P$1000="Out of Stock")),ROWS($I$12:I324))),"")</f>
        <v/>
      </c>
      <c r="J324" t="str">
        <f>IF($I324="","",INDEX('Product Master'!$B$7:$B$1000,MATCH($I324,'Product Master'!$A$7:$A$1000,0)))</f>
        <v/>
      </c>
      <c r="K324" t="str">
        <f>IF($I324="","",INDEX('Product Master'!$C$7:$C$1000,MATCH($I324,'Product Master'!$A$7:$A$1000,0)))</f>
        <v/>
      </c>
      <c r="L324" t="str">
        <f>IF($I324="","",INDEX('Product Master'!$M$7:$M$1000,MATCH($I324,'Product Master'!$A$7:$A$1000,0)))</f>
        <v/>
      </c>
      <c r="M324" t="str">
        <f>IF($I324="","",INDEX('Product Master'!$N$7:$N$1000,MATCH($I324,'Product Master'!$A$7:$A$1000,0)))</f>
        <v/>
      </c>
    </row>
    <row r="325" spans="1:13" x14ac:dyDescent="0.3">
      <c r="A325" t="str">
        <f>IFERROR(INDEX('Product Master'!$A$7:$A$1000,_xlfn.AGGREGATE(15,6,(ROW('Product Master'!$A$7:$A$1000)-ROW('Product Master'!$A$7)+1)/(('Product Master'!$A$7:$A$1000&lt;&gt;"")*('Product Master'!$P$7:$P$1000="Low Stock")),ROWS($A$12:A325))),"")</f>
        <v/>
      </c>
      <c r="B325" t="str">
        <f>IF($A325="","",INDEX('Product Master'!$B$7:$B$1000,MATCH($A325,'Product Master'!$A$7:$A$1000,0)))</f>
        <v/>
      </c>
      <c r="C325" t="str">
        <f>IF($A325="","",INDEX('Product Master'!$C$7:$C$1000,MATCH($A325,'Product Master'!$A$7:$A$1000,0)))</f>
        <v/>
      </c>
      <c r="D325" t="str">
        <f>IF($A325="","",INDEX('Product Master'!$M$7:$M$1000,MATCH($A325,'Product Master'!$A$7:$A$1000,0)))</f>
        <v/>
      </c>
      <c r="E325" t="str">
        <f>IF($A325="","",INDEX('Product Master'!$N$7:$N$1000,MATCH($A325,'Product Master'!$A$7:$A$1000,0)))</f>
        <v/>
      </c>
      <c r="F325" t="str">
        <f>IF($A325="","",INDEX('Product Master'!$P$7:$P$1000,MATCH($A325,'Product Master'!$A$7:$A$1000,0)))</f>
        <v/>
      </c>
      <c r="I325" t="str">
        <f>IFERROR(INDEX('Product Master'!$A$7:$A$1000,_xlfn.AGGREGATE(15,6,(ROW('Product Master'!$A$7:$A$1000)-ROW('Product Master'!$A$7)+1)/(('Product Master'!$A$7:$A$1000&lt;&gt;"")*('Product Master'!$P$7:$P$1000="Out of Stock")),ROWS($I$12:I325))),"")</f>
        <v/>
      </c>
      <c r="J325" t="str">
        <f>IF($I325="","",INDEX('Product Master'!$B$7:$B$1000,MATCH($I325,'Product Master'!$A$7:$A$1000,0)))</f>
        <v/>
      </c>
      <c r="K325" t="str">
        <f>IF($I325="","",INDEX('Product Master'!$C$7:$C$1000,MATCH($I325,'Product Master'!$A$7:$A$1000,0)))</f>
        <v/>
      </c>
      <c r="L325" t="str">
        <f>IF($I325="","",INDEX('Product Master'!$M$7:$M$1000,MATCH($I325,'Product Master'!$A$7:$A$1000,0)))</f>
        <v/>
      </c>
      <c r="M325" t="str">
        <f>IF($I325="","",INDEX('Product Master'!$N$7:$N$1000,MATCH($I325,'Product Master'!$A$7:$A$1000,0)))</f>
        <v/>
      </c>
    </row>
    <row r="326" spans="1:13" x14ac:dyDescent="0.3">
      <c r="A326" t="str">
        <f>IFERROR(INDEX('Product Master'!$A$7:$A$1000,_xlfn.AGGREGATE(15,6,(ROW('Product Master'!$A$7:$A$1000)-ROW('Product Master'!$A$7)+1)/(('Product Master'!$A$7:$A$1000&lt;&gt;"")*('Product Master'!$P$7:$P$1000="Low Stock")),ROWS($A$12:A326))),"")</f>
        <v/>
      </c>
      <c r="B326" t="str">
        <f>IF($A326="","",INDEX('Product Master'!$B$7:$B$1000,MATCH($A326,'Product Master'!$A$7:$A$1000,0)))</f>
        <v/>
      </c>
      <c r="C326" t="str">
        <f>IF($A326="","",INDEX('Product Master'!$C$7:$C$1000,MATCH($A326,'Product Master'!$A$7:$A$1000,0)))</f>
        <v/>
      </c>
      <c r="D326" t="str">
        <f>IF($A326="","",INDEX('Product Master'!$M$7:$M$1000,MATCH($A326,'Product Master'!$A$7:$A$1000,0)))</f>
        <v/>
      </c>
      <c r="E326" t="str">
        <f>IF($A326="","",INDEX('Product Master'!$N$7:$N$1000,MATCH($A326,'Product Master'!$A$7:$A$1000,0)))</f>
        <v/>
      </c>
      <c r="F326" t="str">
        <f>IF($A326="","",INDEX('Product Master'!$P$7:$P$1000,MATCH($A326,'Product Master'!$A$7:$A$1000,0)))</f>
        <v/>
      </c>
      <c r="I326" t="str">
        <f>IFERROR(INDEX('Product Master'!$A$7:$A$1000,_xlfn.AGGREGATE(15,6,(ROW('Product Master'!$A$7:$A$1000)-ROW('Product Master'!$A$7)+1)/(('Product Master'!$A$7:$A$1000&lt;&gt;"")*('Product Master'!$P$7:$P$1000="Out of Stock")),ROWS($I$12:I326))),"")</f>
        <v/>
      </c>
      <c r="J326" t="str">
        <f>IF($I326="","",INDEX('Product Master'!$B$7:$B$1000,MATCH($I326,'Product Master'!$A$7:$A$1000,0)))</f>
        <v/>
      </c>
      <c r="K326" t="str">
        <f>IF($I326="","",INDEX('Product Master'!$C$7:$C$1000,MATCH($I326,'Product Master'!$A$7:$A$1000,0)))</f>
        <v/>
      </c>
      <c r="L326" t="str">
        <f>IF($I326="","",INDEX('Product Master'!$M$7:$M$1000,MATCH($I326,'Product Master'!$A$7:$A$1000,0)))</f>
        <v/>
      </c>
      <c r="M326" t="str">
        <f>IF($I326="","",INDEX('Product Master'!$N$7:$N$1000,MATCH($I326,'Product Master'!$A$7:$A$1000,0)))</f>
        <v/>
      </c>
    </row>
    <row r="327" spans="1:13" x14ac:dyDescent="0.3">
      <c r="A327" t="str">
        <f>IFERROR(INDEX('Product Master'!$A$7:$A$1000,_xlfn.AGGREGATE(15,6,(ROW('Product Master'!$A$7:$A$1000)-ROW('Product Master'!$A$7)+1)/(('Product Master'!$A$7:$A$1000&lt;&gt;"")*('Product Master'!$P$7:$P$1000="Low Stock")),ROWS($A$12:A327))),"")</f>
        <v/>
      </c>
      <c r="B327" t="str">
        <f>IF($A327="","",INDEX('Product Master'!$B$7:$B$1000,MATCH($A327,'Product Master'!$A$7:$A$1000,0)))</f>
        <v/>
      </c>
      <c r="C327" t="str">
        <f>IF($A327="","",INDEX('Product Master'!$C$7:$C$1000,MATCH($A327,'Product Master'!$A$7:$A$1000,0)))</f>
        <v/>
      </c>
      <c r="D327" t="str">
        <f>IF($A327="","",INDEX('Product Master'!$M$7:$M$1000,MATCH($A327,'Product Master'!$A$7:$A$1000,0)))</f>
        <v/>
      </c>
      <c r="E327" t="str">
        <f>IF($A327="","",INDEX('Product Master'!$N$7:$N$1000,MATCH($A327,'Product Master'!$A$7:$A$1000,0)))</f>
        <v/>
      </c>
      <c r="F327" t="str">
        <f>IF($A327="","",INDEX('Product Master'!$P$7:$P$1000,MATCH($A327,'Product Master'!$A$7:$A$1000,0)))</f>
        <v/>
      </c>
      <c r="I327" t="str">
        <f>IFERROR(INDEX('Product Master'!$A$7:$A$1000,_xlfn.AGGREGATE(15,6,(ROW('Product Master'!$A$7:$A$1000)-ROW('Product Master'!$A$7)+1)/(('Product Master'!$A$7:$A$1000&lt;&gt;"")*('Product Master'!$P$7:$P$1000="Out of Stock")),ROWS($I$12:I327))),"")</f>
        <v/>
      </c>
      <c r="J327" t="str">
        <f>IF($I327="","",INDEX('Product Master'!$B$7:$B$1000,MATCH($I327,'Product Master'!$A$7:$A$1000,0)))</f>
        <v/>
      </c>
      <c r="K327" t="str">
        <f>IF($I327="","",INDEX('Product Master'!$C$7:$C$1000,MATCH($I327,'Product Master'!$A$7:$A$1000,0)))</f>
        <v/>
      </c>
      <c r="L327" t="str">
        <f>IF($I327="","",INDEX('Product Master'!$M$7:$M$1000,MATCH($I327,'Product Master'!$A$7:$A$1000,0)))</f>
        <v/>
      </c>
      <c r="M327" t="str">
        <f>IF($I327="","",INDEX('Product Master'!$N$7:$N$1000,MATCH($I327,'Product Master'!$A$7:$A$1000,0)))</f>
        <v/>
      </c>
    </row>
    <row r="328" spans="1:13" x14ac:dyDescent="0.3">
      <c r="A328" t="str">
        <f>IFERROR(INDEX('Product Master'!$A$7:$A$1000,_xlfn.AGGREGATE(15,6,(ROW('Product Master'!$A$7:$A$1000)-ROW('Product Master'!$A$7)+1)/(('Product Master'!$A$7:$A$1000&lt;&gt;"")*('Product Master'!$P$7:$P$1000="Low Stock")),ROWS($A$12:A328))),"")</f>
        <v/>
      </c>
      <c r="B328" t="str">
        <f>IF($A328="","",INDEX('Product Master'!$B$7:$B$1000,MATCH($A328,'Product Master'!$A$7:$A$1000,0)))</f>
        <v/>
      </c>
      <c r="C328" t="str">
        <f>IF($A328="","",INDEX('Product Master'!$C$7:$C$1000,MATCH($A328,'Product Master'!$A$7:$A$1000,0)))</f>
        <v/>
      </c>
      <c r="D328" t="str">
        <f>IF($A328="","",INDEX('Product Master'!$M$7:$M$1000,MATCH($A328,'Product Master'!$A$7:$A$1000,0)))</f>
        <v/>
      </c>
      <c r="E328" t="str">
        <f>IF($A328="","",INDEX('Product Master'!$N$7:$N$1000,MATCH($A328,'Product Master'!$A$7:$A$1000,0)))</f>
        <v/>
      </c>
      <c r="F328" t="str">
        <f>IF($A328="","",INDEX('Product Master'!$P$7:$P$1000,MATCH($A328,'Product Master'!$A$7:$A$1000,0)))</f>
        <v/>
      </c>
      <c r="I328" t="str">
        <f>IFERROR(INDEX('Product Master'!$A$7:$A$1000,_xlfn.AGGREGATE(15,6,(ROW('Product Master'!$A$7:$A$1000)-ROW('Product Master'!$A$7)+1)/(('Product Master'!$A$7:$A$1000&lt;&gt;"")*('Product Master'!$P$7:$P$1000="Out of Stock")),ROWS($I$12:I328))),"")</f>
        <v/>
      </c>
      <c r="J328" t="str">
        <f>IF($I328="","",INDEX('Product Master'!$B$7:$B$1000,MATCH($I328,'Product Master'!$A$7:$A$1000,0)))</f>
        <v/>
      </c>
      <c r="K328" t="str">
        <f>IF($I328="","",INDEX('Product Master'!$C$7:$C$1000,MATCH($I328,'Product Master'!$A$7:$A$1000,0)))</f>
        <v/>
      </c>
      <c r="L328" t="str">
        <f>IF($I328="","",INDEX('Product Master'!$M$7:$M$1000,MATCH($I328,'Product Master'!$A$7:$A$1000,0)))</f>
        <v/>
      </c>
      <c r="M328" t="str">
        <f>IF($I328="","",INDEX('Product Master'!$N$7:$N$1000,MATCH($I328,'Product Master'!$A$7:$A$1000,0)))</f>
        <v/>
      </c>
    </row>
    <row r="329" spans="1:13" x14ac:dyDescent="0.3">
      <c r="A329" t="str">
        <f>IFERROR(INDEX('Product Master'!$A$7:$A$1000,_xlfn.AGGREGATE(15,6,(ROW('Product Master'!$A$7:$A$1000)-ROW('Product Master'!$A$7)+1)/(('Product Master'!$A$7:$A$1000&lt;&gt;"")*('Product Master'!$P$7:$P$1000="Low Stock")),ROWS($A$12:A329))),"")</f>
        <v/>
      </c>
      <c r="B329" t="str">
        <f>IF($A329="","",INDEX('Product Master'!$B$7:$B$1000,MATCH($A329,'Product Master'!$A$7:$A$1000,0)))</f>
        <v/>
      </c>
      <c r="C329" t="str">
        <f>IF($A329="","",INDEX('Product Master'!$C$7:$C$1000,MATCH($A329,'Product Master'!$A$7:$A$1000,0)))</f>
        <v/>
      </c>
      <c r="D329" t="str">
        <f>IF($A329="","",INDEX('Product Master'!$M$7:$M$1000,MATCH($A329,'Product Master'!$A$7:$A$1000,0)))</f>
        <v/>
      </c>
      <c r="E329" t="str">
        <f>IF($A329="","",INDEX('Product Master'!$N$7:$N$1000,MATCH($A329,'Product Master'!$A$7:$A$1000,0)))</f>
        <v/>
      </c>
      <c r="F329" t="str">
        <f>IF($A329="","",INDEX('Product Master'!$P$7:$P$1000,MATCH($A329,'Product Master'!$A$7:$A$1000,0)))</f>
        <v/>
      </c>
      <c r="I329" t="str">
        <f>IFERROR(INDEX('Product Master'!$A$7:$A$1000,_xlfn.AGGREGATE(15,6,(ROW('Product Master'!$A$7:$A$1000)-ROW('Product Master'!$A$7)+1)/(('Product Master'!$A$7:$A$1000&lt;&gt;"")*('Product Master'!$P$7:$P$1000="Out of Stock")),ROWS($I$12:I329))),"")</f>
        <v/>
      </c>
      <c r="J329" t="str">
        <f>IF($I329="","",INDEX('Product Master'!$B$7:$B$1000,MATCH($I329,'Product Master'!$A$7:$A$1000,0)))</f>
        <v/>
      </c>
      <c r="K329" t="str">
        <f>IF($I329="","",INDEX('Product Master'!$C$7:$C$1000,MATCH($I329,'Product Master'!$A$7:$A$1000,0)))</f>
        <v/>
      </c>
      <c r="L329" t="str">
        <f>IF($I329="","",INDEX('Product Master'!$M$7:$M$1000,MATCH($I329,'Product Master'!$A$7:$A$1000,0)))</f>
        <v/>
      </c>
      <c r="M329" t="str">
        <f>IF($I329="","",INDEX('Product Master'!$N$7:$N$1000,MATCH($I329,'Product Master'!$A$7:$A$1000,0)))</f>
        <v/>
      </c>
    </row>
    <row r="330" spans="1:13" x14ac:dyDescent="0.3">
      <c r="A330" t="str">
        <f>IFERROR(INDEX('Product Master'!$A$7:$A$1000,_xlfn.AGGREGATE(15,6,(ROW('Product Master'!$A$7:$A$1000)-ROW('Product Master'!$A$7)+1)/(('Product Master'!$A$7:$A$1000&lt;&gt;"")*('Product Master'!$P$7:$P$1000="Low Stock")),ROWS($A$12:A330))),"")</f>
        <v/>
      </c>
      <c r="B330" t="str">
        <f>IF($A330="","",INDEX('Product Master'!$B$7:$B$1000,MATCH($A330,'Product Master'!$A$7:$A$1000,0)))</f>
        <v/>
      </c>
      <c r="C330" t="str">
        <f>IF($A330="","",INDEX('Product Master'!$C$7:$C$1000,MATCH($A330,'Product Master'!$A$7:$A$1000,0)))</f>
        <v/>
      </c>
      <c r="D330" t="str">
        <f>IF($A330="","",INDEX('Product Master'!$M$7:$M$1000,MATCH($A330,'Product Master'!$A$7:$A$1000,0)))</f>
        <v/>
      </c>
      <c r="E330" t="str">
        <f>IF($A330="","",INDEX('Product Master'!$N$7:$N$1000,MATCH($A330,'Product Master'!$A$7:$A$1000,0)))</f>
        <v/>
      </c>
      <c r="F330" t="str">
        <f>IF($A330="","",INDEX('Product Master'!$P$7:$P$1000,MATCH($A330,'Product Master'!$A$7:$A$1000,0)))</f>
        <v/>
      </c>
      <c r="I330" t="str">
        <f>IFERROR(INDEX('Product Master'!$A$7:$A$1000,_xlfn.AGGREGATE(15,6,(ROW('Product Master'!$A$7:$A$1000)-ROW('Product Master'!$A$7)+1)/(('Product Master'!$A$7:$A$1000&lt;&gt;"")*('Product Master'!$P$7:$P$1000="Out of Stock")),ROWS($I$12:I330))),"")</f>
        <v/>
      </c>
      <c r="J330" t="str">
        <f>IF($I330="","",INDEX('Product Master'!$B$7:$B$1000,MATCH($I330,'Product Master'!$A$7:$A$1000,0)))</f>
        <v/>
      </c>
      <c r="K330" t="str">
        <f>IF($I330="","",INDEX('Product Master'!$C$7:$C$1000,MATCH($I330,'Product Master'!$A$7:$A$1000,0)))</f>
        <v/>
      </c>
      <c r="L330" t="str">
        <f>IF($I330="","",INDEX('Product Master'!$M$7:$M$1000,MATCH($I330,'Product Master'!$A$7:$A$1000,0)))</f>
        <v/>
      </c>
      <c r="M330" t="str">
        <f>IF($I330="","",INDEX('Product Master'!$N$7:$N$1000,MATCH($I330,'Product Master'!$A$7:$A$1000,0)))</f>
        <v/>
      </c>
    </row>
    <row r="331" spans="1:13" x14ac:dyDescent="0.3">
      <c r="A331" t="str">
        <f>IFERROR(INDEX('Product Master'!$A$7:$A$1000,_xlfn.AGGREGATE(15,6,(ROW('Product Master'!$A$7:$A$1000)-ROW('Product Master'!$A$7)+1)/(('Product Master'!$A$7:$A$1000&lt;&gt;"")*('Product Master'!$P$7:$P$1000="Low Stock")),ROWS($A$12:A331))),"")</f>
        <v/>
      </c>
      <c r="B331" t="str">
        <f>IF($A331="","",INDEX('Product Master'!$B$7:$B$1000,MATCH($A331,'Product Master'!$A$7:$A$1000,0)))</f>
        <v/>
      </c>
      <c r="C331" t="str">
        <f>IF($A331="","",INDEX('Product Master'!$C$7:$C$1000,MATCH($A331,'Product Master'!$A$7:$A$1000,0)))</f>
        <v/>
      </c>
      <c r="D331" t="str">
        <f>IF($A331="","",INDEX('Product Master'!$M$7:$M$1000,MATCH($A331,'Product Master'!$A$7:$A$1000,0)))</f>
        <v/>
      </c>
      <c r="E331" t="str">
        <f>IF($A331="","",INDEX('Product Master'!$N$7:$N$1000,MATCH($A331,'Product Master'!$A$7:$A$1000,0)))</f>
        <v/>
      </c>
      <c r="F331" t="str">
        <f>IF($A331="","",INDEX('Product Master'!$P$7:$P$1000,MATCH($A331,'Product Master'!$A$7:$A$1000,0)))</f>
        <v/>
      </c>
      <c r="I331" t="str">
        <f>IFERROR(INDEX('Product Master'!$A$7:$A$1000,_xlfn.AGGREGATE(15,6,(ROW('Product Master'!$A$7:$A$1000)-ROW('Product Master'!$A$7)+1)/(('Product Master'!$A$7:$A$1000&lt;&gt;"")*('Product Master'!$P$7:$P$1000="Out of Stock")),ROWS($I$12:I331))),"")</f>
        <v/>
      </c>
      <c r="J331" t="str">
        <f>IF($I331="","",INDEX('Product Master'!$B$7:$B$1000,MATCH($I331,'Product Master'!$A$7:$A$1000,0)))</f>
        <v/>
      </c>
      <c r="K331" t="str">
        <f>IF($I331="","",INDEX('Product Master'!$C$7:$C$1000,MATCH($I331,'Product Master'!$A$7:$A$1000,0)))</f>
        <v/>
      </c>
      <c r="L331" t="str">
        <f>IF($I331="","",INDEX('Product Master'!$M$7:$M$1000,MATCH($I331,'Product Master'!$A$7:$A$1000,0)))</f>
        <v/>
      </c>
      <c r="M331" t="str">
        <f>IF($I331="","",INDEX('Product Master'!$N$7:$N$1000,MATCH($I331,'Product Master'!$A$7:$A$1000,0)))</f>
        <v/>
      </c>
    </row>
    <row r="332" spans="1:13" x14ac:dyDescent="0.3">
      <c r="A332" t="str">
        <f>IFERROR(INDEX('Product Master'!$A$7:$A$1000,_xlfn.AGGREGATE(15,6,(ROW('Product Master'!$A$7:$A$1000)-ROW('Product Master'!$A$7)+1)/(('Product Master'!$A$7:$A$1000&lt;&gt;"")*('Product Master'!$P$7:$P$1000="Low Stock")),ROWS($A$12:A332))),"")</f>
        <v/>
      </c>
      <c r="B332" t="str">
        <f>IF($A332="","",INDEX('Product Master'!$B$7:$B$1000,MATCH($A332,'Product Master'!$A$7:$A$1000,0)))</f>
        <v/>
      </c>
      <c r="C332" t="str">
        <f>IF($A332="","",INDEX('Product Master'!$C$7:$C$1000,MATCH($A332,'Product Master'!$A$7:$A$1000,0)))</f>
        <v/>
      </c>
      <c r="D332" t="str">
        <f>IF($A332="","",INDEX('Product Master'!$M$7:$M$1000,MATCH($A332,'Product Master'!$A$7:$A$1000,0)))</f>
        <v/>
      </c>
      <c r="E332" t="str">
        <f>IF($A332="","",INDEX('Product Master'!$N$7:$N$1000,MATCH($A332,'Product Master'!$A$7:$A$1000,0)))</f>
        <v/>
      </c>
      <c r="F332" t="str">
        <f>IF($A332="","",INDEX('Product Master'!$P$7:$P$1000,MATCH($A332,'Product Master'!$A$7:$A$1000,0)))</f>
        <v/>
      </c>
      <c r="I332" t="str">
        <f>IFERROR(INDEX('Product Master'!$A$7:$A$1000,_xlfn.AGGREGATE(15,6,(ROW('Product Master'!$A$7:$A$1000)-ROW('Product Master'!$A$7)+1)/(('Product Master'!$A$7:$A$1000&lt;&gt;"")*('Product Master'!$P$7:$P$1000="Out of Stock")),ROWS($I$12:I332))),"")</f>
        <v/>
      </c>
      <c r="J332" t="str">
        <f>IF($I332="","",INDEX('Product Master'!$B$7:$B$1000,MATCH($I332,'Product Master'!$A$7:$A$1000,0)))</f>
        <v/>
      </c>
      <c r="K332" t="str">
        <f>IF($I332="","",INDEX('Product Master'!$C$7:$C$1000,MATCH($I332,'Product Master'!$A$7:$A$1000,0)))</f>
        <v/>
      </c>
      <c r="L332" t="str">
        <f>IF($I332="","",INDEX('Product Master'!$M$7:$M$1000,MATCH($I332,'Product Master'!$A$7:$A$1000,0)))</f>
        <v/>
      </c>
      <c r="M332" t="str">
        <f>IF($I332="","",INDEX('Product Master'!$N$7:$N$1000,MATCH($I332,'Product Master'!$A$7:$A$1000,0)))</f>
        <v/>
      </c>
    </row>
    <row r="333" spans="1:13" x14ac:dyDescent="0.3">
      <c r="A333" t="str">
        <f>IFERROR(INDEX('Product Master'!$A$7:$A$1000,_xlfn.AGGREGATE(15,6,(ROW('Product Master'!$A$7:$A$1000)-ROW('Product Master'!$A$7)+1)/(('Product Master'!$A$7:$A$1000&lt;&gt;"")*('Product Master'!$P$7:$P$1000="Low Stock")),ROWS($A$12:A333))),"")</f>
        <v/>
      </c>
      <c r="B333" t="str">
        <f>IF($A333="","",INDEX('Product Master'!$B$7:$B$1000,MATCH($A333,'Product Master'!$A$7:$A$1000,0)))</f>
        <v/>
      </c>
      <c r="C333" t="str">
        <f>IF($A333="","",INDEX('Product Master'!$C$7:$C$1000,MATCH($A333,'Product Master'!$A$7:$A$1000,0)))</f>
        <v/>
      </c>
      <c r="D333" t="str">
        <f>IF($A333="","",INDEX('Product Master'!$M$7:$M$1000,MATCH($A333,'Product Master'!$A$7:$A$1000,0)))</f>
        <v/>
      </c>
      <c r="E333" t="str">
        <f>IF($A333="","",INDEX('Product Master'!$N$7:$N$1000,MATCH($A333,'Product Master'!$A$7:$A$1000,0)))</f>
        <v/>
      </c>
      <c r="F333" t="str">
        <f>IF($A333="","",INDEX('Product Master'!$P$7:$P$1000,MATCH($A333,'Product Master'!$A$7:$A$1000,0)))</f>
        <v/>
      </c>
      <c r="I333" t="str">
        <f>IFERROR(INDEX('Product Master'!$A$7:$A$1000,_xlfn.AGGREGATE(15,6,(ROW('Product Master'!$A$7:$A$1000)-ROW('Product Master'!$A$7)+1)/(('Product Master'!$A$7:$A$1000&lt;&gt;"")*('Product Master'!$P$7:$P$1000="Out of Stock")),ROWS($I$12:I333))),"")</f>
        <v/>
      </c>
      <c r="J333" t="str">
        <f>IF($I333="","",INDEX('Product Master'!$B$7:$B$1000,MATCH($I333,'Product Master'!$A$7:$A$1000,0)))</f>
        <v/>
      </c>
      <c r="K333" t="str">
        <f>IF($I333="","",INDEX('Product Master'!$C$7:$C$1000,MATCH($I333,'Product Master'!$A$7:$A$1000,0)))</f>
        <v/>
      </c>
      <c r="L333" t="str">
        <f>IF($I333="","",INDEX('Product Master'!$M$7:$M$1000,MATCH($I333,'Product Master'!$A$7:$A$1000,0)))</f>
        <v/>
      </c>
      <c r="M333" t="str">
        <f>IF($I333="","",INDEX('Product Master'!$N$7:$N$1000,MATCH($I333,'Product Master'!$A$7:$A$1000,0)))</f>
        <v/>
      </c>
    </row>
    <row r="334" spans="1:13" x14ac:dyDescent="0.3">
      <c r="A334" t="str">
        <f>IFERROR(INDEX('Product Master'!$A$7:$A$1000,_xlfn.AGGREGATE(15,6,(ROW('Product Master'!$A$7:$A$1000)-ROW('Product Master'!$A$7)+1)/(('Product Master'!$A$7:$A$1000&lt;&gt;"")*('Product Master'!$P$7:$P$1000="Low Stock")),ROWS($A$12:A334))),"")</f>
        <v/>
      </c>
      <c r="B334" t="str">
        <f>IF($A334="","",INDEX('Product Master'!$B$7:$B$1000,MATCH($A334,'Product Master'!$A$7:$A$1000,0)))</f>
        <v/>
      </c>
      <c r="C334" t="str">
        <f>IF($A334="","",INDEX('Product Master'!$C$7:$C$1000,MATCH($A334,'Product Master'!$A$7:$A$1000,0)))</f>
        <v/>
      </c>
      <c r="D334" t="str">
        <f>IF($A334="","",INDEX('Product Master'!$M$7:$M$1000,MATCH($A334,'Product Master'!$A$7:$A$1000,0)))</f>
        <v/>
      </c>
      <c r="E334" t="str">
        <f>IF($A334="","",INDEX('Product Master'!$N$7:$N$1000,MATCH($A334,'Product Master'!$A$7:$A$1000,0)))</f>
        <v/>
      </c>
      <c r="F334" t="str">
        <f>IF($A334="","",INDEX('Product Master'!$P$7:$P$1000,MATCH($A334,'Product Master'!$A$7:$A$1000,0)))</f>
        <v/>
      </c>
      <c r="I334" t="str">
        <f>IFERROR(INDEX('Product Master'!$A$7:$A$1000,_xlfn.AGGREGATE(15,6,(ROW('Product Master'!$A$7:$A$1000)-ROW('Product Master'!$A$7)+1)/(('Product Master'!$A$7:$A$1000&lt;&gt;"")*('Product Master'!$P$7:$P$1000="Out of Stock")),ROWS($I$12:I334))),"")</f>
        <v/>
      </c>
      <c r="J334" t="str">
        <f>IF($I334="","",INDEX('Product Master'!$B$7:$B$1000,MATCH($I334,'Product Master'!$A$7:$A$1000,0)))</f>
        <v/>
      </c>
      <c r="K334" t="str">
        <f>IF($I334="","",INDEX('Product Master'!$C$7:$C$1000,MATCH($I334,'Product Master'!$A$7:$A$1000,0)))</f>
        <v/>
      </c>
      <c r="L334" t="str">
        <f>IF($I334="","",INDEX('Product Master'!$M$7:$M$1000,MATCH($I334,'Product Master'!$A$7:$A$1000,0)))</f>
        <v/>
      </c>
      <c r="M334" t="str">
        <f>IF($I334="","",INDEX('Product Master'!$N$7:$N$1000,MATCH($I334,'Product Master'!$A$7:$A$1000,0)))</f>
        <v/>
      </c>
    </row>
    <row r="335" spans="1:13" x14ac:dyDescent="0.3">
      <c r="A335" t="str">
        <f>IFERROR(INDEX('Product Master'!$A$7:$A$1000,_xlfn.AGGREGATE(15,6,(ROW('Product Master'!$A$7:$A$1000)-ROW('Product Master'!$A$7)+1)/(('Product Master'!$A$7:$A$1000&lt;&gt;"")*('Product Master'!$P$7:$P$1000="Low Stock")),ROWS($A$12:A335))),"")</f>
        <v/>
      </c>
      <c r="B335" t="str">
        <f>IF($A335="","",INDEX('Product Master'!$B$7:$B$1000,MATCH($A335,'Product Master'!$A$7:$A$1000,0)))</f>
        <v/>
      </c>
      <c r="C335" t="str">
        <f>IF($A335="","",INDEX('Product Master'!$C$7:$C$1000,MATCH($A335,'Product Master'!$A$7:$A$1000,0)))</f>
        <v/>
      </c>
      <c r="D335" t="str">
        <f>IF($A335="","",INDEX('Product Master'!$M$7:$M$1000,MATCH($A335,'Product Master'!$A$7:$A$1000,0)))</f>
        <v/>
      </c>
      <c r="E335" t="str">
        <f>IF($A335="","",INDEX('Product Master'!$N$7:$N$1000,MATCH($A335,'Product Master'!$A$7:$A$1000,0)))</f>
        <v/>
      </c>
      <c r="F335" t="str">
        <f>IF($A335="","",INDEX('Product Master'!$P$7:$P$1000,MATCH($A335,'Product Master'!$A$7:$A$1000,0)))</f>
        <v/>
      </c>
      <c r="I335" t="str">
        <f>IFERROR(INDEX('Product Master'!$A$7:$A$1000,_xlfn.AGGREGATE(15,6,(ROW('Product Master'!$A$7:$A$1000)-ROW('Product Master'!$A$7)+1)/(('Product Master'!$A$7:$A$1000&lt;&gt;"")*('Product Master'!$P$7:$P$1000="Out of Stock")),ROWS($I$12:I335))),"")</f>
        <v/>
      </c>
      <c r="J335" t="str">
        <f>IF($I335="","",INDEX('Product Master'!$B$7:$B$1000,MATCH($I335,'Product Master'!$A$7:$A$1000,0)))</f>
        <v/>
      </c>
      <c r="K335" t="str">
        <f>IF($I335="","",INDEX('Product Master'!$C$7:$C$1000,MATCH($I335,'Product Master'!$A$7:$A$1000,0)))</f>
        <v/>
      </c>
      <c r="L335" t="str">
        <f>IF($I335="","",INDEX('Product Master'!$M$7:$M$1000,MATCH($I335,'Product Master'!$A$7:$A$1000,0)))</f>
        <v/>
      </c>
      <c r="M335" t="str">
        <f>IF($I335="","",INDEX('Product Master'!$N$7:$N$1000,MATCH($I335,'Product Master'!$A$7:$A$1000,0)))</f>
        <v/>
      </c>
    </row>
    <row r="336" spans="1:13" x14ac:dyDescent="0.3">
      <c r="A336" t="str">
        <f>IFERROR(INDEX('Product Master'!$A$7:$A$1000,_xlfn.AGGREGATE(15,6,(ROW('Product Master'!$A$7:$A$1000)-ROW('Product Master'!$A$7)+1)/(('Product Master'!$A$7:$A$1000&lt;&gt;"")*('Product Master'!$P$7:$P$1000="Low Stock")),ROWS($A$12:A336))),"")</f>
        <v/>
      </c>
      <c r="B336" t="str">
        <f>IF($A336="","",INDEX('Product Master'!$B$7:$B$1000,MATCH($A336,'Product Master'!$A$7:$A$1000,0)))</f>
        <v/>
      </c>
      <c r="C336" t="str">
        <f>IF($A336="","",INDEX('Product Master'!$C$7:$C$1000,MATCH($A336,'Product Master'!$A$7:$A$1000,0)))</f>
        <v/>
      </c>
      <c r="D336" t="str">
        <f>IF($A336="","",INDEX('Product Master'!$M$7:$M$1000,MATCH($A336,'Product Master'!$A$7:$A$1000,0)))</f>
        <v/>
      </c>
      <c r="E336" t="str">
        <f>IF($A336="","",INDEX('Product Master'!$N$7:$N$1000,MATCH($A336,'Product Master'!$A$7:$A$1000,0)))</f>
        <v/>
      </c>
      <c r="F336" t="str">
        <f>IF($A336="","",INDEX('Product Master'!$P$7:$P$1000,MATCH($A336,'Product Master'!$A$7:$A$1000,0)))</f>
        <v/>
      </c>
      <c r="I336" t="str">
        <f>IFERROR(INDEX('Product Master'!$A$7:$A$1000,_xlfn.AGGREGATE(15,6,(ROW('Product Master'!$A$7:$A$1000)-ROW('Product Master'!$A$7)+1)/(('Product Master'!$A$7:$A$1000&lt;&gt;"")*('Product Master'!$P$7:$P$1000="Out of Stock")),ROWS($I$12:I336))),"")</f>
        <v/>
      </c>
      <c r="J336" t="str">
        <f>IF($I336="","",INDEX('Product Master'!$B$7:$B$1000,MATCH($I336,'Product Master'!$A$7:$A$1000,0)))</f>
        <v/>
      </c>
      <c r="K336" t="str">
        <f>IF($I336="","",INDEX('Product Master'!$C$7:$C$1000,MATCH($I336,'Product Master'!$A$7:$A$1000,0)))</f>
        <v/>
      </c>
      <c r="L336" t="str">
        <f>IF($I336="","",INDEX('Product Master'!$M$7:$M$1000,MATCH($I336,'Product Master'!$A$7:$A$1000,0)))</f>
        <v/>
      </c>
      <c r="M336" t="str">
        <f>IF($I336="","",INDEX('Product Master'!$N$7:$N$1000,MATCH($I336,'Product Master'!$A$7:$A$1000,0)))</f>
        <v/>
      </c>
    </row>
    <row r="337" spans="1:13" x14ac:dyDescent="0.3">
      <c r="A337" t="str">
        <f>IFERROR(INDEX('Product Master'!$A$7:$A$1000,_xlfn.AGGREGATE(15,6,(ROW('Product Master'!$A$7:$A$1000)-ROW('Product Master'!$A$7)+1)/(('Product Master'!$A$7:$A$1000&lt;&gt;"")*('Product Master'!$P$7:$P$1000="Low Stock")),ROWS($A$12:A337))),"")</f>
        <v/>
      </c>
      <c r="B337" t="str">
        <f>IF($A337="","",INDEX('Product Master'!$B$7:$B$1000,MATCH($A337,'Product Master'!$A$7:$A$1000,0)))</f>
        <v/>
      </c>
      <c r="C337" t="str">
        <f>IF($A337="","",INDEX('Product Master'!$C$7:$C$1000,MATCH($A337,'Product Master'!$A$7:$A$1000,0)))</f>
        <v/>
      </c>
      <c r="D337" t="str">
        <f>IF($A337="","",INDEX('Product Master'!$M$7:$M$1000,MATCH($A337,'Product Master'!$A$7:$A$1000,0)))</f>
        <v/>
      </c>
      <c r="E337" t="str">
        <f>IF($A337="","",INDEX('Product Master'!$N$7:$N$1000,MATCH($A337,'Product Master'!$A$7:$A$1000,0)))</f>
        <v/>
      </c>
      <c r="F337" t="str">
        <f>IF($A337="","",INDEX('Product Master'!$P$7:$P$1000,MATCH($A337,'Product Master'!$A$7:$A$1000,0)))</f>
        <v/>
      </c>
      <c r="I337" t="str">
        <f>IFERROR(INDEX('Product Master'!$A$7:$A$1000,_xlfn.AGGREGATE(15,6,(ROW('Product Master'!$A$7:$A$1000)-ROW('Product Master'!$A$7)+1)/(('Product Master'!$A$7:$A$1000&lt;&gt;"")*('Product Master'!$P$7:$P$1000="Out of Stock")),ROWS($I$12:I337))),"")</f>
        <v/>
      </c>
      <c r="J337" t="str">
        <f>IF($I337="","",INDEX('Product Master'!$B$7:$B$1000,MATCH($I337,'Product Master'!$A$7:$A$1000,0)))</f>
        <v/>
      </c>
      <c r="K337" t="str">
        <f>IF($I337="","",INDEX('Product Master'!$C$7:$C$1000,MATCH($I337,'Product Master'!$A$7:$A$1000,0)))</f>
        <v/>
      </c>
      <c r="L337" t="str">
        <f>IF($I337="","",INDEX('Product Master'!$M$7:$M$1000,MATCH($I337,'Product Master'!$A$7:$A$1000,0)))</f>
        <v/>
      </c>
      <c r="M337" t="str">
        <f>IF($I337="","",INDEX('Product Master'!$N$7:$N$1000,MATCH($I337,'Product Master'!$A$7:$A$1000,0)))</f>
        <v/>
      </c>
    </row>
    <row r="338" spans="1:13" x14ac:dyDescent="0.3">
      <c r="A338" t="str">
        <f>IFERROR(INDEX('Product Master'!$A$7:$A$1000,_xlfn.AGGREGATE(15,6,(ROW('Product Master'!$A$7:$A$1000)-ROW('Product Master'!$A$7)+1)/(('Product Master'!$A$7:$A$1000&lt;&gt;"")*('Product Master'!$P$7:$P$1000="Low Stock")),ROWS($A$12:A338))),"")</f>
        <v/>
      </c>
      <c r="B338" t="str">
        <f>IF($A338="","",INDEX('Product Master'!$B$7:$B$1000,MATCH($A338,'Product Master'!$A$7:$A$1000,0)))</f>
        <v/>
      </c>
      <c r="C338" t="str">
        <f>IF($A338="","",INDEX('Product Master'!$C$7:$C$1000,MATCH($A338,'Product Master'!$A$7:$A$1000,0)))</f>
        <v/>
      </c>
      <c r="D338" t="str">
        <f>IF($A338="","",INDEX('Product Master'!$M$7:$M$1000,MATCH($A338,'Product Master'!$A$7:$A$1000,0)))</f>
        <v/>
      </c>
      <c r="E338" t="str">
        <f>IF($A338="","",INDEX('Product Master'!$N$7:$N$1000,MATCH($A338,'Product Master'!$A$7:$A$1000,0)))</f>
        <v/>
      </c>
      <c r="F338" t="str">
        <f>IF($A338="","",INDEX('Product Master'!$P$7:$P$1000,MATCH($A338,'Product Master'!$A$7:$A$1000,0)))</f>
        <v/>
      </c>
      <c r="I338" t="str">
        <f>IFERROR(INDEX('Product Master'!$A$7:$A$1000,_xlfn.AGGREGATE(15,6,(ROW('Product Master'!$A$7:$A$1000)-ROW('Product Master'!$A$7)+1)/(('Product Master'!$A$7:$A$1000&lt;&gt;"")*('Product Master'!$P$7:$P$1000="Out of Stock")),ROWS($I$12:I338))),"")</f>
        <v/>
      </c>
      <c r="J338" t="str">
        <f>IF($I338="","",INDEX('Product Master'!$B$7:$B$1000,MATCH($I338,'Product Master'!$A$7:$A$1000,0)))</f>
        <v/>
      </c>
      <c r="K338" t="str">
        <f>IF($I338="","",INDEX('Product Master'!$C$7:$C$1000,MATCH($I338,'Product Master'!$A$7:$A$1000,0)))</f>
        <v/>
      </c>
      <c r="L338" t="str">
        <f>IF($I338="","",INDEX('Product Master'!$M$7:$M$1000,MATCH($I338,'Product Master'!$A$7:$A$1000,0)))</f>
        <v/>
      </c>
      <c r="M338" t="str">
        <f>IF($I338="","",INDEX('Product Master'!$N$7:$N$1000,MATCH($I338,'Product Master'!$A$7:$A$1000,0)))</f>
        <v/>
      </c>
    </row>
    <row r="339" spans="1:13" x14ac:dyDescent="0.3">
      <c r="A339" t="str">
        <f>IFERROR(INDEX('Product Master'!$A$7:$A$1000,_xlfn.AGGREGATE(15,6,(ROW('Product Master'!$A$7:$A$1000)-ROW('Product Master'!$A$7)+1)/(('Product Master'!$A$7:$A$1000&lt;&gt;"")*('Product Master'!$P$7:$P$1000="Low Stock")),ROWS($A$12:A339))),"")</f>
        <v/>
      </c>
      <c r="B339" t="str">
        <f>IF($A339="","",INDEX('Product Master'!$B$7:$B$1000,MATCH($A339,'Product Master'!$A$7:$A$1000,0)))</f>
        <v/>
      </c>
      <c r="C339" t="str">
        <f>IF($A339="","",INDEX('Product Master'!$C$7:$C$1000,MATCH($A339,'Product Master'!$A$7:$A$1000,0)))</f>
        <v/>
      </c>
      <c r="D339" t="str">
        <f>IF($A339="","",INDEX('Product Master'!$M$7:$M$1000,MATCH($A339,'Product Master'!$A$7:$A$1000,0)))</f>
        <v/>
      </c>
      <c r="E339" t="str">
        <f>IF($A339="","",INDEX('Product Master'!$N$7:$N$1000,MATCH($A339,'Product Master'!$A$7:$A$1000,0)))</f>
        <v/>
      </c>
      <c r="F339" t="str">
        <f>IF($A339="","",INDEX('Product Master'!$P$7:$P$1000,MATCH($A339,'Product Master'!$A$7:$A$1000,0)))</f>
        <v/>
      </c>
      <c r="I339" t="str">
        <f>IFERROR(INDEX('Product Master'!$A$7:$A$1000,_xlfn.AGGREGATE(15,6,(ROW('Product Master'!$A$7:$A$1000)-ROW('Product Master'!$A$7)+1)/(('Product Master'!$A$7:$A$1000&lt;&gt;"")*('Product Master'!$P$7:$P$1000="Out of Stock")),ROWS($I$12:I339))),"")</f>
        <v/>
      </c>
      <c r="J339" t="str">
        <f>IF($I339="","",INDEX('Product Master'!$B$7:$B$1000,MATCH($I339,'Product Master'!$A$7:$A$1000,0)))</f>
        <v/>
      </c>
      <c r="K339" t="str">
        <f>IF($I339="","",INDEX('Product Master'!$C$7:$C$1000,MATCH($I339,'Product Master'!$A$7:$A$1000,0)))</f>
        <v/>
      </c>
      <c r="L339" t="str">
        <f>IF($I339="","",INDEX('Product Master'!$M$7:$M$1000,MATCH($I339,'Product Master'!$A$7:$A$1000,0)))</f>
        <v/>
      </c>
      <c r="M339" t="str">
        <f>IF($I339="","",INDEX('Product Master'!$N$7:$N$1000,MATCH($I339,'Product Master'!$A$7:$A$1000,0)))</f>
        <v/>
      </c>
    </row>
    <row r="340" spans="1:13" x14ac:dyDescent="0.3">
      <c r="A340" t="str">
        <f>IFERROR(INDEX('Product Master'!$A$7:$A$1000,_xlfn.AGGREGATE(15,6,(ROW('Product Master'!$A$7:$A$1000)-ROW('Product Master'!$A$7)+1)/(('Product Master'!$A$7:$A$1000&lt;&gt;"")*('Product Master'!$P$7:$P$1000="Low Stock")),ROWS($A$12:A340))),"")</f>
        <v/>
      </c>
      <c r="B340" t="str">
        <f>IF($A340="","",INDEX('Product Master'!$B$7:$B$1000,MATCH($A340,'Product Master'!$A$7:$A$1000,0)))</f>
        <v/>
      </c>
      <c r="C340" t="str">
        <f>IF($A340="","",INDEX('Product Master'!$C$7:$C$1000,MATCH($A340,'Product Master'!$A$7:$A$1000,0)))</f>
        <v/>
      </c>
      <c r="D340" t="str">
        <f>IF($A340="","",INDEX('Product Master'!$M$7:$M$1000,MATCH($A340,'Product Master'!$A$7:$A$1000,0)))</f>
        <v/>
      </c>
      <c r="E340" t="str">
        <f>IF($A340="","",INDEX('Product Master'!$N$7:$N$1000,MATCH($A340,'Product Master'!$A$7:$A$1000,0)))</f>
        <v/>
      </c>
      <c r="F340" t="str">
        <f>IF($A340="","",INDEX('Product Master'!$P$7:$P$1000,MATCH($A340,'Product Master'!$A$7:$A$1000,0)))</f>
        <v/>
      </c>
      <c r="I340" t="str">
        <f>IFERROR(INDEX('Product Master'!$A$7:$A$1000,_xlfn.AGGREGATE(15,6,(ROW('Product Master'!$A$7:$A$1000)-ROW('Product Master'!$A$7)+1)/(('Product Master'!$A$7:$A$1000&lt;&gt;"")*('Product Master'!$P$7:$P$1000="Out of Stock")),ROWS($I$12:I340))),"")</f>
        <v/>
      </c>
      <c r="J340" t="str">
        <f>IF($I340="","",INDEX('Product Master'!$B$7:$B$1000,MATCH($I340,'Product Master'!$A$7:$A$1000,0)))</f>
        <v/>
      </c>
      <c r="K340" t="str">
        <f>IF($I340="","",INDEX('Product Master'!$C$7:$C$1000,MATCH($I340,'Product Master'!$A$7:$A$1000,0)))</f>
        <v/>
      </c>
      <c r="L340" t="str">
        <f>IF($I340="","",INDEX('Product Master'!$M$7:$M$1000,MATCH($I340,'Product Master'!$A$7:$A$1000,0)))</f>
        <v/>
      </c>
      <c r="M340" t="str">
        <f>IF($I340="","",INDEX('Product Master'!$N$7:$N$1000,MATCH($I340,'Product Master'!$A$7:$A$1000,0)))</f>
        <v/>
      </c>
    </row>
    <row r="341" spans="1:13" x14ac:dyDescent="0.3">
      <c r="A341" t="str">
        <f>IFERROR(INDEX('Product Master'!$A$7:$A$1000,_xlfn.AGGREGATE(15,6,(ROW('Product Master'!$A$7:$A$1000)-ROW('Product Master'!$A$7)+1)/(('Product Master'!$A$7:$A$1000&lt;&gt;"")*('Product Master'!$P$7:$P$1000="Low Stock")),ROWS($A$12:A341))),"")</f>
        <v/>
      </c>
      <c r="B341" t="str">
        <f>IF($A341="","",INDEX('Product Master'!$B$7:$B$1000,MATCH($A341,'Product Master'!$A$7:$A$1000,0)))</f>
        <v/>
      </c>
      <c r="C341" t="str">
        <f>IF($A341="","",INDEX('Product Master'!$C$7:$C$1000,MATCH($A341,'Product Master'!$A$7:$A$1000,0)))</f>
        <v/>
      </c>
      <c r="D341" t="str">
        <f>IF($A341="","",INDEX('Product Master'!$M$7:$M$1000,MATCH($A341,'Product Master'!$A$7:$A$1000,0)))</f>
        <v/>
      </c>
      <c r="E341" t="str">
        <f>IF($A341="","",INDEX('Product Master'!$N$7:$N$1000,MATCH($A341,'Product Master'!$A$7:$A$1000,0)))</f>
        <v/>
      </c>
      <c r="F341" t="str">
        <f>IF($A341="","",INDEX('Product Master'!$P$7:$P$1000,MATCH($A341,'Product Master'!$A$7:$A$1000,0)))</f>
        <v/>
      </c>
      <c r="I341" t="str">
        <f>IFERROR(INDEX('Product Master'!$A$7:$A$1000,_xlfn.AGGREGATE(15,6,(ROW('Product Master'!$A$7:$A$1000)-ROW('Product Master'!$A$7)+1)/(('Product Master'!$A$7:$A$1000&lt;&gt;"")*('Product Master'!$P$7:$P$1000="Out of Stock")),ROWS($I$12:I341))),"")</f>
        <v/>
      </c>
      <c r="J341" t="str">
        <f>IF($I341="","",INDEX('Product Master'!$B$7:$B$1000,MATCH($I341,'Product Master'!$A$7:$A$1000,0)))</f>
        <v/>
      </c>
      <c r="K341" t="str">
        <f>IF($I341="","",INDEX('Product Master'!$C$7:$C$1000,MATCH($I341,'Product Master'!$A$7:$A$1000,0)))</f>
        <v/>
      </c>
      <c r="L341" t="str">
        <f>IF($I341="","",INDEX('Product Master'!$M$7:$M$1000,MATCH($I341,'Product Master'!$A$7:$A$1000,0)))</f>
        <v/>
      </c>
      <c r="M341" t="str">
        <f>IF($I341="","",INDEX('Product Master'!$N$7:$N$1000,MATCH($I341,'Product Master'!$A$7:$A$1000,0)))</f>
        <v/>
      </c>
    </row>
    <row r="342" spans="1:13" x14ac:dyDescent="0.3">
      <c r="A342" t="str">
        <f>IFERROR(INDEX('Product Master'!$A$7:$A$1000,_xlfn.AGGREGATE(15,6,(ROW('Product Master'!$A$7:$A$1000)-ROW('Product Master'!$A$7)+1)/(('Product Master'!$A$7:$A$1000&lt;&gt;"")*('Product Master'!$P$7:$P$1000="Low Stock")),ROWS($A$12:A342))),"")</f>
        <v/>
      </c>
      <c r="B342" t="str">
        <f>IF($A342="","",INDEX('Product Master'!$B$7:$B$1000,MATCH($A342,'Product Master'!$A$7:$A$1000,0)))</f>
        <v/>
      </c>
      <c r="C342" t="str">
        <f>IF($A342="","",INDEX('Product Master'!$C$7:$C$1000,MATCH($A342,'Product Master'!$A$7:$A$1000,0)))</f>
        <v/>
      </c>
      <c r="D342" t="str">
        <f>IF($A342="","",INDEX('Product Master'!$M$7:$M$1000,MATCH($A342,'Product Master'!$A$7:$A$1000,0)))</f>
        <v/>
      </c>
      <c r="E342" t="str">
        <f>IF($A342="","",INDEX('Product Master'!$N$7:$N$1000,MATCH($A342,'Product Master'!$A$7:$A$1000,0)))</f>
        <v/>
      </c>
      <c r="F342" t="str">
        <f>IF($A342="","",INDEX('Product Master'!$P$7:$P$1000,MATCH($A342,'Product Master'!$A$7:$A$1000,0)))</f>
        <v/>
      </c>
      <c r="I342" t="str">
        <f>IFERROR(INDEX('Product Master'!$A$7:$A$1000,_xlfn.AGGREGATE(15,6,(ROW('Product Master'!$A$7:$A$1000)-ROW('Product Master'!$A$7)+1)/(('Product Master'!$A$7:$A$1000&lt;&gt;"")*('Product Master'!$P$7:$P$1000="Out of Stock")),ROWS($I$12:I342))),"")</f>
        <v/>
      </c>
      <c r="J342" t="str">
        <f>IF($I342="","",INDEX('Product Master'!$B$7:$B$1000,MATCH($I342,'Product Master'!$A$7:$A$1000,0)))</f>
        <v/>
      </c>
      <c r="K342" t="str">
        <f>IF($I342="","",INDEX('Product Master'!$C$7:$C$1000,MATCH($I342,'Product Master'!$A$7:$A$1000,0)))</f>
        <v/>
      </c>
      <c r="L342" t="str">
        <f>IF($I342="","",INDEX('Product Master'!$M$7:$M$1000,MATCH($I342,'Product Master'!$A$7:$A$1000,0)))</f>
        <v/>
      </c>
      <c r="M342" t="str">
        <f>IF($I342="","",INDEX('Product Master'!$N$7:$N$1000,MATCH($I342,'Product Master'!$A$7:$A$1000,0)))</f>
        <v/>
      </c>
    </row>
    <row r="343" spans="1:13" x14ac:dyDescent="0.3">
      <c r="A343" t="str">
        <f>IFERROR(INDEX('Product Master'!$A$7:$A$1000,_xlfn.AGGREGATE(15,6,(ROW('Product Master'!$A$7:$A$1000)-ROW('Product Master'!$A$7)+1)/(('Product Master'!$A$7:$A$1000&lt;&gt;"")*('Product Master'!$P$7:$P$1000="Low Stock")),ROWS($A$12:A343))),"")</f>
        <v/>
      </c>
      <c r="B343" t="str">
        <f>IF($A343="","",INDEX('Product Master'!$B$7:$B$1000,MATCH($A343,'Product Master'!$A$7:$A$1000,0)))</f>
        <v/>
      </c>
      <c r="C343" t="str">
        <f>IF($A343="","",INDEX('Product Master'!$C$7:$C$1000,MATCH($A343,'Product Master'!$A$7:$A$1000,0)))</f>
        <v/>
      </c>
      <c r="D343" t="str">
        <f>IF($A343="","",INDEX('Product Master'!$M$7:$M$1000,MATCH($A343,'Product Master'!$A$7:$A$1000,0)))</f>
        <v/>
      </c>
      <c r="E343" t="str">
        <f>IF($A343="","",INDEX('Product Master'!$N$7:$N$1000,MATCH($A343,'Product Master'!$A$7:$A$1000,0)))</f>
        <v/>
      </c>
      <c r="F343" t="str">
        <f>IF($A343="","",INDEX('Product Master'!$P$7:$P$1000,MATCH($A343,'Product Master'!$A$7:$A$1000,0)))</f>
        <v/>
      </c>
      <c r="I343" t="str">
        <f>IFERROR(INDEX('Product Master'!$A$7:$A$1000,_xlfn.AGGREGATE(15,6,(ROW('Product Master'!$A$7:$A$1000)-ROW('Product Master'!$A$7)+1)/(('Product Master'!$A$7:$A$1000&lt;&gt;"")*('Product Master'!$P$7:$P$1000="Out of Stock")),ROWS($I$12:I343))),"")</f>
        <v/>
      </c>
      <c r="J343" t="str">
        <f>IF($I343="","",INDEX('Product Master'!$B$7:$B$1000,MATCH($I343,'Product Master'!$A$7:$A$1000,0)))</f>
        <v/>
      </c>
      <c r="K343" t="str">
        <f>IF($I343="","",INDEX('Product Master'!$C$7:$C$1000,MATCH($I343,'Product Master'!$A$7:$A$1000,0)))</f>
        <v/>
      </c>
      <c r="L343" t="str">
        <f>IF($I343="","",INDEX('Product Master'!$M$7:$M$1000,MATCH($I343,'Product Master'!$A$7:$A$1000,0)))</f>
        <v/>
      </c>
      <c r="M343" t="str">
        <f>IF($I343="","",INDEX('Product Master'!$N$7:$N$1000,MATCH($I343,'Product Master'!$A$7:$A$1000,0)))</f>
        <v/>
      </c>
    </row>
    <row r="344" spans="1:13" x14ac:dyDescent="0.3">
      <c r="A344" t="str">
        <f>IFERROR(INDEX('Product Master'!$A$7:$A$1000,_xlfn.AGGREGATE(15,6,(ROW('Product Master'!$A$7:$A$1000)-ROW('Product Master'!$A$7)+1)/(('Product Master'!$A$7:$A$1000&lt;&gt;"")*('Product Master'!$P$7:$P$1000="Low Stock")),ROWS($A$12:A344))),"")</f>
        <v/>
      </c>
      <c r="B344" t="str">
        <f>IF($A344="","",INDEX('Product Master'!$B$7:$B$1000,MATCH($A344,'Product Master'!$A$7:$A$1000,0)))</f>
        <v/>
      </c>
      <c r="C344" t="str">
        <f>IF($A344="","",INDEX('Product Master'!$C$7:$C$1000,MATCH($A344,'Product Master'!$A$7:$A$1000,0)))</f>
        <v/>
      </c>
      <c r="D344" t="str">
        <f>IF($A344="","",INDEX('Product Master'!$M$7:$M$1000,MATCH($A344,'Product Master'!$A$7:$A$1000,0)))</f>
        <v/>
      </c>
      <c r="E344" t="str">
        <f>IF($A344="","",INDEX('Product Master'!$N$7:$N$1000,MATCH($A344,'Product Master'!$A$7:$A$1000,0)))</f>
        <v/>
      </c>
      <c r="F344" t="str">
        <f>IF($A344="","",INDEX('Product Master'!$P$7:$P$1000,MATCH($A344,'Product Master'!$A$7:$A$1000,0)))</f>
        <v/>
      </c>
      <c r="I344" t="str">
        <f>IFERROR(INDEX('Product Master'!$A$7:$A$1000,_xlfn.AGGREGATE(15,6,(ROW('Product Master'!$A$7:$A$1000)-ROW('Product Master'!$A$7)+1)/(('Product Master'!$A$7:$A$1000&lt;&gt;"")*('Product Master'!$P$7:$P$1000="Out of Stock")),ROWS($I$12:I344))),"")</f>
        <v/>
      </c>
      <c r="J344" t="str">
        <f>IF($I344="","",INDEX('Product Master'!$B$7:$B$1000,MATCH($I344,'Product Master'!$A$7:$A$1000,0)))</f>
        <v/>
      </c>
      <c r="K344" t="str">
        <f>IF($I344="","",INDEX('Product Master'!$C$7:$C$1000,MATCH($I344,'Product Master'!$A$7:$A$1000,0)))</f>
        <v/>
      </c>
      <c r="L344" t="str">
        <f>IF($I344="","",INDEX('Product Master'!$M$7:$M$1000,MATCH($I344,'Product Master'!$A$7:$A$1000,0)))</f>
        <v/>
      </c>
      <c r="M344" t="str">
        <f>IF($I344="","",INDEX('Product Master'!$N$7:$N$1000,MATCH($I344,'Product Master'!$A$7:$A$1000,0)))</f>
        <v/>
      </c>
    </row>
    <row r="345" spans="1:13" x14ac:dyDescent="0.3">
      <c r="A345" t="str">
        <f>IFERROR(INDEX('Product Master'!$A$7:$A$1000,_xlfn.AGGREGATE(15,6,(ROW('Product Master'!$A$7:$A$1000)-ROW('Product Master'!$A$7)+1)/(('Product Master'!$A$7:$A$1000&lt;&gt;"")*('Product Master'!$P$7:$P$1000="Low Stock")),ROWS($A$12:A345))),"")</f>
        <v/>
      </c>
      <c r="B345" t="str">
        <f>IF($A345="","",INDEX('Product Master'!$B$7:$B$1000,MATCH($A345,'Product Master'!$A$7:$A$1000,0)))</f>
        <v/>
      </c>
      <c r="C345" t="str">
        <f>IF($A345="","",INDEX('Product Master'!$C$7:$C$1000,MATCH($A345,'Product Master'!$A$7:$A$1000,0)))</f>
        <v/>
      </c>
      <c r="D345" t="str">
        <f>IF($A345="","",INDEX('Product Master'!$M$7:$M$1000,MATCH($A345,'Product Master'!$A$7:$A$1000,0)))</f>
        <v/>
      </c>
      <c r="E345" t="str">
        <f>IF($A345="","",INDEX('Product Master'!$N$7:$N$1000,MATCH($A345,'Product Master'!$A$7:$A$1000,0)))</f>
        <v/>
      </c>
      <c r="F345" t="str">
        <f>IF($A345="","",INDEX('Product Master'!$P$7:$P$1000,MATCH($A345,'Product Master'!$A$7:$A$1000,0)))</f>
        <v/>
      </c>
      <c r="I345" t="str">
        <f>IFERROR(INDEX('Product Master'!$A$7:$A$1000,_xlfn.AGGREGATE(15,6,(ROW('Product Master'!$A$7:$A$1000)-ROW('Product Master'!$A$7)+1)/(('Product Master'!$A$7:$A$1000&lt;&gt;"")*('Product Master'!$P$7:$P$1000="Out of Stock")),ROWS($I$12:I345))),"")</f>
        <v/>
      </c>
      <c r="J345" t="str">
        <f>IF($I345="","",INDEX('Product Master'!$B$7:$B$1000,MATCH($I345,'Product Master'!$A$7:$A$1000,0)))</f>
        <v/>
      </c>
      <c r="K345" t="str">
        <f>IF($I345="","",INDEX('Product Master'!$C$7:$C$1000,MATCH($I345,'Product Master'!$A$7:$A$1000,0)))</f>
        <v/>
      </c>
      <c r="L345" t="str">
        <f>IF($I345="","",INDEX('Product Master'!$M$7:$M$1000,MATCH($I345,'Product Master'!$A$7:$A$1000,0)))</f>
        <v/>
      </c>
      <c r="M345" t="str">
        <f>IF($I345="","",INDEX('Product Master'!$N$7:$N$1000,MATCH($I345,'Product Master'!$A$7:$A$1000,0)))</f>
        <v/>
      </c>
    </row>
    <row r="346" spans="1:13" x14ac:dyDescent="0.3">
      <c r="A346" t="str">
        <f>IFERROR(INDEX('Product Master'!$A$7:$A$1000,_xlfn.AGGREGATE(15,6,(ROW('Product Master'!$A$7:$A$1000)-ROW('Product Master'!$A$7)+1)/(('Product Master'!$A$7:$A$1000&lt;&gt;"")*('Product Master'!$P$7:$P$1000="Low Stock")),ROWS($A$12:A346))),"")</f>
        <v/>
      </c>
      <c r="B346" t="str">
        <f>IF($A346="","",INDEX('Product Master'!$B$7:$B$1000,MATCH($A346,'Product Master'!$A$7:$A$1000,0)))</f>
        <v/>
      </c>
      <c r="C346" t="str">
        <f>IF($A346="","",INDEX('Product Master'!$C$7:$C$1000,MATCH($A346,'Product Master'!$A$7:$A$1000,0)))</f>
        <v/>
      </c>
      <c r="D346" t="str">
        <f>IF($A346="","",INDEX('Product Master'!$M$7:$M$1000,MATCH($A346,'Product Master'!$A$7:$A$1000,0)))</f>
        <v/>
      </c>
      <c r="E346" t="str">
        <f>IF($A346="","",INDEX('Product Master'!$N$7:$N$1000,MATCH($A346,'Product Master'!$A$7:$A$1000,0)))</f>
        <v/>
      </c>
      <c r="F346" t="str">
        <f>IF($A346="","",INDEX('Product Master'!$P$7:$P$1000,MATCH($A346,'Product Master'!$A$7:$A$1000,0)))</f>
        <v/>
      </c>
      <c r="I346" t="str">
        <f>IFERROR(INDEX('Product Master'!$A$7:$A$1000,_xlfn.AGGREGATE(15,6,(ROW('Product Master'!$A$7:$A$1000)-ROW('Product Master'!$A$7)+1)/(('Product Master'!$A$7:$A$1000&lt;&gt;"")*('Product Master'!$P$7:$P$1000="Out of Stock")),ROWS($I$12:I346))),"")</f>
        <v/>
      </c>
      <c r="J346" t="str">
        <f>IF($I346="","",INDEX('Product Master'!$B$7:$B$1000,MATCH($I346,'Product Master'!$A$7:$A$1000,0)))</f>
        <v/>
      </c>
      <c r="K346" t="str">
        <f>IF($I346="","",INDEX('Product Master'!$C$7:$C$1000,MATCH($I346,'Product Master'!$A$7:$A$1000,0)))</f>
        <v/>
      </c>
      <c r="L346" t="str">
        <f>IF($I346="","",INDEX('Product Master'!$M$7:$M$1000,MATCH($I346,'Product Master'!$A$7:$A$1000,0)))</f>
        <v/>
      </c>
      <c r="M346" t="str">
        <f>IF($I346="","",INDEX('Product Master'!$N$7:$N$1000,MATCH($I346,'Product Master'!$A$7:$A$1000,0)))</f>
        <v/>
      </c>
    </row>
    <row r="347" spans="1:13" x14ac:dyDescent="0.3">
      <c r="A347" t="str">
        <f>IFERROR(INDEX('Product Master'!$A$7:$A$1000,_xlfn.AGGREGATE(15,6,(ROW('Product Master'!$A$7:$A$1000)-ROW('Product Master'!$A$7)+1)/(('Product Master'!$A$7:$A$1000&lt;&gt;"")*('Product Master'!$P$7:$P$1000="Low Stock")),ROWS($A$12:A347))),"")</f>
        <v/>
      </c>
      <c r="B347" t="str">
        <f>IF($A347="","",INDEX('Product Master'!$B$7:$B$1000,MATCH($A347,'Product Master'!$A$7:$A$1000,0)))</f>
        <v/>
      </c>
      <c r="C347" t="str">
        <f>IF($A347="","",INDEX('Product Master'!$C$7:$C$1000,MATCH($A347,'Product Master'!$A$7:$A$1000,0)))</f>
        <v/>
      </c>
      <c r="D347" t="str">
        <f>IF($A347="","",INDEX('Product Master'!$M$7:$M$1000,MATCH($A347,'Product Master'!$A$7:$A$1000,0)))</f>
        <v/>
      </c>
      <c r="E347" t="str">
        <f>IF($A347="","",INDEX('Product Master'!$N$7:$N$1000,MATCH($A347,'Product Master'!$A$7:$A$1000,0)))</f>
        <v/>
      </c>
      <c r="F347" t="str">
        <f>IF($A347="","",INDEX('Product Master'!$P$7:$P$1000,MATCH($A347,'Product Master'!$A$7:$A$1000,0)))</f>
        <v/>
      </c>
      <c r="I347" t="str">
        <f>IFERROR(INDEX('Product Master'!$A$7:$A$1000,_xlfn.AGGREGATE(15,6,(ROW('Product Master'!$A$7:$A$1000)-ROW('Product Master'!$A$7)+1)/(('Product Master'!$A$7:$A$1000&lt;&gt;"")*('Product Master'!$P$7:$P$1000="Out of Stock")),ROWS($I$12:I347))),"")</f>
        <v/>
      </c>
      <c r="J347" t="str">
        <f>IF($I347="","",INDEX('Product Master'!$B$7:$B$1000,MATCH($I347,'Product Master'!$A$7:$A$1000,0)))</f>
        <v/>
      </c>
      <c r="K347" t="str">
        <f>IF($I347="","",INDEX('Product Master'!$C$7:$C$1000,MATCH($I347,'Product Master'!$A$7:$A$1000,0)))</f>
        <v/>
      </c>
      <c r="L347" t="str">
        <f>IF($I347="","",INDEX('Product Master'!$M$7:$M$1000,MATCH($I347,'Product Master'!$A$7:$A$1000,0)))</f>
        <v/>
      </c>
      <c r="M347" t="str">
        <f>IF($I347="","",INDEX('Product Master'!$N$7:$N$1000,MATCH($I347,'Product Master'!$A$7:$A$1000,0)))</f>
        <v/>
      </c>
    </row>
    <row r="348" spans="1:13" x14ac:dyDescent="0.3">
      <c r="A348" t="str">
        <f>IFERROR(INDEX('Product Master'!$A$7:$A$1000,_xlfn.AGGREGATE(15,6,(ROW('Product Master'!$A$7:$A$1000)-ROW('Product Master'!$A$7)+1)/(('Product Master'!$A$7:$A$1000&lt;&gt;"")*('Product Master'!$P$7:$P$1000="Low Stock")),ROWS($A$12:A348))),"")</f>
        <v/>
      </c>
      <c r="B348" t="str">
        <f>IF($A348="","",INDEX('Product Master'!$B$7:$B$1000,MATCH($A348,'Product Master'!$A$7:$A$1000,0)))</f>
        <v/>
      </c>
      <c r="C348" t="str">
        <f>IF($A348="","",INDEX('Product Master'!$C$7:$C$1000,MATCH($A348,'Product Master'!$A$7:$A$1000,0)))</f>
        <v/>
      </c>
      <c r="D348" t="str">
        <f>IF($A348="","",INDEX('Product Master'!$M$7:$M$1000,MATCH($A348,'Product Master'!$A$7:$A$1000,0)))</f>
        <v/>
      </c>
      <c r="E348" t="str">
        <f>IF($A348="","",INDEX('Product Master'!$N$7:$N$1000,MATCH($A348,'Product Master'!$A$7:$A$1000,0)))</f>
        <v/>
      </c>
      <c r="F348" t="str">
        <f>IF($A348="","",INDEX('Product Master'!$P$7:$P$1000,MATCH($A348,'Product Master'!$A$7:$A$1000,0)))</f>
        <v/>
      </c>
      <c r="I348" t="str">
        <f>IFERROR(INDEX('Product Master'!$A$7:$A$1000,_xlfn.AGGREGATE(15,6,(ROW('Product Master'!$A$7:$A$1000)-ROW('Product Master'!$A$7)+1)/(('Product Master'!$A$7:$A$1000&lt;&gt;"")*('Product Master'!$P$7:$P$1000="Out of Stock")),ROWS($I$12:I348))),"")</f>
        <v/>
      </c>
      <c r="J348" t="str">
        <f>IF($I348="","",INDEX('Product Master'!$B$7:$B$1000,MATCH($I348,'Product Master'!$A$7:$A$1000,0)))</f>
        <v/>
      </c>
      <c r="K348" t="str">
        <f>IF($I348="","",INDEX('Product Master'!$C$7:$C$1000,MATCH($I348,'Product Master'!$A$7:$A$1000,0)))</f>
        <v/>
      </c>
      <c r="L348" t="str">
        <f>IF($I348="","",INDEX('Product Master'!$M$7:$M$1000,MATCH($I348,'Product Master'!$A$7:$A$1000,0)))</f>
        <v/>
      </c>
      <c r="M348" t="str">
        <f>IF($I348="","",INDEX('Product Master'!$N$7:$N$1000,MATCH($I348,'Product Master'!$A$7:$A$1000,0)))</f>
        <v/>
      </c>
    </row>
    <row r="349" spans="1:13" x14ac:dyDescent="0.3">
      <c r="A349" t="str">
        <f>IFERROR(INDEX('Product Master'!$A$7:$A$1000,_xlfn.AGGREGATE(15,6,(ROW('Product Master'!$A$7:$A$1000)-ROW('Product Master'!$A$7)+1)/(('Product Master'!$A$7:$A$1000&lt;&gt;"")*('Product Master'!$P$7:$P$1000="Low Stock")),ROWS($A$12:A349))),"")</f>
        <v/>
      </c>
      <c r="B349" t="str">
        <f>IF($A349="","",INDEX('Product Master'!$B$7:$B$1000,MATCH($A349,'Product Master'!$A$7:$A$1000,0)))</f>
        <v/>
      </c>
      <c r="C349" t="str">
        <f>IF($A349="","",INDEX('Product Master'!$C$7:$C$1000,MATCH($A349,'Product Master'!$A$7:$A$1000,0)))</f>
        <v/>
      </c>
      <c r="D349" t="str">
        <f>IF($A349="","",INDEX('Product Master'!$M$7:$M$1000,MATCH($A349,'Product Master'!$A$7:$A$1000,0)))</f>
        <v/>
      </c>
      <c r="E349" t="str">
        <f>IF($A349="","",INDEX('Product Master'!$N$7:$N$1000,MATCH($A349,'Product Master'!$A$7:$A$1000,0)))</f>
        <v/>
      </c>
      <c r="F349" t="str">
        <f>IF($A349="","",INDEX('Product Master'!$P$7:$P$1000,MATCH($A349,'Product Master'!$A$7:$A$1000,0)))</f>
        <v/>
      </c>
      <c r="I349" t="str">
        <f>IFERROR(INDEX('Product Master'!$A$7:$A$1000,_xlfn.AGGREGATE(15,6,(ROW('Product Master'!$A$7:$A$1000)-ROW('Product Master'!$A$7)+1)/(('Product Master'!$A$7:$A$1000&lt;&gt;"")*('Product Master'!$P$7:$P$1000="Out of Stock")),ROWS($I$12:I349))),"")</f>
        <v/>
      </c>
      <c r="J349" t="str">
        <f>IF($I349="","",INDEX('Product Master'!$B$7:$B$1000,MATCH($I349,'Product Master'!$A$7:$A$1000,0)))</f>
        <v/>
      </c>
      <c r="K349" t="str">
        <f>IF($I349="","",INDEX('Product Master'!$C$7:$C$1000,MATCH($I349,'Product Master'!$A$7:$A$1000,0)))</f>
        <v/>
      </c>
      <c r="L349" t="str">
        <f>IF($I349="","",INDEX('Product Master'!$M$7:$M$1000,MATCH($I349,'Product Master'!$A$7:$A$1000,0)))</f>
        <v/>
      </c>
      <c r="M349" t="str">
        <f>IF($I349="","",INDEX('Product Master'!$N$7:$N$1000,MATCH($I349,'Product Master'!$A$7:$A$1000,0)))</f>
        <v/>
      </c>
    </row>
    <row r="350" spans="1:13" x14ac:dyDescent="0.3">
      <c r="A350" t="str">
        <f>IFERROR(INDEX('Product Master'!$A$7:$A$1000,_xlfn.AGGREGATE(15,6,(ROW('Product Master'!$A$7:$A$1000)-ROW('Product Master'!$A$7)+1)/(('Product Master'!$A$7:$A$1000&lt;&gt;"")*('Product Master'!$P$7:$P$1000="Low Stock")),ROWS($A$12:A350))),"")</f>
        <v/>
      </c>
      <c r="B350" t="str">
        <f>IF($A350="","",INDEX('Product Master'!$B$7:$B$1000,MATCH($A350,'Product Master'!$A$7:$A$1000,0)))</f>
        <v/>
      </c>
      <c r="C350" t="str">
        <f>IF($A350="","",INDEX('Product Master'!$C$7:$C$1000,MATCH($A350,'Product Master'!$A$7:$A$1000,0)))</f>
        <v/>
      </c>
      <c r="D350" t="str">
        <f>IF($A350="","",INDEX('Product Master'!$M$7:$M$1000,MATCH($A350,'Product Master'!$A$7:$A$1000,0)))</f>
        <v/>
      </c>
      <c r="E350" t="str">
        <f>IF($A350="","",INDEX('Product Master'!$N$7:$N$1000,MATCH($A350,'Product Master'!$A$7:$A$1000,0)))</f>
        <v/>
      </c>
      <c r="F350" t="str">
        <f>IF($A350="","",INDEX('Product Master'!$P$7:$P$1000,MATCH($A350,'Product Master'!$A$7:$A$1000,0)))</f>
        <v/>
      </c>
      <c r="I350" t="str">
        <f>IFERROR(INDEX('Product Master'!$A$7:$A$1000,_xlfn.AGGREGATE(15,6,(ROW('Product Master'!$A$7:$A$1000)-ROW('Product Master'!$A$7)+1)/(('Product Master'!$A$7:$A$1000&lt;&gt;"")*('Product Master'!$P$7:$P$1000="Out of Stock")),ROWS($I$12:I350))),"")</f>
        <v/>
      </c>
      <c r="J350" t="str">
        <f>IF($I350="","",INDEX('Product Master'!$B$7:$B$1000,MATCH($I350,'Product Master'!$A$7:$A$1000,0)))</f>
        <v/>
      </c>
      <c r="K350" t="str">
        <f>IF($I350="","",INDEX('Product Master'!$C$7:$C$1000,MATCH($I350,'Product Master'!$A$7:$A$1000,0)))</f>
        <v/>
      </c>
      <c r="L350" t="str">
        <f>IF($I350="","",INDEX('Product Master'!$M$7:$M$1000,MATCH($I350,'Product Master'!$A$7:$A$1000,0)))</f>
        <v/>
      </c>
      <c r="M350" t="str">
        <f>IF($I350="","",INDEX('Product Master'!$N$7:$N$1000,MATCH($I350,'Product Master'!$A$7:$A$1000,0)))</f>
        <v/>
      </c>
    </row>
    <row r="351" spans="1:13" x14ac:dyDescent="0.3">
      <c r="A351" t="str">
        <f>IFERROR(INDEX('Product Master'!$A$7:$A$1000,_xlfn.AGGREGATE(15,6,(ROW('Product Master'!$A$7:$A$1000)-ROW('Product Master'!$A$7)+1)/(('Product Master'!$A$7:$A$1000&lt;&gt;"")*('Product Master'!$P$7:$P$1000="Low Stock")),ROWS($A$12:A351))),"")</f>
        <v/>
      </c>
      <c r="B351" t="str">
        <f>IF($A351="","",INDEX('Product Master'!$B$7:$B$1000,MATCH($A351,'Product Master'!$A$7:$A$1000,0)))</f>
        <v/>
      </c>
      <c r="C351" t="str">
        <f>IF($A351="","",INDEX('Product Master'!$C$7:$C$1000,MATCH($A351,'Product Master'!$A$7:$A$1000,0)))</f>
        <v/>
      </c>
      <c r="D351" t="str">
        <f>IF($A351="","",INDEX('Product Master'!$M$7:$M$1000,MATCH($A351,'Product Master'!$A$7:$A$1000,0)))</f>
        <v/>
      </c>
      <c r="E351" t="str">
        <f>IF($A351="","",INDEX('Product Master'!$N$7:$N$1000,MATCH($A351,'Product Master'!$A$7:$A$1000,0)))</f>
        <v/>
      </c>
      <c r="F351" t="str">
        <f>IF($A351="","",INDEX('Product Master'!$P$7:$P$1000,MATCH($A351,'Product Master'!$A$7:$A$1000,0)))</f>
        <v/>
      </c>
      <c r="I351" t="str">
        <f>IFERROR(INDEX('Product Master'!$A$7:$A$1000,_xlfn.AGGREGATE(15,6,(ROW('Product Master'!$A$7:$A$1000)-ROW('Product Master'!$A$7)+1)/(('Product Master'!$A$7:$A$1000&lt;&gt;"")*('Product Master'!$P$7:$P$1000="Out of Stock")),ROWS($I$12:I351))),"")</f>
        <v/>
      </c>
      <c r="J351" t="str">
        <f>IF($I351="","",INDEX('Product Master'!$B$7:$B$1000,MATCH($I351,'Product Master'!$A$7:$A$1000,0)))</f>
        <v/>
      </c>
      <c r="K351" t="str">
        <f>IF($I351="","",INDEX('Product Master'!$C$7:$C$1000,MATCH($I351,'Product Master'!$A$7:$A$1000,0)))</f>
        <v/>
      </c>
      <c r="L351" t="str">
        <f>IF($I351="","",INDEX('Product Master'!$M$7:$M$1000,MATCH($I351,'Product Master'!$A$7:$A$1000,0)))</f>
        <v/>
      </c>
      <c r="M351" t="str">
        <f>IF($I351="","",INDEX('Product Master'!$N$7:$N$1000,MATCH($I351,'Product Master'!$A$7:$A$1000,0)))</f>
        <v/>
      </c>
    </row>
    <row r="352" spans="1:13" x14ac:dyDescent="0.3">
      <c r="A352" t="str">
        <f>IFERROR(INDEX('Product Master'!$A$7:$A$1000,_xlfn.AGGREGATE(15,6,(ROW('Product Master'!$A$7:$A$1000)-ROW('Product Master'!$A$7)+1)/(('Product Master'!$A$7:$A$1000&lt;&gt;"")*('Product Master'!$P$7:$P$1000="Low Stock")),ROWS($A$12:A352))),"")</f>
        <v/>
      </c>
      <c r="B352" t="str">
        <f>IF($A352="","",INDEX('Product Master'!$B$7:$B$1000,MATCH($A352,'Product Master'!$A$7:$A$1000,0)))</f>
        <v/>
      </c>
      <c r="C352" t="str">
        <f>IF($A352="","",INDEX('Product Master'!$C$7:$C$1000,MATCH($A352,'Product Master'!$A$7:$A$1000,0)))</f>
        <v/>
      </c>
      <c r="D352" t="str">
        <f>IF($A352="","",INDEX('Product Master'!$M$7:$M$1000,MATCH($A352,'Product Master'!$A$7:$A$1000,0)))</f>
        <v/>
      </c>
      <c r="E352" t="str">
        <f>IF($A352="","",INDEX('Product Master'!$N$7:$N$1000,MATCH($A352,'Product Master'!$A$7:$A$1000,0)))</f>
        <v/>
      </c>
      <c r="F352" t="str">
        <f>IF($A352="","",INDEX('Product Master'!$P$7:$P$1000,MATCH($A352,'Product Master'!$A$7:$A$1000,0)))</f>
        <v/>
      </c>
      <c r="I352" t="str">
        <f>IFERROR(INDEX('Product Master'!$A$7:$A$1000,_xlfn.AGGREGATE(15,6,(ROW('Product Master'!$A$7:$A$1000)-ROW('Product Master'!$A$7)+1)/(('Product Master'!$A$7:$A$1000&lt;&gt;"")*('Product Master'!$P$7:$P$1000="Out of Stock")),ROWS($I$12:I352))),"")</f>
        <v/>
      </c>
      <c r="J352" t="str">
        <f>IF($I352="","",INDEX('Product Master'!$B$7:$B$1000,MATCH($I352,'Product Master'!$A$7:$A$1000,0)))</f>
        <v/>
      </c>
      <c r="K352" t="str">
        <f>IF($I352="","",INDEX('Product Master'!$C$7:$C$1000,MATCH($I352,'Product Master'!$A$7:$A$1000,0)))</f>
        <v/>
      </c>
      <c r="L352" t="str">
        <f>IF($I352="","",INDEX('Product Master'!$M$7:$M$1000,MATCH($I352,'Product Master'!$A$7:$A$1000,0)))</f>
        <v/>
      </c>
      <c r="M352" t="str">
        <f>IF($I352="","",INDEX('Product Master'!$N$7:$N$1000,MATCH($I352,'Product Master'!$A$7:$A$1000,0)))</f>
        <v/>
      </c>
    </row>
    <row r="353" spans="1:13" x14ac:dyDescent="0.3">
      <c r="A353" t="str">
        <f>IFERROR(INDEX('Product Master'!$A$7:$A$1000,_xlfn.AGGREGATE(15,6,(ROW('Product Master'!$A$7:$A$1000)-ROW('Product Master'!$A$7)+1)/(('Product Master'!$A$7:$A$1000&lt;&gt;"")*('Product Master'!$P$7:$P$1000="Low Stock")),ROWS($A$12:A353))),"")</f>
        <v/>
      </c>
      <c r="B353" t="str">
        <f>IF($A353="","",INDEX('Product Master'!$B$7:$B$1000,MATCH($A353,'Product Master'!$A$7:$A$1000,0)))</f>
        <v/>
      </c>
      <c r="C353" t="str">
        <f>IF($A353="","",INDEX('Product Master'!$C$7:$C$1000,MATCH($A353,'Product Master'!$A$7:$A$1000,0)))</f>
        <v/>
      </c>
      <c r="D353" t="str">
        <f>IF($A353="","",INDEX('Product Master'!$M$7:$M$1000,MATCH($A353,'Product Master'!$A$7:$A$1000,0)))</f>
        <v/>
      </c>
      <c r="E353" t="str">
        <f>IF($A353="","",INDEX('Product Master'!$N$7:$N$1000,MATCH($A353,'Product Master'!$A$7:$A$1000,0)))</f>
        <v/>
      </c>
      <c r="F353" t="str">
        <f>IF($A353="","",INDEX('Product Master'!$P$7:$P$1000,MATCH($A353,'Product Master'!$A$7:$A$1000,0)))</f>
        <v/>
      </c>
      <c r="I353" t="str">
        <f>IFERROR(INDEX('Product Master'!$A$7:$A$1000,_xlfn.AGGREGATE(15,6,(ROW('Product Master'!$A$7:$A$1000)-ROW('Product Master'!$A$7)+1)/(('Product Master'!$A$7:$A$1000&lt;&gt;"")*('Product Master'!$P$7:$P$1000="Out of Stock")),ROWS($I$12:I353))),"")</f>
        <v/>
      </c>
      <c r="J353" t="str">
        <f>IF($I353="","",INDEX('Product Master'!$B$7:$B$1000,MATCH($I353,'Product Master'!$A$7:$A$1000,0)))</f>
        <v/>
      </c>
      <c r="K353" t="str">
        <f>IF($I353="","",INDEX('Product Master'!$C$7:$C$1000,MATCH($I353,'Product Master'!$A$7:$A$1000,0)))</f>
        <v/>
      </c>
      <c r="L353" t="str">
        <f>IF($I353="","",INDEX('Product Master'!$M$7:$M$1000,MATCH($I353,'Product Master'!$A$7:$A$1000,0)))</f>
        <v/>
      </c>
      <c r="M353" t="str">
        <f>IF($I353="","",INDEX('Product Master'!$N$7:$N$1000,MATCH($I353,'Product Master'!$A$7:$A$1000,0)))</f>
        <v/>
      </c>
    </row>
    <row r="354" spans="1:13" x14ac:dyDescent="0.3">
      <c r="A354" t="str">
        <f>IFERROR(INDEX('Product Master'!$A$7:$A$1000,_xlfn.AGGREGATE(15,6,(ROW('Product Master'!$A$7:$A$1000)-ROW('Product Master'!$A$7)+1)/(('Product Master'!$A$7:$A$1000&lt;&gt;"")*('Product Master'!$P$7:$P$1000="Low Stock")),ROWS($A$12:A354))),"")</f>
        <v/>
      </c>
      <c r="B354" t="str">
        <f>IF($A354="","",INDEX('Product Master'!$B$7:$B$1000,MATCH($A354,'Product Master'!$A$7:$A$1000,0)))</f>
        <v/>
      </c>
      <c r="C354" t="str">
        <f>IF($A354="","",INDEX('Product Master'!$C$7:$C$1000,MATCH($A354,'Product Master'!$A$7:$A$1000,0)))</f>
        <v/>
      </c>
      <c r="D354" t="str">
        <f>IF($A354="","",INDEX('Product Master'!$M$7:$M$1000,MATCH($A354,'Product Master'!$A$7:$A$1000,0)))</f>
        <v/>
      </c>
      <c r="E354" t="str">
        <f>IF($A354="","",INDEX('Product Master'!$N$7:$N$1000,MATCH($A354,'Product Master'!$A$7:$A$1000,0)))</f>
        <v/>
      </c>
      <c r="F354" t="str">
        <f>IF($A354="","",INDEX('Product Master'!$P$7:$P$1000,MATCH($A354,'Product Master'!$A$7:$A$1000,0)))</f>
        <v/>
      </c>
      <c r="I354" t="str">
        <f>IFERROR(INDEX('Product Master'!$A$7:$A$1000,_xlfn.AGGREGATE(15,6,(ROW('Product Master'!$A$7:$A$1000)-ROW('Product Master'!$A$7)+1)/(('Product Master'!$A$7:$A$1000&lt;&gt;"")*('Product Master'!$P$7:$P$1000="Out of Stock")),ROWS($I$12:I354))),"")</f>
        <v/>
      </c>
      <c r="J354" t="str">
        <f>IF($I354="","",INDEX('Product Master'!$B$7:$B$1000,MATCH($I354,'Product Master'!$A$7:$A$1000,0)))</f>
        <v/>
      </c>
      <c r="K354" t="str">
        <f>IF($I354="","",INDEX('Product Master'!$C$7:$C$1000,MATCH($I354,'Product Master'!$A$7:$A$1000,0)))</f>
        <v/>
      </c>
      <c r="L354" t="str">
        <f>IF($I354="","",INDEX('Product Master'!$M$7:$M$1000,MATCH($I354,'Product Master'!$A$7:$A$1000,0)))</f>
        <v/>
      </c>
      <c r="M354" t="str">
        <f>IF($I354="","",INDEX('Product Master'!$N$7:$N$1000,MATCH($I354,'Product Master'!$A$7:$A$1000,0)))</f>
        <v/>
      </c>
    </row>
    <row r="355" spans="1:13" x14ac:dyDescent="0.3">
      <c r="A355" t="str">
        <f>IFERROR(INDEX('Product Master'!$A$7:$A$1000,_xlfn.AGGREGATE(15,6,(ROW('Product Master'!$A$7:$A$1000)-ROW('Product Master'!$A$7)+1)/(('Product Master'!$A$7:$A$1000&lt;&gt;"")*('Product Master'!$P$7:$P$1000="Low Stock")),ROWS($A$12:A355))),"")</f>
        <v/>
      </c>
      <c r="B355" t="str">
        <f>IF($A355="","",INDEX('Product Master'!$B$7:$B$1000,MATCH($A355,'Product Master'!$A$7:$A$1000,0)))</f>
        <v/>
      </c>
      <c r="C355" t="str">
        <f>IF($A355="","",INDEX('Product Master'!$C$7:$C$1000,MATCH($A355,'Product Master'!$A$7:$A$1000,0)))</f>
        <v/>
      </c>
      <c r="D355" t="str">
        <f>IF($A355="","",INDEX('Product Master'!$M$7:$M$1000,MATCH($A355,'Product Master'!$A$7:$A$1000,0)))</f>
        <v/>
      </c>
      <c r="E355" t="str">
        <f>IF($A355="","",INDEX('Product Master'!$N$7:$N$1000,MATCH($A355,'Product Master'!$A$7:$A$1000,0)))</f>
        <v/>
      </c>
      <c r="F355" t="str">
        <f>IF($A355="","",INDEX('Product Master'!$P$7:$P$1000,MATCH($A355,'Product Master'!$A$7:$A$1000,0)))</f>
        <v/>
      </c>
      <c r="I355" t="str">
        <f>IFERROR(INDEX('Product Master'!$A$7:$A$1000,_xlfn.AGGREGATE(15,6,(ROW('Product Master'!$A$7:$A$1000)-ROW('Product Master'!$A$7)+1)/(('Product Master'!$A$7:$A$1000&lt;&gt;"")*('Product Master'!$P$7:$P$1000="Out of Stock")),ROWS($I$12:I355))),"")</f>
        <v/>
      </c>
      <c r="J355" t="str">
        <f>IF($I355="","",INDEX('Product Master'!$B$7:$B$1000,MATCH($I355,'Product Master'!$A$7:$A$1000,0)))</f>
        <v/>
      </c>
      <c r="K355" t="str">
        <f>IF($I355="","",INDEX('Product Master'!$C$7:$C$1000,MATCH($I355,'Product Master'!$A$7:$A$1000,0)))</f>
        <v/>
      </c>
      <c r="L355" t="str">
        <f>IF($I355="","",INDEX('Product Master'!$M$7:$M$1000,MATCH($I355,'Product Master'!$A$7:$A$1000,0)))</f>
        <v/>
      </c>
      <c r="M355" t="str">
        <f>IF($I355="","",INDEX('Product Master'!$N$7:$N$1000,MATCH($I355,'Product Master'!$A$7:$A$1000,0)))</f>
        <v/>
      </c>
    </row>
    <row r="356" spans="1:13" x14ac:dyDescent="0.3">
      <c r="A356" t="str">
        <f>IFERROR(INDEX('Product Master'!$A$7:$A$1000,_xlfn.AGGREGATE(15,6,(ROW('Product Master'!$A$7:$A$1000)-ROW('Product Master'!$A$7)+1)/(('Product Master'!$A$7:$A$1000&lt;&gt;"")*('Product Master'!$P$7:$P$1000="Low Stock")),ROWS($A$12:A356))),"")</f>
        <v/>
      </c>
      <c r="B356" t="str">
        <f>IF($A356="","",INDEX('Product Master'!$B$7:$B$1000,MATCH($A356,'Product Master'!$A$7:$A$1000,0)))</f>
        <v/>
      </c>
      <c r="C356" t="str">
        <f>IF($A356="","",INDEX('Product Master'!$C$7:$C$1000,MATCH($A356,'Product Master'!$A$7:$A$1000,0)))</f>
        <v/>
      </c>
      <c r="D356" t="str">
        <f>IF($A356="","",INDEX('Product Master'!$M$7:$M$1000,MATCH($A356,'Product Master'!$A$7:$A$1000,0)))</f>
        <v/>
      </c>
      <c r="E356" t="str">
        <f>IF($A356="","",INDEX('Product Master'!$N$7:$N$1000,MATCH($A356,'Product Master'!$A$7:$A$1000,0)))</f>
        <v/>
      </c>
      <c r="F356" t="str">
        <f>IF($A356="","",INDEX('Product Master'!$P$7:$P$1000,MATCH($A356,'Product Master'!$A$7:$A$1000,0)))</f>
        <v/>
      </c>
      <c r="I356" t="str">
        <f>IFERROR(INDEX('Product Master'!$A$7:$A$1000,_xlfn.AGGREGATE(15,6,(ROW('Product Master'!$A$7:$A$1000)-ROW('Product Master'!$A$7)+1)/(('Product Master'!$A$7:$A$1000&lt;&gt;"")*('Product Master'!$P$7:$P$1000="Out of Stock")),ROWS($I$12:I356))),"")</f>
        <v/>
      </c>
      <c r="J356" t="str">
        <f>IF($I356="","",INDEX('Product Master'!$B$7:$B$1000,MATCH($I356,'Product Master'!$A$7:$A$1000,0)))</f>
        <v/>
      </c>
      <c r="K356" t="str">
        <f>IF($I356="","",INDEX('Product Master'!$C$7:$C$1000,MATCH($I356,'Product Master'!$A$7:$A$1000,0)))</f>
        <v/>
      </c>
      <c r="L356" t="str">
        <f>IF($I356="","",INDEX('Product Master'!$M$7:$M$1000,MATCH($I356,'Product Master'!$A$7:$A$1000,0)))</f>
        <v/>
      </c>
      <c r="M356" t="str">
        <f>IF($I356="","",INDEX('Product Master'!$N$7:$N$1000,MATCH($I356,'Product Master'!$A$7:$A$1000,0)))</f>
        <v/>
      </c>
    </row>
    <row r="357" spans="1:13" x14ac:dyDescent="0.3">
      <c r="A357" t="str">
        <f>IFERROR(INDEX('Product Master'!$A$7:$A$1000,_xlfn.AGGREGATE(15,6,(ROW('Product Master'!$A$7:$A$1000)-ROW('Product Master'!$A$7)+1)/(('Product Master'!$A$7:$A$1000&lt;&gt;"")*('Product Master'!$P$7:$P$1000="Low Stock")),ROWS($A$12:A357))),"")</f>
        <v/>
      </c>
      <c r="B357" t="str">
        <f>IF($A357="","",INDEX('Product Master'!$B$7:$B$1000,MATCH($A357,'Product Master'!$A$7:$A$1000,0)))</f>
        <v/>
      </c>
      <c r="C357" t="str">
        <f>IF($A357="","",INDEX('Product Master'!$C$7:$C$1000,MATCH($A357,'Product Master'!$A$7:$A$1000,0)))</f>
        <v/>
      </c>
      <c r="D357" t="str">
        <f>IF($A357="","",INDEX('Product Master'!$M$7:$M$1000,MATCH($A357,'Product Master'!$A$7:$A$1000,0)))</f>
        <v/>
      </c>
      <c r="E357" t="str">
        <f>IF($A357="","",INDEX('Product Master'!$N$7:$N$1000,MATCH($A357,'Product Master'!$A$7:$A$1000,0)))</f>
        <v/>
      </c>
      <c r="F357" t="str">
        <f>IF($A357="","",INDEX('Product Master'!$P$7:$P$1000,MATCH($A357,'Product Master'!$A$7:$A$1000,0)))</f>
        <v/>
      </c>
      <c r="I357" t="str">
        <f>IFERROR(INDEX('Product Master'!$A$7:$A$1000,_xlfn.AGGREGATE(15,6,(ROW('Product Master'!$A$7:$A$1000)-ROW('Product Master'!$A$7)+1)/(('Product Master'!$A$7:$A$1000&lt;&gt;"")*('Product Master'!$P$7:$P$1000="Out of Stock")),ROWS($I$12:I357))),"")</f>
        <v/>
      </c>
      <c r="J357" t="str">
        <f>IF($I357="","",INDEX('Product Master'!$B$7:$B$1000,MATCH($I357,'Product Master'!$A$7:$A$1000,0)))</f>
        <v/>
      </c>
      <c r="K357" t="str">
        <f>IF($I357="","",INDEX('Product Master'!$C$7:$C$1000,MATCH($I357,'Product Master'!$A$7:$A$1000,0)))</f>
        <v/>
      </c>
      <c r="L357" t="str">
        <f>IF($I357="","",INDEX('Product Master'!$M$7:$M$1000,MATCH($I357,'Product Master'!$A$7:$A$1000,0)))</f>
        <v/>
      </c>
      <c r="M357" t="str">
        <f>IF($I357="","",INDEX('Product Master'!$N$7:$N$1000,MATCH($I357,'Product Master'!$A$7:$A$1000,0)))</f>
        <v/>
      </c>
    </row>
    <row r="358" spans="1:13" x14ac:dyDescent="0.3">
      <c r="A358" t="str">
        <f>IFERROR(INDEX('Product Master'!$A$7:$A$1000,_xlfn.AGGREGATE(15,6,(ROW('Product Master'!$A$7:$A$1000)-ROW('Product Master'!$A$7)+1)/(('Product Master'!$A$7:$A$1000&lt;&gt;"")*('Product Master'!$P$7:$P$1000="Low Stock")),ROWS($A$12:A358))),"")</f>
        <v/>
      </c>
      <c r="B358" t="str">
        <f>IF($A358="","",INDEX('Product Master'!$B$7:$B$1000,MATCH($A358,'Product Master'!$A$7:$A$1000,0)))</f>
        <v/>
      </c>
      <c r="C358" t="str">
        <f>IF($A358="","",INDEX('Product Master'!$C$7:$C$1000,MATCH($A358,'Product Master'!$A$7:$A$1000,0)))</f>
        <v/>
      </c>
      <c r="D358" t="str">
        <f>IF($A358="","",INDEX('Product Master'!$M$7:$M$1000,MATCH($A358,'Product Master'!$A$7:$A$1000,0)))</f>
        <v/>
      </c>
      <c r="E358" t="str">
        <f>IF($A358="","",INDEX('Product Master'!$N$7:$N$1000,MATCH($A358,'Product Master'!$A$7:$A$1000,0)))</f>
        <v/>
      </c>
      <c r="F358" t="str">
        <f>IF($A358="","",INDEX('Product Master'!$P$7:$P$1000,MATCH($A358,'Product Master'!$A$7:$A$1000,0)))</f>
        <v/>
      </c>
      <c r="I358" t="str">
        <f>IFERROR(INDEX('Product Master'!$A$7:$A$1000,_xlfn.AGGREGATE(15,6,(ROW('Product Master'!$A$7:$A$1000)-ROW('Product Master'!$A$7)+1)/(('Product Master'!$A$7:$A$1000&lt;&gt;"")*('Product Master'!$P$7:$P$1000="Out of Stock")),ROWS($I$12:I358))),"")</f>
        <v/>
      </c>
      <c r="J358" t="str">
        <f>IF($I358="","",INDEX('Product Master'!$B$7:$B$1000,MATCH($I358,'Product Master'!$A$7:$A$1000,0)))</f>
        <v/>
      </c>
      <c r="K358" t="str">
        <f>IF($I358="","",INDEX('Product Master'!$C$7:$C$1000,MATCH($I358,'Product Master'!$A$7:$A$1000,0)))</f>
        <v/>
      </c>
      <c r="L358" t="str">
        <f>IF($I358="","",INDEX('Product Master'!$M$7:$M$1000,MATCH($I358,'Product Master'!$A$7:$A$1000,0)))</f>
        <v/>
      </c>
      <c r="M358" t="str">
        <f>IF($I358="","",INDEX('Product Master'!$N$7:$N$1000,MATCH($I358,'Product Master'!$A$7:$A$1000,0)))</f>
        <v/>
      </c>
    </row>
    <row r="359" spans="1:13" x14ac:dyDescent="0.3">
      <c r="A359" t="str">
        <f>IFERROR(INDEX('Product Master'!$A$7:$A$1000,_xlfn.AGGREGATE(15,6,(ROW('Product Master'!$A$7:$A$1000)-ROW('Product Master'!$A$7)+1)/(('Product Master'!$A$7:$A$1000&lt;&gt;"")*('Product Master'!$P$7:$P$1000="Low Stock")),ROWS($A$12:A359))),"")</f>
        <v/>
      </c>
      <c r="B359" t="str">
        <f>IF($A359="","",INDEX('Product Master'!$B$7:$B$1000,MATCH($A359,'Product Master'!$A$7:$A$1000,0)))</f>
        <v/>
      </c>
      <c r="C359" t="str">
        <f>IF($A359="","",INDEX('Product Master'!$C$7:$C$1000,MATCH($A359,'Product Master'!$A$7:$A$1000,0)))</f>
        <v/>
      </c>
      <c r="D359" t="str">
        <f>IF($A359="","",INDEX('Product Master'!$M$7:$M$1000,MATCH($A359,'Product Master'!$A$7:$A$1000,0)))</f>
        <v/>
      </c>
      <c r="E359" t="str">
        <f>IF($A359="","",INDEX('Product Master'!$N$7:$N$1000,MATCH($A359,'Product Master'!$A$7:$A$1000,0)))</f>
        <v/>
      </c>
      <c r="F359" t="str">
        <f>IF($A359="","",INDEX('Product Master'!$P$7:$P$1000,MATCH($A359,'Product Master'!$A$7:$A$1000,0)))</f>
        <v/>
      </c>
      <c r="I359" t="str">
        <f>IFERROR(INDEX('Product Master'!$A$7:$A$1000,_xlfn.AGGREGATE(15,6,(ROW('Product Master'!$A$7:$A$1000)-ROW('Product Master'!$A$7)+1)/(('Product Master'!$A$7:$A$1000&lt;&gt;"")*('Product Master'!$P$7:$P$1000="Out of Stock")),ROWS($I$12:I359))),"")</f>
        <v/>
      </c>
      <c r="J359" t="str">
        <f>IF($I359="","",INDEX('Product Master'!$B$7:$B$1000,MATCH($I359,'Product Master'!$A$7:$A$1000,0)))</f>
        <v/>
      </c>
      <c r="K359" t="str">
        <f>IF($I359="","",INDEX('Product Master'!$C$7:$C$1000,MATCH($I359,'Product Master'!$A$7:$A$1000,0)))</f>
        <v/>
      </c>
      <c r="L359" t="str">
        <f>IF($I359="","",INDEX('Product Master'!$M$7:$M$1000,MATCH($I359,'Product Master'!$A$7:$A$1000,0)))</f>
        <v/>
      </c>
      <c r="M359" t="str">
        <f>IF($I359="","",INDEX('Product Master'!$N$7:$N$1000,MATCH($I359,'Product Master'!$A$7:$A$1000,0)))</f>
        <v/>
      </c>
    </row>
    <row r="360" spans="1:13" x14ac:dyDescent="0.3">
      <c r="A360" t="str">
        <f>IFERROR(INDEX('Product Master'!$A$7:$A$1000,_xlfn.AGGREGATE(15,6,(ROW('Product Master'!$A$7:$A$1000)-ROW('Product Master'!$A$7)+1)/(('Product Master'!$A$7:$A$1000&lt;&gt;"")*('Product Master'!$P$7:$P$1000="Low Stock")),ROWS($A$12:A360))),"")</f>
        <v/>
      </c>
      <c r="B360" t="str">
        <f>IF($A360="","",INDEX('Product Master'!$B$7:$B$1000,MATCH($A360,'Product Master'!$A$7:$A$1000,0)))</f>
        <v/>
      </c>
      <c r="C360" t="str">
        <f>IF($A360="","",INDEX('Product Master'!$C$7:$C$1000,MATCH($A360,'Product Master'!$A$7:$A$1000,0)))</f>
        <v/>
      </c>
      <c r="D360" t="str">
        <f>IF($A360="","",INDEX('Product Master'!$M$7:$M$1000,MATCH($A360,'Product Master'!$A$7:$A$1000,0)))</f>
        <v/>
      </c>
      <c r="E360" t="str">
        <f>IF($A360="","",INDEX('Product Master'!$N$7:$N$1000,MATCH($A360,'Product Master'!$A$7:$A$1000,0)))</f>
        <v/>
      </c>
      <c r="F360" t="str">
        <f>IF($A360="","",INDEX('Product Master'!$P$7:$P$1000,MATCH($A360,'Product Master'!$A$7:$A$1000,0)))</f>
        <v/>
      </c>
      <c r="I360" t="str">
        <f>IFERROR(INDEX('Product Master'!$A$7:$A$1000,_xlfn.AGGREGATE(15,6,(ROW('Product Master'!$A$7:$A$1000)-ROW('Product Master'!$A$7)+1)/(('Product Master'!$A$7:$A$1000&lt;&gt;"")*('Product Master'!$P$7:$P$1000="Out of Stock")),ROWS($I$12:I360))),"")</f>
        <v/>
      </c>
      <c r="J360" t="str">
        <f>IF($I360="","",INDEX('Product Master'!$B$7:$B$1000,MATCH($I360,'Product Master'!$A$7:$A$1000,0)))</f>
        <v/>
      </c>
      <c r="K360" t="str">
        <f>IF($I360="","",INDEX('Product Master'!$C$7:$C$1000,MATCH($I360,'Product Master'!$A$7:$A$1000,0)))</f>
        <v/>
      </c>
      <c r="L360" t="str">
        <f>IF($I360="","",INDEX('Product Master'!$M$7:$M$1000,MATCH($I360,'Product Master'!$A$7:$A$1000,0)))</f>
        <v/>
      </c>
      <c r="M360" t="str">
        <f>IF($I360="","",INDEX('Product Master'!$N$7:$N$1000,MATCH($I360,'Product Master'!$A$7:$A$1000,0)))</f>
        <v/>
      </c>
    </row>
    <row r="361" spans="1:13" x14ac:dyDescent="0.3">
      <c r="A361" t="str">
        <f>IFERROR(INDEX('Product Master'!$A$7:$A$1000,_xlfn.AGGREGATE(15,6,(ROW('Product Master'!$A$7:$A$1000)-ROW('Product Master'!$A$7)+1)/(('Product Master'!$A$7:$A$1000&lt;&gt;"")*('Product Master'!$P$7:$P$1000="Low Stock")),ROWS($A$12:A361))),"")</f>
        <v/>
      </c>
      <c r="B361" t="str">
        <f>IF($A361="","",INDEX('Product Master'!$B$7:$B$1000,MATCH($A361,'Product Master'!$A$7:$A$1000,0)))</f>
        <v/>
      </c>
      <c r="C361" t="str">
        <f>IF($A361="","",INDEX('Product Master'!$C$7:$C$1000,MATCH($A361,'Product Master'!$A$7:$A$1000,0)))</f>
        <v/>
      </c>
      <c r="D361" t="str">
        <f>IF($A361="","",INDEX('Product Master'!$M$7:$M$1000,MATCH($A361,'Product Master'!$A$7:$A$1000,0)))</f>
        <v/>
      </c>
      <c r="E361" t="str">
        <f>IF($A361="","",INDEX('Product Master'!$N$7:$N$1000,MATCH($A361,'Product Master'!$A$7:$A$1000,0)))</f>
        <v/>
      </c>
      <c r="F361" t="str">
        <f>IF($A361="","",INDEX('Product Master'!$P$7:$P$1000,MATCH($A361,'Product Master'!$A$7:$A$1000,0)))</f>
        <v/>
      </c>
      <c r="I361" t="str">
        <f>IFERROR(INDEX('Product Master'!$A$7:$A$1000,_xlfn.AGGREGATE(15,6,(ROW('Product Master'!$A$7:$A$1000)-ROW('Product Master'!$A$7)+1)/(('Product Master'!$A$7:$A$1000&lt;&gt;"")*('Product Master'!$P$7:$P$1000="Out of Stock")),ROWS($I$12:I361))),"")</f>
        <v/>
      </c>
      <c r="J361" t="str">
        <f>IF($I361="","",INDEX('Product Master'!$B$7:$B$1000,MATCH($I361,'Product Master'!$A$7:$A$1000,0)))</f>
        <v/>
      </c>
      <c r="K361" t="str">
        <f>IF($I361="","",INDEX('Product Master'!$C$7:$C$1000,MATCH($I361,'Product Master'!$A$7:$A$1000,0)))</f>
        <v/>
      </c>
      <c r="L361" t="str">
        <f>IF($I361="","",INDEX('Product Master'!$M$7:$M$1000,MATCH($I361,'Product Master'!$A$7:$A$1000,0)))</f>
        <v/>
      </c>
      <c r="M361" t="str">
        <f>IF($I361="","",INDEX('Product Master'!$N$7:$N$1000,MATCH($I361,'Product Master'!$A$7:$A$1000,0)))</f>
        <v/>
      </c>
    </row>
    <row r="362" spans="1:13" x14ac:dyDescent="0.3">
      <c r="A362" t="str">
        <f>IFERROR(INDEX('Product Master'!$A$7:$A$1000,_xlfn.AGGREGATE(15,6,(ROW('Product Master'!$A$7:$A$1000)-ROW('Product Master'!$A$7)+1)/(('Product Master'!$A$7:$A$1000&lt;&gt;"")*('Product Master'!$P$7:$P$1000="Low Stock")),ROWS($A$12:A362))),"")</f>
        <v/>
      </c>
      <c r="B362" t="str">
        <f>IF($A362="","",INDEX('Product Master'!$B$7:$B$1000,MATCH($A362,'Product Master'!$A$7:$A$1000,0)))</f>
        <v/>
      </c>
      <c r="C362" t="str">
        <f>IF($A362="","",INDEX('Product Master'!$C$7:$C$1000,MATCH($A362,'Product Master'!$A$7:$A$1000,0)))</f>
        <v/>
      </c>
      <c r="D362" t="str">
        <f>IF($A362="","",INDEX('Product Master'!$M$7:$M$1000,MATCH($A362,'Product Master'!$A$7:$A$1000,0)))</f>
        <v/>
      </c>
      <c r="E362" t="str">
        <f>IF($A362="","",INDEX('Product Master'!$N$7:$N$1000,MATCH($A362,'Product Master'!$A$7:$A$1000,0)))</f>
        <v/>
      </c>
      <c r="F362" t="str">
        <f>IF($A362="","",INDEX('Product Master'!$P$7:$P$1000,MATCH($A362,'Product Master'!$A$7:$A$1000,0)))</f>
        <v/>
      </c>
      <c r="I362" t="str">
        <f>IFERROR(INDEX('Product Master'!$A$7:$A$1000,_xlfn.AGGREGATE(15,6,(ROW('Product Master'!$A$7:$A$1000)-ROW('Product Master'!$A$7)+1)/(('Product Master'!$A$7:$A$1000&lt;&gt;"")*('Product Master'!$P$7:$P$1000="Out of Stock")),ROWS($I$12:I362))),"")</f>
        <v/>
      </c>
      <c r="J362" t="str">
        <f>IF($I362="","",INDEX('Product Master'!$B$7:$B$1000,MATCH($I362,'Product Master'!$A$7:$A$1000,0)))</f>
        <v/>
      </c>
      <c r="K362" t="str">
        <f>IF($I362="","",INDEX('Product Master'!$C$7:$C$1000,MATCH($I362,'Product Master'!$A$7:$A$1000,0)))</f>
        <v/>
      </c>
      <c r="L362" t="str">
        <f>IF($I362="","",INDEX('Product Master'!$M$7:$M$1000,MATCH($I362,'Product Master'!$A$7:$A$1000,0)))</f>
        <v/>
      </c>
      <c r="M362" t="str">
        <f>IF($I362="","",INDEX('Product Master'!$N$7:$N$1000,MATCH($I362,'Product Master'!$A$7:$A$1000,0)))</f>
        <v/>
      </c>
    </row>
    <row r="363" spans="1:13" x14ac:dyDescent="0.3">
      <c r="A363" t="str">
        <f>IFERROR(INDEX('Product Master'!$A$7:$A$1000,_xlfn.AGGREGATE(15,6,(ROW('Product Master'!$A$7:$A$1000)-ROW('Product Master'!$A$7)+1)/(('Product Master'!$A$7:$A$1000&lt;&gt;"")*('Product Master'!$P$7:$P$1000="Low Stock")),ROWS($A$12:A363))),"")</f>
        <v/>
      </c>
      <c r="B363" t="str">
        <f>IF($A363="","",INDEX('Product Master'!$B$7:$B$1000,MATCH($A363,'Product Master'!$A$7:$A$1000,0)))</f>
        <v/>
      </c>
      <c r="C363" t="str">
        <f>IF($A363="","",INDEX('Product Master'!$C$7:$C$1000,MATCH($A363,'Product Master'!$A$7:$A$1000,0)))</f>
        <v/>
      </c>
      <c r="D363" t="str">
        <f>IF($A363="","",INDEX('Product Master'!$M$7:$M$1000,MATCH($A363,'Product Master'!$A$7:$A$1000,0)))</f>
        <v/>
      </c>
      <c r="E363" t="str">
        <f>IF($A363="","",INDEX('Product Master'!$N$7:$N$1000,MATCH($A363,'Product Master'!$A$7:$A$1000,0)))</f>
        <v/>
      </c>
      <c r="F363" t="str">
        <f>IF($A363="","",INDEX('Product Master'!$P$7:$P$1000,MATCH($A363,'Product Master'!$A$7:$A$1000,0)))</f>
        <v/>
      </c>
      <c r="I363" t="str">
        <f>IFERROR(INDEX('Product Master'!$A$7:$A$1000,_xlfn.AGGREGATE(15,6,(ROW('Product Master'!$A$7:$A$1000)-ROW('Product Master'!$A$7)+1)/(('Product Master'!$A$7:$A$1000&lt;&gt;"")*('Product Master'!$P$7:$P$1000="Out of Stock")),ROWS($I$12:I363))),"")</f>
        <v/>
      </c>
      <c r="J363" t="str">
        <f>IF($I363="","",INDEX('Product Master'!$B$7:$B$1000,MATCH($I363,'Product Master'!$A$7:$A$1000,0)))</f>
        <v/>
      </c>
      <c r="K363" t="str">
        <f>IF($I363="","",INDEX('Product Master'!$C$7:$C$1000,MATCH($I363,'Product Master'!$A$7:$A$1000,0)))</f>
        <v/>
      </c>
      <c r="L363" t="str">
        <f>IF($I363="","",INDEX('Product Master'!$M$7:$M$1000,MATCH($I363,'Product Master'!$A$7:$A$1000,0)))</f>
        <v/>
      </c>
      <c r="M363" t="str">
        <f>IF($I363="","",INDEX('Product Master'!$N$7:$N$1000,MATCH($I363,'Product Master'!$A$7:$A$1000,0)))</f>
        <v/>
      </c>
    </row>
    <row r="364" spans="1:13" x14ac:dyDescent="0.3">
      <c r="A364" t="str">
        <f>IFERROR(INDEX('Product Master'!$A$7:$A$1000,_xlfn.AGGREGATE(15,6,(ROW('Product Master'!$A$7:$A$1000)-ROW('Product Master'!$A$7)+1)/(('Product Master'!$A$7:$A$1000&lt;&gt;"")*('Product Master'!$P$7:$P$1000="Low Stock")),ROWS($A$12:A364))),"")</f>
        <v/>
      </c>
      <c r="B364" t="str">
        <f>IF($A364="","",INDEX('Product Master'!$B$7:$B$1000,MATCH($A364,'Product Master'!$A$7:$A$1000,0)))</f>
        <v/>
      </c>
      <c r="C364" t="str">
        <f>IF($A364="","",INDEX('Product Master'!$C$7:$C$1000,MATCH($A364,'Product Master'!$A$7:$A$1000,0)))</f>
        <v/>
      </c>
      <c r="D364" t="str">
        <f>IF($A364="","",INDEX('Product Master'!$M$7:$M$1000,MATCH($A364,'Product Master'!$A$7:$A$1000,0)))</f>
        <v/>
      </c>
      <c r="E364" t="str">
        <f>IF($A364="","",INDEX('Product Master'!$N$7:$N$1000,MATCH($A364,'Product Master'!$A$7:$A$1000,0)))</f>
        <v/>
      </c>
      <c r="F364" t="str">
        <f>IF($A364="","",INDEX('Product Master'!$P$7:$P$1000,MATCH($A364,'Product Master'!$A$7:$A$1000,0)))</f>
        <v/>
      </c>
      <c r="I364" t="str">
        <f>IFERROR(INDEX('Product Master'!$A$7:$A$1000,_xlfn.AGGREGATE(15,6,(ROW('Product Master'!$A$7:$A$1000)-ROW('Product Master'!$A$7)+1)/(('Product Master'!$A$7:$A$1000&lt;&gt;"")*('Product Master'!$P$7:$P$1000="Out of Stock")),ROWS($I$12:I364))),"")</f>
        <v/>
      </c>
      <c r="J364" t="str">
        <f>IF($I364="","",INDEX('Product Master'!$B$7:$B$1000,MATCH($I364,'Product Master'!$A$7:$A$1000,0)))</f>
        <v/>
      </c>
      <c r="K364" t="str">
        <f>IF($I364="","",INDEX('Product Master'!$C$7:$C$1000,MATCH($I364,'Product Master'!$A$7:$A$1000,0)))</f>
        <v/>
      </c>
      <c r="L364" t="str">
        <f>IF($I364="","",INDEX('Product Master'!$M$7:$M$1000,MATCH($I364,'Product Master'!$A$7:$A$1000,0)))</f>
        <v/>
      </c>
      <c r="M364" t="str">
        <f>IF($I364="","",INDEX('Product Master'!$N$7:$N$1000,MATCH($I364,'Product Master'!$A$7:$A$1000,0)))</f>
        <v/>
      </c>
    </row>
    <row r="365" spans="1:13" x14ac:dyDescent="0.3">
      <c r="A365" t="str">
        <f>IFERROR(INDEX('Product Master'!$A$7:$A$1000,_xlfn.AGGREGATE(15,6,(ROW('Product Master'!$A$7:$A$1000)-ROW('Product Master'!$A$7)+1)/(('Product Master'!$A$7:$A$1000&lt;&gt;"")*('Product Master'!$P$7:$P$1000="Low Stock")),ROWS($A$12:A365))),"")</f>
        <v/>
      </c>
      <c r="B365" t="str">
        <f>IF($A365="","",INDEX('Product Master'!$B$7:$B$1000,MATCH($A365,'Product Master'!$A$7:$A$1000,0)))</f>
        <v/>
      </c>
      <c r="C365" t="str">
        <f>IF($A365="","",INDEX('Product Master'!$C$7:$C$1000,MATCH($A365,'Product Master'!$A$7:$A$1000,0)))</f>
        <v/>
      </c>
      <c r="D365" t="str">
        <f>IF($A365="","",INDEX('Product Master'!$M$7:$M$1000,MATCH($A365,'Product Master'!$A$7:$A$1000,0)))</f>
        <v/>
      </c>
      <c r="E365" t="str">
        <f>IF($A365="","",INDEX('Product Master'!$N$7:$N$1000,MATCH($A365,'Product Master'!$A$7:$A$1000,0)))</f>
        <v/>
      </c>
      <c r="F365" t="str">
        <f>IF($A365="","",INDEX('Product Master'!$P$7:$P$1000,MATCH($A365,'Product Master'!$A$7:$A$1000,0)))</f>
        <v/>
      </c>
      <c r="I365" t="str">
        <f>IFERROR(INDEX('Product Master'!$A$7:$A$1000,_xlfn.AGGREGATE(15,6,(ROW('Product Master'!$A$7:$A$1000)-ROW('Product Master'!$A$7)+1)/(('Product Master'!$A$7:$A$1000&lt;&gt;"")*('Product Master'!$P$7:$P$1000="Out of Stock")),ROWS($I$12:I365))),"")</f>
        <v/>
      </c>
      <c r="J365" t="str">
        <f>IF($I365="","",INDEX('Product Master'!$B$7:$B$1000,MATCH($I365,'Product Master'!$A$7:$A$1000,0)))</f>
        <v/>
      </c>
      <c r="K365" t="str">
        <f>IF($I365="","",INDEX('Product Master'!$C$7:$C$1000,MATCH($I365,'Product Master'!$A$7:$A$1000,0)))</f>
        <v/>
      </c>
      <c r="L365" t="str">
        <f>IF($I365="","",INDEX('Product Master'!$M$7:$M$1000,MATCH($I365,'Product Master'!$A$7:$A$1000,0)))</f>
        <v/>
      </c>
      <c r="M365" t="str">
        <f>IF($I365="","",INDEX('Product Master'!$N$7:$N$1000,MATCH($I365,'Product Master'!$A$7:$A$1000,0)))</f>
        <v/>
      </c>
    </row>
    <row r="366" spans="1:13" x14ac:dyDescent="0.3">
      <c r="A366" t="str">
        <f>IFERROR(INDEX('Product Master'!$A$7:$A$1000,_xlfn.AGGREGATE(15,6,(ROW('Product Master'!$A$7:$A$1000)-ROW('Product Master'!$A$7)+1)/(('Product Master'!$A$7:$A$1000&lt;&gt;"")*('Product Master'!$P$7:$P$1000="Low Stock")),ROWS($A$12:A366))),"")</f>
        <v/>
      </c>
      <c r="B366" t="str">
        <f>IF($A366="","",INDEX('Product Master'!$B$7:$B$1000,MATCH($A366,'Product Master'!$A$7:$A$1000,0)))</f>
        <v/>
      </c>
      <c r="C366" t="str">
        <f>IF($A366="","",INDEX('Product Master'!$C$7:$C$1000,MATCH($A366,'Product Master'!$A$7:$A$1000,0)))</f>
        <v/>
      </c>
      <c r="D366" t="str">
        <f>IF($A366="","",INDEX('Product Master'!$M$7:$M$1000,MATCH($A366,'Product Master'!$A$7:$A$1000,0)))</f>
        <v/>
      </c>
      <c r="E366" t="str">
        <f>IF($A366="","",INDEX('Product Master'!$N$7:$N$1000,MATCH($A366,'Product Master'!$A$7:$A$1000,0)))</f>
        <v/>
      </c>
      <c r="F366" t="str">
        <f>IF($A366="","",INDEX('Product Master'!$P$7:$P$1000,MATCH($A366,'Product Master'!$A$7:$A$1000,0)))</f>
        <v/>
      </c>
      <c r="I366" t="str">
        <f>IFERROR(INDEX('Product Master'!$A$7:$A$1000,_xlfn.AGGREGATE(15,6,(ROW('Product Master'!$A$7:$A$1000)-ROW('Product Master'!$A$7)+1)/(('Product Master'!$A$7:$A$1000&lt;&gt;"")*('Product Master'!$P$7:$P$1000="Out of Stock")),ROWS($I$12:I366))),"")</f>
        <v/>
      </c>
      <c r="J366" t="str">
        <f>IF($I366="","",INDEX('Product Master'!$B$7:$B$1000,MATCH($I366,'Product Master'!$A$7:$A$1000,0)))</f>
        <v/>
      </c>
      <c r="K366" t="str">
        <f>IF($I366="","",INDEX('Product Master'!$C$7:$C$1000,MATCH($I366,'Product Master'!$A$7:$A$1000,0)))</f>
        <v/>
      </c>
      <c r="L366" t="str">
        <f>IF($I366="","",INDEX('Product Master'!$M$7:$M$1000,MATCH($I366,'Product Master'!$A$7:$A$1000,0)))</f>
        <v/>
      </c>
      <c r="M366" t="str">
        <f>IF($I366="","",INDEX('Product Master'!$N$7:$N$1000,MATCH($I366,'Product Master'!$A$7:$A$1000,0)))</f>
        <v/>
      </c>
    </row>
    <row r="367" spans="1:13" x14ac:dyDescent="0.3">
      <c r="A367" t="str">
        <f>IFERROR(INDEX('Product Master'!$A$7:$A$1000,_xlfn.AGGREGATE(15,6,(ROW('Product Master'!$A$7:$A$1000)-ROW('Product Master'!$A$7)+1)/(('Product Master'!$A$7:$A$1000&lt;&gt;"")*('Product Master'!$P$7:$P$1000="Low Stock")),ROWS($A$12:A367))),"")</f>
        <v/>
      </c>
      <c r="B367" t="str">
        <f>IF($A367="","",INDEX('Product Master'!$B$7:$B$1000,MATCH($A367,'Product Master'!$A$7:$A$1000,0)))</f>
        <v/>
      </c>
      <c r="C367" t="str">
        <f>IF($A367="","",INDEX('Product Master'!$C$7:$C$1000,MATCH($A367,'Product Master'!$A$7:$A$1000,0)))</f>
        <v/>
      </c>
      <c r="D367" t="str">
        <f>IF($A367="","",INDEX('Product Master'!$M$7:$M$1000,MATCH($A367,'Product Master'!$A$7:$A$1000,0)))</f>
        <v/>
      </c>
      <c r="E367" t="str">
        <f>IF($A367="","",INDEX('Product Master'!$N$7:$N$1000,MATCH($A367,'Product Master'!$A$7:$A$1000,0)))</f>
        <v/>
      </c>
      <c r="F367" t="str">
        <f>IF($A367="","",INDEX('Product Master'!$P$7:$P$1000,MATCH($A367,'Product Master'!$A$7:$A$1000,0)))</f>
        <v/>
      </c>
      <c r="I367" t="str">
        <f>IFERROR(INDEX('Product Master'!$A$7:$A$1000,_xlfn.AGGREGATE(15,6,(ROW('Product Master'!$A$7:$A$1000)-ROW('Product Master'!$A$7)+1)/(('Product Master'!$A$7:$A$1000&lt;&gt;"")*('Product Master'!$P$7:$P$1000="Out of Stock")),ROWS($I$12:I367))),"")</f>
        <v/>
      </c>
      <c r="J367" t="str">
        <f>IF($I367="","",INDEX('Product Master'!$B$7:$B$1000,MATCH($I367,'Product Master'!$A$7:$A$1000,0)))</f>
        <v/>
      </c>
      <c r="K367" t="str">
        <f>IF($I367="","",INDEX('Product Master'!$C$7:$C$1000,MATCH($I367,'Product Master'!$A$7:$A$1000,0)))</f>
        <v/>
      </c>
      <c r="L367" t="str">
        <f>IF($I367="","",INDEX('Product Master'!$M$7:$M$1000,MATCH($I367,'Product Master'!$A$7:$A$1000,0)))</f>
        <v/>
      </c>
      <c r="M367" t="str">
        <f>IF($I367="","",INDEX('Product Master'!$N$7:$N$1000,MATCH($I367,'Product Master'!$A$7:$A$1000,0)))</f>
        <v/>
      </c>
    </row>
    <row r="368" spans="1:13" x14ac:dyDescent="0.3">
      <c r="A368" t="str">
        <f>IFERROR(INDEX('Product Master'!$A$7:$A$1000,_xlfn.AGGREGATE(15,6,(ROW('Product Master'!$A$7:$A$1000)-ROW('Product Master'!$A$7)+1)/(('Product Master'!$A$7:$A$1000&lt;&gt;"")*('Product Master'!$P$7:$P$1000="Low Stock")),ROWS($A$12:A368))),"")</f>
        <v/>
      </c>
      <c r="B368" t="str">
        <f>IF($A368="","",INDEX('Product Master'!$B$7:$B$1000,MATCH($A368,'Product Master'!$A$7:$A$1000,0)))</f>
        <v/>
      </c>
      <c r="C368" t="str">
        <f>IF($A368="","",INDEX('Product Master'!$C$7:$C$1000,MATCH($A368,'Product Master'!$A$7:$A$1000,0)))</f>
        <v/>
      </c>
      <c r="D368" t="str">
        <f>IF($A368="","",INDEX('Product Master'!$M$7:$M$1000,MATCH($A368,'Product Master'!$A$7:$A$1000,0)))</f>
        <v/>
      </c>
      <c r="E368" t="str">
        <f>IF($A368="","",INDEX('Product Master'!$N$7:$N$1000,MATCH($A368,'Product Master'!$A$7:$A$1000,0)))</f>
        <v/>
      </c>
      <c r="F368" t="str">
        <f>IF($A368="","",INDEX('Product Master'!$P$7:$P$1000,MATCH($A368,'Product Master'!$A$7:$A$1000,0)))</f>
        <v/>
      </c>
      <c r="I368" t="str">
        <f>IFERROR(INDEX('Product Master'!$A$7:$A$1000,_xlfn.AGGREGATE(15,6,(ROW('Product Master'!$A$7:$A$1000)-ROW('Product Master'!$A$7)+1)/(('Product Master'!$A$7:$A$1000&lt;&gt;"")*('Product Master'!$P$7:$P$1000="Out of Stock")),ROWS($I$12:I368))),"")</f>
        <v/>
      </c>
      <c r="J368" t="str">
        <f>IF($I368="","",INDEX('Product Master'!$B$7:$B$1000,MATCH($I368,'Product Master'!$A$7:$A$1000,0)))</f>
        <v/>
      </c>
      <c r="K368" t="str">
        <f>IF($I368="","",INDEX('Product Master'!$C$7:$C$1000,MATCH($I368,'Product Master'!$A$7:$A$1000,0)))</f>
        <v/>
      </c>
      <c r="L368" t="str">
        <f>IF($I368="","",INDEX('Product Master'!$M$7:$M$1000,MATCH($I368,'Product Master'!$A$7:$A$1000,0)))</f>
        <v/>
      </c>
      <c r="M368" t="str">
        <f>IF($I368="","",INDEX('Product Master'!$N$7:$N$1000,MATCH($I368,'Product Master'!$A$7:$A$1000,0)))</f>
        <v/>
      </c>
    </row>
    <row r="369" spans="1:13" x14ac:dyDescent="0.3">
      <c r="A369" t="str">
        <f>IFERROR(INDEX('Product Master'!$A$7:$A$1000,_xlfn.AGGREGATE(15,6,(ROW('Product Master'!$A$7:$A$1000)-ROW('Product Master'!$A$7)+1)/(('Product Master'!$A$7:$A$1000&lt;&gt;"")*('Product Master'!$P$7:$P$1000="Low Stock")),ROWS($A$12:A369))),"")</f>
        <v/>
      </c>
      <c r="B369" t="str">
        <f>IF($A369="","",INDEX('Product Master'!$B$7:$B$1000,MATCH($A369,'Product Master'!$A$7:$A$1000,0)))</f>
        <v/>
      </c>
      <c r="C369" t="str">
        <f>IF($A369="","",INDEX('Product Master'!$C$7:$C$1000,MATCH($A369,'Product Master'!$A$7:$A$1000,0)))</f>
        <v/>
      </c>
      <c r="D369" t="str">
        <f>IF($A369="","",INDEX('Product Master'!$M$7:$M$1000,MATCH($A369,'Product Master'!$A$7:$A$1000,0)))</f>
        <v/>
      </c>
      <c r="E369" t="str">
        <f>IF($A369="","",INDEX('Product Master'!$N$7:$N$1000,MATCH($A369,'Product Master'!$A$7:$A$1000,0)))</f>
        <v/>
      </c>
      <c r="F369" t="str">
        <f>IF($A369="","",INDEX('Product Master'!$P$7:$P$1000,MATCH($A369,'Product Master'!$A$7:$A$1000,0)))</f>
        <v/>
      </c>
      <c r="I369" t="str">
        <f>IFERROR(INDEX('Product Master'!$A$7:$A$1000,_xlfn.AGGREGATE(15,6,(ROW('Product Master'!$A$7:$A$1000)-ROW('Product Master'!$A$7)+1)/(('Product Master'!$A$7:$A$1000&lt;&gt;"")*('Product Master'!$P$7:$P$1000="Out of Stock")),ROWS($I$12:I369))),"")</f>
        <v/>
      </c>
      <c r="J369" t="str">
        <f>IF($I369="","",INDEX('Product Master'!$B$7:$B$1000,MATCH($I369,'Product Master'!$A$7:$A$1000,0)))</f>
        <v/>
      </c>
      <c r="K369" t="str">
        <f>IF($I369="","",INDEX('Product Master'!$C$7:$C$1000,MATCH($I369,'Product Master'!$A$7:$A$1000,0)))</f>
        <v/>
      </c>
      <c r="L369" t="str">
        <f>IF($I369="","",INDEX('Product Master'!$M$7:$M$1000,MATCH($I369,'Product Master'!$A$7:$A$1000,0)))</f>
        <v/>
      </c>
      <c r="M369" t="str">
        <f>IF($I369="","",INDEX('Product Master'!$N$7:$N$1000,MATCH($I369,'Product Master'!$A$7:$A$1000,0)))</f>
        <v/>
      </c>
    </row>
    <row r="370" spans="1:13" x14ac:dyDescent="0.3">
      <c r="A370" t="str">
        <f>IFERROR(INDEX('Product Master'!$A$7:$A$1000,_xlfn.AGGREGATE(15,6,(ROW('Product Master'!$A$7:$A$1000)-ROW('Product Master'!$A$7)+1)/(('Product Master'!$A$7:$A$1000&lt;&gt;"")*('Product Master'!$P$7:$P$1000="Low Stock")),ROWS($A$12:A370))),"")</f>
        <v/>
      </c>
      <c r="B370" t="str">
        <f>IF($A370="","",INDEX('Product Master'!$B$7:$B$1000,MATCH($A370,'Product Master'!$A$7:$A$1000,0)))</f>
        <v/>
      </c>
      <c r="C370" t="str">
        <f>IF($A370="","",INDEX('Product Master'!$C$7:$C$1000,MATCH($A370,'Product Master'!$A$7:$A$1000,0)))</f>
        <v/>
      </c>
      <c r="D370" t="str">
        <f>IF($A370="","",INDEX('Product Master'!$M$7:$M$1000,MATCH($A370,'Product Master'!$A$7:$A$1000,0)))</f>
        <v/>
      </c>
      <c r="E370" t="str">
        <f>IF($A370="","",INDEX('Product Master'!$N$7:$N$1000,MATCH($A370,'Product Master'!$A$7:$A$1000,0)))</f>
        <v/>
      </c>
      <c r="F370" t="str">
        <f>IF($A370="","",INDEX('Product Master'!$P$7:$P$1000,MATCH($A370,'Product Master'!$A$7:$A$1000,0)))</f>
        <v/>
      </c>
      <c r="I370" t="str">
        <f>IFERROR(INDEX('Product Master'!$A$7:$A$1000,_xlfn.AGGREGATE(15,6,(ROW('Product Master'!$A$7:$A$1000)-ROW('Product Master'!$A$7)+1)/(('Product Master'!$A$7:$A$1000&lt;&gt;"")*('Product Master'!$P$7:$P$1000="Out of Stock")),ROWS($I$12:I370))),"")</f>
        <v/>
      </c>
      <c r="J370" t="str">
        <f>IF($I370="","",INDEX('Product Master'!$B$7:$B$1000,MATCH($I370,'Product Master'!$A$7:$A$1000,0)))</f>
        <v/>
      </c>
      <c r="K370" t="str">
        <f>IF($I370="","",INDEX('Product Master'!$C$7:$C$1000,MATCH($I370,'Product Master'!$A$7:$A$1000,0)))</f>
        <v/>
      </c>
      <c r="L370" t="str">
        <f>IF($I370="","",INDEX('Product Master'!$M$7:$M$1000,MATCH($I370,'Product Master'!$A$7:$A$1000,0)))</f>
        <v/>
      </c>
      <c r="M370" t="str">
        <f>IF($I370="","",INDEX('Product Master'!$N$7:$N$1000,MATCH($I370,'Product Master'!$A$7:$A$1000,0)))</f>
        <v/>
      </c>
    </row>
    <row r="371" spans="1:13" x14ac:dyDescent="0.3">
      <c r="A371" t="str">
        <f>IFERROR(INDEX('Product Master'!$A$7:$A$1000,_xlfn.AGGREGATE(15,6,(ROW('Product Master'!$A$7:$A$1000)-ROW('Product Master'!$A$7)+1)/(('Product Master'!$A$7:$A$1000&lt;&gt;"")*('Product Master'!$P$7:$P$1000="Low Stock")),ROWS($A$12:A371))),"")</f>
        <v/>
      </c>
      <c r="B371" t="str">
        <f>IF($A371="","",INDEX('Product Master'!$B$7:$B$1000,MATCH($A371,'Product Master'!$A$7:$A$1000,0)))</f>
        <v/>
      </c>
      <c r="C371" t="str">
        <f>IF($A371="","",INDEX('Product Master'!$C$7:$C$1000,MATCH($A371,'Product Master'!$A$7:$A$1000,0)))</f>
        <v/>
      </c>
      <c r="D371" t="str">
        <f>IF($A371="","",INDEX('Product Master'!$M$7:$M$1000,MATCH($A371,'Product Master'!$A$7:$A$1000,0)))</f>
        <v/>
      </c>
      <c r="E371" t="str">
        <f>IF($A371="","",INDEX('Product Master'!$N$7:$N$1000,MATCH($A371,'Product Master'!$A$7:$A$1000,0)))</f>
        <v/>
      </c>
      <c r="F371" t="str">
        <f>IF($A371="","",INDEX('Product Master'!$P$7:$P$1000,MATCH($A371,'Product Master'!$A$7:$A$1000,0)))</f>
        <v/>
      </c>
      <c r="I371" t="str">
        <f>IFERROR(INDEX('Product Master'!$A$7:$A$1000,_xlfn.AGGREGATE(15,6,(ROW('Product Master'!$A$7:$A$1000)-ROW('Product Master'!$A$7)+1)/(('Product Master'!$A$7:$A$1000&lt;&gt;"")*('Product Master'!$P$7:$P$1000="Out of Stock")),ROWS($I$12:I371))),"")</f>
        <v/>
      </c>
      <c r="J371" t="str">
        <f>IF($I371="","",INDEX('Product Master'!$B$7:$B$1000,MATCH($I371,'Product Master'!$A$7:$A$1000,0)))</f>
        <v/>
      </c>
      <c r="K371" t="str">
        <f>IF($I371="","",INDEX('Product Master'!$C$7:$C$1000,MATCH($I371,'Product Master'!$A$7:$A$1000,0)))</f>
        <v/>
      </c>
      <c r="L371" t="str">
        <f>IF($I371="","",INDEX('Product Master'!$M$7:$M$1000,MATCH($I371,'Product Master'!$A$7:$A$1000,0)))</f>
        <v/>
      </c>
      <c r="M371" t="str">
        <f>IF($I371="","",INDEX('Product Master'!$N$7:$N$1000,MATCH($I371,'Product Master'!$A$7:$A$1000,0)))</f>
        <v/>
      </c>
    </row>
    <row r="372" spans="1:13" x14ac:dyDescent="0.3">
      <c r="A372" t="str">
        <f>IFERROR(INDEX('Product Master'!$A$7:$A$1000,_xlfn.AGGREGATE(15,6,(ROW('Product Master'!$A$7:$A$1000)-ROW('Product Master'!$A$7)+1)/(('Product Master'!$A$7:$A$1000&lt;&gt;"")*('Product Master'!$P$7:$P$1000="Low Stock")),ROWS($A$12:A372))),"")</f>
        <v/>
      </c>
      <c r="B372" t="str">
        <f>IF($A372="","",INDEX('Product Master'!$B$7:$B$1000,MATCH($A372,'Product Master'!$A$7:$A$1000,0)))</f>
        <v/>
      </c>
      <c r="C372" t="str">
        <f>IF($A372="","",INDEX('Product Master'!$C$7:$C$1000,MATCH($A372,'Product Master'!$A$7:$A$1000,0)))</f>
        <v/>
      </c>
      <c r="D372" t="str">
        <f>IF($A372="","",INDEX('Product Master'!$M$7:$M$1000,MATCH($A372,'Product Master'!$A$7:$A$1000,0)))</f>
        <v/>
      </c>
      <c r="E372" t="str">
        <f>IF($A372="","",INDEX('Product Master'!$N$7:$N$1000,MATCH($A372,'Product Master'!$A$7:$A$1000,0)))</f>
        <v/>
      </c>
      <c r="F372" t="str">
        <f>IF($A372="","",INDEX('Product Master'!$P$7:$P$1000,MATCH($A372,'Product Master'!$A$7:$A$1000,0)))</f>
        <v/>
      </c>
      <c r="I372" t="str">
        <f>IFERROR(INDEX('Product Master'!$A$7:$A$1000,_xlfn.AGGREGATE(15,6,(ROW('Product Master'!$A$7:$A$1000)-ROW('Product Master'!$A$7)+1)/(('Product Master'!$A$7:$A$1000&lt;&gt;"")*('Product Master'!$P$7:$P$1000="Out of Stock")),ROWS($I$12:I372))),"")</f>
        <v/>
      </c>
      <c r="J372" t="str">
        <f>IF($I372="","",INDEX('Product Master'!$B$7:$B$1000,MATCH($I372,'Product Master'!$A$7:$A$1000,0)))</f>
        <v/>
      </c>
      <c r="K372" t="str">
        <f>IF($I372="","",INDEX('Product Master'!$C$7:$C$1000,MATCH($I372,'Product Master'!$A$7:$A$1000,0)))</f>
        <v/>
      </c>
      <c r="L372" t="str">
        <f>IF($I372="","",INDEX('Product Master'!$M$7:$M$1000,MATCH($I372,'Product Master'!$A$7:$A$1000,0)))</f>
        <v/>
      </c>
      <c r="M372" t="str">
        <f>IF($I372="","",INDEX('Product Master'!$N$7:$N$1000,MATCH($I372,'Product Master'!$A$7:$A$1000,0)))</f>
        <v/>
      </c>
    </row>
    <row r="373" spans="1:13" x14ac:dyDescent="0.3">
      <c r="A373" t="str">
        <f>IFERROR(INDEX('Product Master'!$A$7:$A$1000,_xlfn.AGGREGATE(15,6,(ROW('Product Master'!$A$7:$A$1000)-ROW('Product Master'!$A$7)+1)/(('Product Master'!$A$7:$A$1000&lt;&gt;"")*('Product Master'!$P$7:$P$1000="Low Stock")),ROWS($A$12:A373))),"")</f>
        <v/>
      </c>
      <c r="B373" t="str">
        <f>IF($A373="","",INDEX('Product Master'!$B$7:$B$1000,MATCH($A373,'Product Master'!$A$7:$A$1000,0)))</f>
        <v/>
      </c>
      <c r="C373" t="str">
        <f>IF($A373="","",INDEX('Product Master'!$C$7:$C$1000,MATCH($A373,'Product Master'!$A$7:$A$1000,0)))</f>
        <v/>
      </c>
      <c r="D373" t="str">
        <f>IF($A373="","",INDEX('Product Master'!$M$7:$M$1000,MATCH($A373,'Product Master'!$A$7:$A$1000,0)))</f>
        <v/>
      </c>
      <c r="E373" t="str">
        <f>IF($A373="","",INDEX('Product Master'!$N$7:$N$1000,MATCH($A373,'Product Master'!$A$7:$A$1000,0)))</f>
        <v/>
      </c>
      <c r="F373" t="str">
        <f>IF($A373="","",INDEX('Product Master'!$P$7:$P$1000,MATCH($A373,'Product Master'!$A$7:$A$1000,0)))</f>
        <v/>
      </c>
      <c r="I373" t="str">
        <f>IFERROR(INDEX('Product Master'!$A$7:$A$1000,_xlfn.AGGREGATE(15,6,(ROW('Product Master'!$A$7:$A$1000)-ROW('Product Master'!$A$7)+1)/(('Product Master'!$A$7:$A$1000&lt;&gt;"")*('Product Master'!$P$7:$P$1000="Out of Stock")),ROWS($I$12:I373))),"")</f>
        <v/>
      </c>
      <c r="J373" t="str">
        <f>IF($I373="","",INDEX('Product Master'!$B$7:$B$1000,MATCH($I373,'Product Master'!$A$7:$A$1000,0)))</f>
        <v/>
      </c>
      <c r="K373" t="str">
        <f>IF($I373="","",INDEX('Product Master'!$C$7:$C$1000,MATCH($I373,'Product Master'!$A$7:$A$1000,0)))</f>
        <v/>
      </c>
      <c r="L373" t="str">
        <f>IF($I373="","",INDEX('Product Master'!$M$7:$M$1000,MATCH($I373,'Product Master'!$A$7:$A$1000,0)))</f>
        <v/>
      </c>
      <c r="M373" t="str">
        <f>IF($I373="","",INDEX('Product Master'!$N$7:$N$1000,MATCH($I373,'Product Master'!$A$7:$A$1000,0)))</f>
        <v/>
      </c>
    </row>
    <row r="374" spans="1:13" x14ac:dyDescent="0.3">
      <c r="A374" t="str">
        <f>IFERROR(INDEX('Product Master'!$A$7:$A$1000,_xlfn.AGGREGATE(15,6,(ROW('Product Master'!$A$7:$A$1000)-ROW('Product Master'!$A$7)+1)/(('Product Master'!$A$7:$A$1000&lt;&gt;"")*('Product Master'!$P$7:$P$1000="Low Stock")),ROWS($A$12:A374))),"")</f>
        <v/>
      </c>
      <c r="B374" t="str">
        <f>IF($A374="","",INDEX('Product Master'!$B$7:$B$1000,MATCH($A374,'Product Master'!$A$7:$A$1000,0)))</f>
        <v/>
      </c>
      <c r="C374" t="str">
        <f>IF($A374="","",INDEX('Product Master'!$C$7:$C$1000,MATCH($A374,'Product Master'!$A$7:$A$1000,0)))</f>
        <v/>
      </c>
      <c r="D374" t="str">
        <f>IF($A374="","",INDEX('Product Master'!$M$7:$M$1000,MATCH($A374,'Product Master'!$A$7:$A$1000,0)))</f>
        <v/>
      </c>
      <c r="E374" t="str">
        <f>IF($A374="","",INDEX('Product Master'!$N$7:$N$1000,MATCH($A374,'Product Master'!$A$7:$A$1000,0)))</f>
        <v/>
      </c>
      <c r="F374" t="str">
        <f>IF($A374="","",INDEX('Product Master'!$P$7:$P$1000,MATCH($A374,'Product Master'!$A$7:$A$1000,0)))</f>
        <v/>
      </c>
      <c r="I374" t="str">
        <f>IFERROR(INDEX('Product Master'!$A$7:$A$1000,_xlfn.AGGREGATE(15,6,(ROW('Product Master'!$A$7:$A$1000)-ROW('Product Master'!$A$7)+1)/(('Product Master'!$A$7:$A$1000&lt;&gt;"")*('Product Master'!$P$7:$P$1000="Out of Stock")),ROWS($I$12:I374))),"")</f>
        <v/>
      </c>
      <c r="J374" t="str">
        <f>IF($I374="","",INDEX('Product Master'!$B$7:$B$1000,MATCH($I374,'Product Master'!$A$7:$A$1000,0)))</f>
        <v/>
      </c>
      <c r="K374" t="str">
        <f>IF($I374="","",INDEX('Product Master'!$C$7:$C$1000,MATCH($I374,'Product Master'!$A$7:$A$1000,0)))</f>
        <v/>
      </c>
      <c r="L374" t="str">
        <f>IF($I374="","",INDEX('Product Master'!$M$7:$M$1000,MATCH($I374,'Product Master'!$A$7:$A$1000,0)))</f>
        <v/>
      </c>
      <c r="M374" t="str">
        <f>IF($I374="","",INDEX('Product Master'!$N$7:$N$1000,MATCH($I374,'Product Master'!$A$7:$A$1000,0)))</f>
        <v/>
      </c>
    </row>
    <row r="375" spans="1:13" x14ac:dyDescent="0.3">
      <c r="A375" t="str">
        <f>IFERROR(INDEX('Product Master'!$A$7:$A$1000,_xlfn.AGGREGATE(15,6,(ROW('Product Master'!$A$7:$A$1000)-ROW('Product Master'!$A$7)+1)/(('Product Master'!$A$7:$A$1000&lt;&gt;"")*('Product Master'!$P$7:$P$1000="Low Stock")),ROWS($A$12:A375))),"")</f>
        <v/>
      </c>
      <c r="B375" t="str">
        <f>IF($A375="","",INDEX('Product Master'!$B$7:$B$1000,MATCH($A375,'Product Master'!$A$7:$A$1000,0)))</f>
        <v/>
      </c>
      <c r="C375" t="str">
        <f>IF($A375="","",INDEX('Product Master'!$C$7:$C$1000,MATCH($A375,'Product Master'!$A$7:$A$1000,0)))</f>
        <v/>
      </c>
      <c r="D375" t="str">
        <f>IF($A375="","",INDEX('Product Master'!$M$7:$M$1000,MATCH($A375,'Product Master'!$A$7:$A$1000,0)))</f>
        <v/>
      </c>
      <c r="E375" t="str">
        <f>IF($A375="","",INDEX('Product Master'!$N$7:$N$1000,MATCH($A375,'Product Master'!$A$7:$A$1000,0)))</f>
        <v/>
      </c>
      <c r="F375" t="str">
        <f>IF($A375="","",INDEX('Product Master'!$P$7:$P$1000,MATCH($A375,'Product Master'!$A$7:$A$1000,0)))</f>
        <v/>
      </c>
      <c r="I375" t="str">
        <f>IFERROR(INDEX('Product Master'!$A$7:$A$1000,_xlfn.AGGREGATE(15,6,(ROW('Product Master'!$A$7:$A$1000)-ROW('Product Master'!$A$7)+1)/(('Product Master'!$A$7:$A$1000&lt;&gt;"")*('Product Master'!$P$7:$P$1000="Out of Stock")),ROWS($I$12:I375))),"")</f>
        <v/>
      </c>
      <c r="J375" t="str">
        <f>IF($I375="","",INDEX('Product Master'!$B$7:$B$1000,MATCH($I375,'Product Master'!$A$7:$A$1000,0)))</f>
        <v/>
      </c>
      <c r="K375" t="str">
        <f>IF($I375="","",INDEX('Product Master'!$C$7:$C$1000,MATCH($I375,'Product Master'!$A$7:$A$1000,0)))</f>
        <v/>
      </c>
      <c r="L375" t="str">
        <f>IF($I375="","",INDEX('Product Master'!$M$7:$M$1000,MATCH($I375,'Product Master'!$A$7:$A$1000,0)))</f>
        <v/>
      </c>
      <c r="M375" t="str">
        <f>IF($I375="","",INDEX('Product Master'!$N$7:$N$1000,MATCH($I375,'Product Master'!$A$7:$A$1000,0)))</f>
        <v/>
      </c>
    </row>
    <row r="376" spans="1:13" x14ac:dyDescent="0.3">
      <c r="A376" t="str">
        <f>IFERROR(INDEX('Product Master'!$A$7:$A$1000,_xlfn.AGGREGATE(15,6,(ROW('Product Master'!$A$7:$A$1000)-ROW('Product Master'!$A$7)+1)/(('Product Master'!$A$7:$A$1000&lt;&gt;"")*('Product Master'!$P$7:$P$1000="Low Stock")),ROWS($A$12:A376))),"")</f>
        <v/>
      </c>
      <c r="B376" t="str">
        <f>IF($A376="","",INDEX('Product Master'!$B$7:$B$1000,MATCH($A376,'Product Master'!$A$7:$A$1000,0)))</f>
        <v/>
      </c>
      <c r="C376" t="str">
        <f>IF($A376="","",INDEX('Product Master'!$C$7:$C$1000,MATCH($A376,'Product Master'!$A$7:$A$1000,0)))</f>
        <v/>
      </c>
      <c r="D376" t="str">
        <f>IF($A376="","",INDEX('Product Master'!$M$7:$M$1000,MATCH($A376,'Product Master'!$A$7:$A$1000,0)))</f>
        <v/>
      </c>
      <c r="E376" t="str">
        <f>IF($A376="","",INDEX('Product Master'!$N$7:$N$1000,MATCH($A376,'Product Master'!$A$7:$A$1000,0)))</f>
        <v/>
      </c>
      <c r="F376" t="str">
        <f>IF($A376="","",INDEX('Product Master'!$P$7:$P$1000,MATCH($A376,'Product Master'!$A$7:$A$1000,0)))</f>
        <v/>
      </c>
      <c r="I376" t="str">
        <f>IFERROR(INDEX('Product Master'!$A$7:$A$1000,_xlfn.AGGREGATE(15,6,(ROW('Product Master'!$A$7:$A$1000)-ROW('Product Master'!$A$7)+1)/(('Product Master'!$A$7:$A$1000&lt;&gt;"")*('Product Master'!$P$7:$P$1000="Out of Stock")),ROWS($I$12:I376))),"")</f>
        <v/>
      </c>
      <c r="J376" t="str">
        <f>IF($I376="","",INDEX('Product Master'!$B$7:$B$1000,MATCH($I376,'Product Master'!$A$7:$A$1000,0)))</f>
        <v/>
      </c>
      <c r="K376" t="str">
        <f>IF($I376="","",INDEX('Product Master'!$C$7:$C$1000,MATCH($I376,'Product Master'!$A$7:$A$1000,0)))</f>
        <v/>
      </c>
      <c r="L376" t="str">
        <f>IF($I376="","",INDEX('Product Master'!$M$7:$M$1000,MATCH($I376,'Product Master'!$A$7:$A$1000,0)))</f>
        <v/>
      </c>
      <c r="M376" t="str">
        <f>IF($I376="","",INDEX('Product Master'!$N$7:$N$1000,MATCH($I376,'Product Master'!$A$7:$A$1000,0)))</f>
        <v/>
      </c>
    </row>
    <row r="377" spans="1:13" x14ac:dyDescent="0.3">
      <c r="A377" t="str">
        <f>IFERROR(INDEX('Product Master'!$A$7:$A$1000,_xlfn.AGGREGATE(15,6,(ROW('Product Master'!$A$7:$A$1000)-ROW('Product Master'!$A$7)+1)/(('Product Master'!$A$7:$A$1000&lt;&gt;"")*('Product Master'!$P$7:$P$1000="Low Stock")),ROWS($A$12:A377))),"")</f>
        <v/>
      </c>
      <c r="B377" t="str">
        <f>IF($A377="","",INDEX('Product Master'!$B$7:$B$1000,MATCH($A377,'Product Master'!$A$7:$A$1000,0)))</f>
        <v/>
      </c>
      <c r="C377" t="str">
        <f>IF($A377="","",INDEX('Product Master'!$C$7:$C$1000,MATCH($A377,'Product Master'!$A$7:$A$1000,0)))</f>
        <v/>
      </c>
      <c r="D377" t="str">
        <f>IF($A377="","",INDEX('Product Master'!$M$7:$M$1000,MATCH($A377,'Product Master'!$A$7:$A$1000,0)))</f>
        <v/>
      </c>
      <c r="E377" t="str">
        <f>IF($A377="","",INDEX('Product Master'!$N$7:$N$1000,MATCH($A377,'Product Master'!$A$7:$A$1000,0)))</f>
        <v/>
      </c>
      <c r="F377" t="str">
        <f>IF($A377="","",INDEX('Product Master'!$P$7:$P$1000,MATCH($A377,'Product Master'!$A$7:$A$1000,0)))</f>
        <v/>
      </c>
      <c r="I377" t="str">
        <f>IFERROR(INDEX('Product Master'!$A$7:$A$1000,_xlfn.AGGREGATE(15,6,(ROW('Product Master'!$A$7:$A$1000)-ROW('Product Master'!$A$7)+1)/(('Product Master'!$A$7:$A$1000&lt;&gt;"")*('Product Master'!$P$7:$P$1000="Out of Stock")),ROWS($I$12:I377))),"")</f>
        <v/>
      </c>
      <c r="J377" t="str">
        <f>IF($I377="","",INDEX('Product Master'!$B$7:$B$1000,MATCH($I377,'Product Master'!$A$7:$A$1000,0)))</f>
        <v/>
      </c>
      <c r="K377" t="str">
        <f>IF($I377="","",INDEX('Product Master'!$C$7:$C$1000,MATCH($I377,'Product Master'!$A$7:$A$1000,0)))</f>
        <v/>
      </c>
      <c r="L377" t="str">
        <f>IF($I377="","",INDEX('Product Master'!$M$7:$M$1000,MATCH($I377,'Product Master'!$A$7:$A$1000,0)))</f>
        <v/>
      </c>
      <c r="M377" t="str">
        <f>IF($I377="","",INDEX('Product Master'!$N$7:$N$1000,MATCH($I377,'Product Master'!$A$7:$A$1000,0)))</f>
        <v/>
      </c>
    </row>
    <row r="378" spans="1:13" x14ac:dyDescent="0.3">
      <c r="A378" t="str">
        <f>IFERROR(INDEX('Product Master'!$A$7:$A$1000,_xlfn.AGGREGATE(15,6,(ROW('Product Master'!$A$7:$A$1000)-ROW('Product Master'!$A$7)+1)/(('Product Master'!$A$7:$A$1000&lt;&gt;"")*('Product Master'!$P$7:$P$1000="Low Stock")),ROWS($A$12:A378))),"")</f>
        <v/>
      </c>
      <c r="B378" t="str">
        <f>IF($A378="","",INDEX('Product Master'!$B$7:$B$1000,MATCH($A378,'Product Master'!$A$7:$A$1000,0)))</f>
        <v/>
      </c>
      <c r="C378" t="str">
        <f>IF($A378="","",INDEX('Product Master'!$C$7:$C$1000,MATCH($A378,'Product Master'!$A$7:$A$1000,0)))</f>
        <v/>
      </c>
      <c r="D378" t="str">
        <f>IF($A378="","",INDEX('Product Master'!$M$7:$M$1000,MATCH($A378,'Product Master'!$A$7:$A$1000,0)))</f>
        <v/>
      </c>
      <c r="E378" t="str">
        <f>IF($A378="","",INDEX('Product Master'!$N$7:$N$1000,MATCH($A378,'Product Master'!$A$7:$A$1000,0)))</f>
        <v/>
      </c>
      <c r="F378" t="str">
        <f>IF($A378="","",INDEX('Product Master'!$P$7:$P$1000,MATCH($A378,'Product Master'!$A$7:$A$1000,0)))</f>
        <v/>
      </c>
      <c r="I378" t="str">
        <f>IFERROR(INDEX('Product Master'!$A$7:$A$1000,_xlfn.AGGREGATE(15,6,(ROW('Product Master'!$A$7:$A$1000)-ROW('Product Master'!$A$7)+1)/(('Product Master'!$A$7:$A$1000&lt;&gt;"")*('Product Master'!$P$7:$P$1000="Out of Stock")),ROWS($I$12:I378))),"")</f>
        <v/>
      </c>
      <c r="J378" t="str">
        <f>IF($I378="","",INDEX('Product Master'!$B$7:$B$1000,MATCH($I378,'Product Master'!$A$7:$A$1000,0)))</f>
        <v/>
      </c>
      <c r="K378" t="str">
        <f>IF($I378="","",INDEX('Product Master'!$C$7:$C$1000,MATCH($I378,'Product Master'!$A$7:$A$1000,0)))</f>
        <v/>
      </c>
      <c r="L378" t="str">
        <f>IF($I378="","",INDEX('Product Master'!$M$7:$M$1000,MATCH($I378,'Product Master'!$A$7:$A$1000,0)))</f>
        <v/>
      </c>
      <c r="M378" t="str">
        <f>IF($I378="","",INDEX('Product Master'!$N$7:$N$1000,MATCH($I378,'Product Master'!$A$7:$A$1000,0)))</f>
        <v/>
      </c>
    </row>
    <row r="379" spans="1:13" x14ac:dyDescent="0.3">
      <c r="A379" t="str">
        <f>IFERROR(INDEX('Product Master'!$A$7:$A$1000,_xlfn.AGGREGATE(15,6,(ROW('Product Master'!$A$7:$A$1000)-ROW('Product Master'!$A$7)+1)/(('Product Master'!$A$7:$A$1000&lt;&gt;"")*('Product Master'!$P$7:$P$1000="Low Stock")),ROWS($A$12:A379))),"")</f>
        <v/>
      </c>
      <c r="B379" t="str">
        <f>IF($A379="","",INDEX('Product Master'!$B$7:$B$1000,MATCH($A379,'Product Master'!$A$7:$A$1000,0)))</f>
        <v/>
      </c>
      <c r="C379" t="str">
        <f>IF($A379="","",INDEX('Product Master'!$C$7:$C$1000,MATCH($A379,'Product Master'!$A$7:$A$1000,0)))</f>
        <v/>
      </c>
      <c r="D379" t="str">
        <f>IF($A379="","",INDEX('Product Master'!$M$7:$M$1000,MATCH($A379,'Product Master'!$A$7:$A$1000,0)))</f>
        <v/>
      </c>
      <c r="E379" t="str">
        <f>IF($A379="","",INDEX('Product Master'!$N$7:$N$1000,MATCH($A379,'Product Master'!$A$7:$A$1000,0)))</f>
        <v/>
      </c>
      <c r="F379" t="str">
        <f>IF($A379="","",INDEX('Product Master'!$P$7:$P$1000,MATCH($A379,'Product Master'!$A$7:$A$1000,0)))</f>
        <v/>
      </c>
      <c r="I379" t="str">
        <f>IFERROR(INDEX('Product Master'!$A$7:$A$1000,_xlfn.AGGREGATE(15,6,(ROW('Product Master'!$A$7:$A$1000)-ROW('Product Master'!$A$7)+1)/(('Product Master'!$A$7:$A$1000&lt;&gt;"")*('Product Master'!$P$7:$P$1000="Out of Stock")),ROWS($I$12:I379))),"")</f>
        <v/>
      </c>
      <c r="J379" t="str">
        <f>IF($I379="","",INDEX('Product Master'!$B$7:$B$1000,MATCH($I379,'Product Master'!$A$7:$A$1000,0)))</f>
        <v/>
      </c>
      <c r="K379" t="str">
        <f>IF($I379="","",INDEX('Product Master'!$C$7:$C$1000,MATCH($I379,'Product Master'!$A$7:$A$1000,0)))</f>
        <v/>
      </c>
      <c r="L379" t="str">
        <f>IF($I379="","",INDEX('Product Master'!$M$7:$M$1000,MATCH($I379,'Product Master'!$A$7:$A$1000,0)))</f>
        <v/>
      </c>
      <c r="M379" t="str">
        <f>IF($I379="","",INDEX('Product Master'!$N$7:$N$1000,MATCH($I379,'Product Master'!$A$7:$A$1000,0)))</f>
        <v/>
      </c>
    </row>
    <row r="380" spans="1:13" x14ac:dyDescent="0.3">
      <c r="A380" t="str">
        <f>IFERROR(INDEX('Product Master'!$A$7:$A$1000,_xlfn.AGGREGATE(15,6,(ROW('Product Master'!$A$7:$A$1000)-ROW('Product Master'!$A$7)+1)/(('Product Master'!$A$7:$A$1000&lt;&gt;"")*('Product Master'!$P$7:$P$1000="Low Stock")),ROWS($A$12:A380))),"")</f>
        <v/>
      </c>
      <c r="B380" t="str">
        <f>IF($A380="","",INDEX('Product Master'!$B$7:$B$1000,MATCH($A380,'Product Master'!$A$7:$A$1000,0)))</f>
        <v/>
      </c>
      <c r="C380" t="str">
        <f>IF($A380="","",INDEX('Product Master'!$C$7:$C$1000,MATCH($A380,'Product Master'!$A$7:$A$1000,0)))</f>
        <v/>
      </c>
      <c r="D380" t="str">
        <f>IF($A380="","",INDEX('Product Master'!$M$7:$M$1000,MATCH($A380,'Product Master'!$A$7:$A$1000,0)))</f>
        <v/>
      </c>
      <c r="E380" t="str">
        <f>IF($A380="","",INDEX('Product Master'!$N$7:$N$1000,MATCH($A380,'Product Master'!$A$7:$A$1000,0)))</f>
        <v/>
      </c>
      <c r="F380" t="str">
        <f>IF($A380="","",INDEX('Product Master'!$P$7:$P$1000,MATCH($A380,'Product Master'!$A$7:$A$1000,0)))</f>
        <v/>
      </c>
      <c r="I380" t="str">
        <f>IFERROR(INDEX('Product Master'!$A$7:$A$1000,_xlfn.AGGREGATE(15,6,(ROW('Product Master'!$A$7:$A$1000)-ROW('Product Master'!$A$7)+1)/(('Product Master'!$A$7:$A$1000&lt;&gt;"")*('Product Master'!$P$7:$P$1000="Out of Stock")),ROWS($I$12:I380))),"")</f>
        <v/>
      </c>
      <c r="J380" t="str">
        <f>IF($I380="","",INDEX('Product Master'!$B$7:$B$1000,MATCH($I380,'Product Master'!$A$7:$A$1000,0)))</f>
        <v/>
      </c>
      <c r="K380" t="str">
        <f>IF($I380="","",INDEX('Product Master'!$C$7:$C$1000,MATCH($I380,'Product Master'!$A$7:$A$1000,0)))</f>
        <v/>
      </c>
      <c r="L380" t="str">
        <f>IF($I380="","",INDEX('Product Master'!$M$7:$M$1000,MATCH($I380,'Product Master'!$A$7:$A$1000,0)))</f>
        <v/>
      </c>
      <c r="M380" t="str">
        <f>IF($I380="","",INDEX('Product Master'!$N$7:$N$1000,MATCH($I380,'Product Master'!$A$7:$A$1000,0)))</f>
        <v/>
      </c>
    </row>
    <row r="381" spans="1:13" x14ac:dyDescent="0.3">
      <c r="A381" t="str">
        <f>IFERROR(INDEX('Product Master'!$A$7:$A$1000,_xlfn.AGGREGATE(15,6,(ROW('Product Master'!$A$7:$A$1000)-ROW('Product Master'!$A$7)+1)/(('Product Master'!$A$7:$A$1000&lt;&gt;"")*('Product Master'!$P$7:$P$1000="Low Stock")),ROWS($A$12:A381))),"")</f>
        <v/>
      </c>
      <c r="B381" t="str">
        <f>IF($A381="","",INDEX('Product Master'!$B$7:$B$1000,MATCH($A381,'Product Master'!$A$7:$A$1000,0)))</f>
        <v/>
      </c>
      <c r="C381" t="str">
        <f>IF($A381="","",INDEX('Product Master'!$C$7:$C$1000,MATCH($A381,'Product Master'!$A$7:$A$1000,0)))</f>
        <v/>
      </c>
      <c r="D381" t="str">
        <f>IF($A381="","",INDEX('Product Master'!$M$7:$M$1000,MATCH($A381,'Product Master'!$A$7:$A$1000,0)))</f>
        <v/>
      </c>
      <c r="E381" t="str">
        <f>IF($A381="","",INDEX('Product Master'!$N$7:$N$1000,MATCH($A381,'Product Master'!$A$7:$A$1000,0)))</f>
        <v/>
      </c>
      <c r="F381" t="str">
        <f>IF($A381="","",INDEX('Product Master'!$P$7:$P$1000,MATCH($A381,'Product Master'!$A$7:$A$1000,0)))</f>
        <v/>
      </c>
      <c r="I381" t="str">
        <f>IFERROR(INDEX('Product Master'!$A$7:$A$1000,_xlfn.AGGREGATE(15,6,(ROW('Product Master'!$A$7:$A$1000)-ROW('Product Master'!$A$7)+1)/(('Product Master'!$A$7:$A$1000&lt;&gt;"")*('Product Master'!$P$7:$P$1000="Out of Stock")),ROWS($I$12:I381))),"")</f>
        <v/>
      </c>
      <c r="J381" t="str">
        <f>IF($I381="","",INDEX('Product Master'!$B$7:$B$1000,MATCH($I381,'Product Master'!$A$7:$A$1000,0)))</f>
        <v/>
      </c>
      <c r="K381" t="str">
        <f>IF($I381="","",INDEX('Product Master'!$C$7:$C$1000,MATCH($I381,'Product Master'!$A$7:$A$1000,0)))</f>
        <v/>
      </c>
      <c r="L381" t="str">
        <f>IF($I381="","",INDEX('Product Master'!$M$7:$M$1000,MATCH($I381,'Product Master'!$A$7:$A$1000,0)))</f>
        <v/>
      </c>
      <c r="M381" t="str">
        <f>IF($I381="","",INDEX('Product Master'!$N$7:$N$1000,MATCH($I381,'Product Master'!$A$7:$A$1000,0)))</f>
        <v/>
      </c>
    </row>
    <row r="382" spans="1:13" x14ac:dyDescent="0.3">
      <c r="A382" t="str">
        <f>IFERROR(INDEX('Product Master'!$A$7:$A$1000,_xlfn.AGGREGATE(15,6,(ROW('Product Master'!$A$7:$A$1000)-ROW('Product Master'!$A$7)+1)/(('Product Master'!$A$7:$A$1000&lt;&gt;"")*('Product Master'!$P$7:$P$1000="Low Stock")),ROWS($A$12:A382))),"")</f>
        <v/>
      </c>
      <c r="B382" t="str">
        <f>IF($A382="","",INDEX('Product Master'!$B$7:$B$1000,MATCH($A382,'Product Master'!$A$7:$A$1000,0)))</f>
        <v/>
      </c>
      <c r="C382" t="str">
        <f>IF($A382="","",INDEX('Product Master'!$C$7:$C$1000,MATCH($A382,'Product Master'!$A$7:$A$1000,0)))</f>
        <v/>
      </c>
      <c r="D382" t="str">
        <f>IF($A382="","",INDEX('Product Master'!$M$7:$M$1000,MATCH($A382,'Product Master'!$A$7:$A$1000,0)))</f>
        <v/>
      </c>
      <c r="E382" t="str">
        <f>IF($A382="","",INDEX('Product Master'!$N$7:$N$1000,MATCH($A382,'Product Master'!$A$7:$A$1000,0)))</f>
        <v/>
      </c>
      <c r="F382" t="str">
        <f>IF($A382="","",INDEX('Product Master'!$P$7:$P$1000,MATCH($A382,'Product Master'!$A$7:$A$1000,0)))</f>
        <v/>
      </c>
      <c r="I382" t="str">
        <f>IFERROR(INDEX('Product Master'!$A$7:$A$1000,_xlfn.AGGREGATE(15,6,(ROW('Product Master'!$A$7:$A$1000)-ROW('Product Master'!$A$7)+1)/(('Product Master'!$A$7:$A$1000&lt;&gt;"")*('Product Master'!$P$7:$P$1000="Out of Stock")),ROWS($I$12:I382))),"")</f>
        <v/>
      </c>
      <c r="J382" t="str">
        <f>IF($I382="","",INDEX('Product Master'!$B$7:$B$1000,MATCH($I382,'Product Master'!$A$7:$A$1000,0)))</f>
        <v/>
      </c>
      <c r="K382" t="str">
        <f>IF($I382="","",INDEX('Product Master'!$C$7:$C$1000,MATCH($I382,'Product Master'!$A$7:$A$1000,0)))</f>
        <v/>
      </c>
      <c r="L382" t="str">
        <f>IF($I382="","",INDEX('Product Master'!$M$7:$M$1000,MATCH($I382,'Product Master'!$A$7:$A$1000,0)))</f>
        <v/>
      </c>
      <c r="M382" t="str">
        <f>IF($I382="","",INDEX('Product Master'!$N$7:$N$1000,MATCH($I382,'Product Master'!$A$7:$A$1000,0)))</f>
        <v/>
      </c>
    </row>
    <row r="383" spans="1:13" x14ac:dyDescent="0.3">
      <c r="A383" t="str">
        <f>IFERROR(INDEX('Product Master'!$A$7:$A$1000,_xlfn.AGGREGATE(15,6,(ROW('Product Master'!$A$7:$A$1000)-ROW('Product Master'!$A$7)+1)/(('Product Master'!$A$7:$A$1000&lt;&gt;"")*('Product Master'!$P$7:$P$1000="Low Stock")),ROWS($A$12:A383))),"")</f>
        <v/>
      </c>
      <c r="B383" t="str">
        <f>IF($A383="","",INDEX('Product Master'!$B$7:$B$1000,MATCH($A383,'Product Master'!$A$7:$A$1000,0)))</f>
        <v/>
      </c>
      <c r="C383" t="str">
        <f>IF($A383="","",INDEX('Product Master'!$C$7:$C$1000,MATCH($A383,'Product Master'!$A$7:$A$1000,0)))</f>
        <v/>
      </c>
      <c r="D383" t="str">
        <f>IF($A383="","",INDEX('Product Master'!$M$7:$M$1000,MATCH($A383,'Product Master'!$A$7:$A$1000,0)))</f>
        <v/>
      </c>
      <c r="E383" t="str">
        <f>IF($A383="","",INDEX('Product Master'!$N$7:$N$1000,MATCH($A383,'Product Master'!$A$7:$A$1000,0)))</f>
        <v/>
      </c>
      <c r="F383" t="str">
        <f>IF($A383="","",INDEX('Product Master'!$P$7:$P$1000,MATCH($A383,'Product Master'!$A$7:$A$1000,0)))</f>
        <v/>
      </c>
      <c r="I383" t="str">
        <f>IFERROR(INDEX('Product Master'!$A$7:$A$1000,_xlfn.AGGREGATE(15,6,(ROW('Product Master'!$A$7:$A$1000)-ROW('Product Master'!$A$7)+1)/(('Product Master'!$A$7:$A$1000&lt;&gt;"")*('Product Master'!$P$7:$P$1000="Out of Stock")),ROWS($I$12:I383))),"")</f>
        <v/>
      </c>
      <c r="J383" t="str">
        <f>IF($I383="","",INDEX('Product Master'!$B$7:$B$1000,MATCH($I383,'Product Master'!$A$7:$A$1000,0)))</f>
        <v/>
      </c>
      <c r="K383" t="str">
        <f>IF($I383="","",INDEX('Product Master'!$C$7:$C$1000,MATCH($I383,'Product Master'!$A$7:$A$1000,0)))</f>
        <v/>
      </c>
      <c r="L383" t="str">
        <f>IF($I383="","",INDEX('Product Master'!$M$7:$M$1000,MATCH($I383,'Product Master'!$A$7:$A$1000,0)))</f>
        <v/>
      </c>
      <c r="M383" t="str">
        <f>IF($I383="","",INDEX('Product Master'!$N$7:$N$1000,MATCH($I383,'Product Master'!$A$7:$A$1000,0)))</f>
        <v/>
      </c>
    </row>
    <row r="384" spans="1:13" x14ac:dyDescent="0.3">
      <c r="A384" t="str">
        <f>IFERROR(INDEX('Product Master'!$A$7:$A$1000,_xlfn.AGGREGATE(15,6,(ROW('Product Master'!$A$7:$A$1000)-ROW('Product Master'!$A$7)+1)/(('Product Master'!$A$7:$A$1000&lt;&gt;"")*('Product Master'!$P$7:$P$1000="Low Stock")),ROWS($A$12:A384))),"")</f>
        <v/>
      </c>
      <c r="B384" t="str">
        <f>IF($A384="","",INDEX('Product Master'!$B$7:$B$1000,MATCH($A384,'Product Master'!$A$7:$A$1000,0)))</f>
        <v/>
      </c>
      <c r="C384" t="str">
        <f>IF($A384="","",INDEX('Product Master'!$C$7:$C$1000,MATCH($A384,'Product Master'!$A$7:$A$1000,0)))</f>
        <v/>
      </c>
      <c r="D384" t="str">
        <f>IF($A384="","",INDEX('Product Master'!$M$7:$M$1000,MATCH($A384,'Product Master'!$A$7:$A$1000,0)))</f>
        <v/>
      </c>
      <c r="E384" t="str">
        <f>IF($A384="","",INDEX('Product Master'!$N$7:$N$1000,MATCH($A384,'Product Master'!$A$7:$A$1000,0)))</f>
        <v/>
      </c>
      <c r="F384" t="str">
        <f>IF($A384="","",INDEX('Product Master'!$P$7:$P$1000,MATCH($A384,'Product Master'!$A$7:$A$1000,0)))</f>
        <v/>
      </c>
      <c r="I384" t="str">
        <f>IFERROR(INDEX('Product Master'!$A$7:$A$1000,_xlfn.AGGREGATE(15,6,(ROW('Product Master'!$A$7:$A$1000)-ROW('Product Master'!$A$7)+1)/(('Product Master'!$A$7:$A$1000&lt;&gt;"")*('Product Master'!$P$7:$P$1000="Out of Stock")),ROWS($I$12:I384))),"")</f>
        <v/>
      </c>
      <c r="J384" t="str">
        <f>IF($I384="","",INDEX('Product Master'!$B$7:$B$1000,MATCH($I384,'Product Master'!$A$7:$A$1000,0)))</f>
        <v/>
      </c>
      <c r="K384" t="str">
        <f>IF($I384="","",INDEX('Product Master'!$C$7:$C$1000,MATCH($I384,'Product Master'!$A$7:$A$1000,0)))</f>
        <v/>
      </c>
      <c r="L384" t="str">
        <f>IF($I384="","",INDEX('Product Master'!$M$7:$M$1000,MATCH($I384,'Product Master'!$A$7:$A$1000,0)))</f>
        <v/>
      </c>
      <c r="M384" t="str">
        <f>IF($I384="","",INDEX('Product Master'!$N$7:$N$1000,MATCH($I384,'Product Master'!$A$7:$A$1000,0)))</f>
        <v/>
      </c>
    </row>
    <row r="385" spans="1:13" x14ac:dyDescent="0.3">
      <c r="A385" t="str">
        <f>IFERROR(INDEX('Product Master'!$A$7:$A$1000,_xlfn.AGGREGATE(15,6,(ROW('Product Master'!$A$7:$A$1000)-ROW('Product Master'!$A$7)+1)/(('Product Master'!$A$7:$A$1000&lt;&gt;"")*('Product Master'!$P$7:$P$1000="Low Stock")),ROWS($A$12:A385))),"")</f>
        <v/>
      </c>
      <c r="B385" t="str">
        <f>IF($A385="","",INDEX('Product Master'!$B$7:$B$1000,MATCH($A385,'Product Master'!$A$7:$A$1000,0)))</f>
        <v/>
      </c>
      <c r="C385" t="str">
        <f>IF($A385="","",INDEX('Product Master'!$C$7:$C$1000,MATCH($A385,'Product Master'!$A$7:$A$1000,0)))</f>
        <v/>
      </c>
      <c r="D385" t="str">
        <f>IF($A385="","",INDEX('Product Master'!$M$7:$M$1000,MATCH($A385,'Product Master'!$A$7:$A$1000,0)))</f>
        <v/>
      </c>
      <c r="E385" t="str">
        <f>IF($A385="","",INDEX('Product Master'!$N$7:$N$1000,MATCH($A385,'Product Master'!$A$7:$A$1000,0)))</f>
        <v/>
      </c>
      <c r="F385" t="str">
        <f>IF($A385="","",INDEX('Product Master'!$P$7:$P$1000,MATCH($A385,'Product Master'!$A$7:$A$1000,0)))</f>
        <v/>
      </c>
      <c r="I385" t="str">
        <f>IFERROR(INDEX('Product Master'!$A$7:$A$1000,_xlfn.AGGREGATE(15,6,(ROW('Product Master'!$A$7:$A$1000)-ROW('Product Master'!$A$7)+1)/(('Product Master'!$A$7:$A$1000&lt;&gt;"")*('Product Master'!$P$7:$P$1000="Out of Stock")),ROWS($I$12:I385))),"")</f>
        <v/>
      </c>
      <c r="J385" t="str">
        <f>IF($I385="","",INDEX('Product Master'!$B$7:$B$1000,MATCH($I385,'Product Master'!$A$7:$A$1000,0)))</f>
        <v/>
      </c>
      <c r="K385" t="str">
        <f>IF($I385="","",INDEX('Product Master'!$C$7:$C$1000,MATCH($I385,'Product Master'!$A$7:$A$1000,0)))</f>
        <v/>
      </c>
      <c r="L385" t="str">
        <f>IF($I385="","",INDEX('Product Master'!$M$7:$M$1000,MATCH($I385,'Product Master'!$A$7:$A$1000,0)))</f>
        <v/>
      </c>
      <c r="M385" t="str">
        <f>IF($I385="","",INDEX('Product Master'!$N$7:$N$1000,MATCH($I385,'Product Master'!$A$7:$A$1000,0)))</f>
        <v/>
      </c>
    </row>
    <row r="386" spans="1:13" x14ac:dyDescent="0.3">
      <c r="A386" t="str">
        <f>IFERROR(INDEX('Product Master'!$A$7:$A$1000,_xlfn.AGGREGATE(15,6,(ROW('Product Master'!$A$7:$A$1000)-ROW('Product Master'!$A$7)+1)/(('Product Master'!$A$7:$A$1000&lt;&gt;"")*('Product Master'!$P$7:$P$1000="Low Stock")),ROWS($A$12:A386))),"")</f>
        <v/>
      </c>
      <c r="B386" t="str">
        <f>IF($A386="","",INDEX('Product Master'!$B$7:$B$1000,MATCH($A386,'Product Master'!$A$7:$A$1000,0)))</f>
        <v/>
      </c>
      <c r="C386" t="str">
        <f>IF($A386="","",INDEX('Product Master'!$C$7:$C$1000,MATCH($A386,'Product Master'!$A$7:$A$1000,0)))</f>
        <v/>
      </c>
      <c r="D386" t="str">
        <f>IF($A386="","",INDEX('Product Master'!$M$7:$M$1000,MATCH($A386,'Product Master'!$A$7:$A$1000,0)))</f>
        <v/>
      </c>
      <c r="E386" t="str">
        <f>IF($A386="","",INDEX('Product Master'!$N$7:$N$1000,MATCH($A386,'Product Master'!$A$7:$A$1000,0)))</f>
        <v/>
      </c>
      <c r="F386" t="str">
        <f>IF($A386="","",INDEX('Product Master'!$P$7:$P$1000,MATCH($A386,'Product Master'!$A$7:$A$1000,0)))</f>
        <v/>
      </c>
      <c r="I386" t="str">
        <f>IFERROR(INDEX('Product Master'!$A$7:$A$1000,_xlfn.AGGREGATE(15,6,(ROW('Product Master'!$A$7:$A$1000)-ROW('Product Master'!$A$7)+1)/(('Product Master'!$A$7:$A$1000&lt;&gt;"")*('Product Master'!$P$7:$P$1000="Out of Stock")),ROWS($I$12:I386))),"")</f>
        <v/>
      </c>
      <c r="J386" t="str">
        <f>IF($I386="","",INDEX('Product Master'!$B$7:$B$1000,MATCH($I386,'Product Master'!$A$7:$A$1000,0)))</f>
        <v/>
      </c>
      <c r="K386" t="str">
        <f>IF($I386="","",INDEX('Product Master'!$C$7:$C$1000,MATCH($I386,'Product Master'!$A$7:$A$1000,0)))</f>
        <v/>
      </c>
      <c r="L386" t="str">
        <f>IF($I386="","",INDEX('Product Master'!$M$7:$M$1000,MATCH($I386,'Product Master'!$A$7:$A$1000,0)))</f>
        <v/>
      </c>
      <c r="M386" t="str">
        <f>IF($I386="","",INDEX('Product Master'!$N$7:$N$1000,MATCH($I386,'Product Master'!$A$7:$A$1000,0)))</f>
        <v/>
      </c>
    </row>
    <row r="387" spans="1:13" x14ac:dyDescent="0.3">
      <c r="A387" t="str">
        <f>IFERROR(INDEX('Product Master'!$A$7:$A$1000,_xlfn.AGGREGATE(15,6,(ROW('Product Master'!$A$7:$A$1000)-ROW('Product Master'!$A$7)+1)/(('Product Master'!$A$7:$A$1000&lt;&gt;"")*('Product Master'!$P$7:$P$1000="Low Stock")),ROWS($A$12:A387))),"")</f>
        <v/>
      </c>
      <c r="B387" t="str">
        <f>IF($A387="","",INDEX('Product Master'!$B$7:$B$1000,MATCH($A387,'Product Master'!$A$7:$A$1000,0)))</f>
        <v/>
      </c>
      <c r="C387" t="str">
        <f>IF($A387="","",INDEX('Product Master'!$C$7:$C$1000,MATCH($A387,'Product Master'!$A$7:$A$1000,0)))</f>
        <v/>
      </c>
      <c r="D387" t="str">
        <f>IF($A387="","",INDEX('Product Master'!$M$7:$M$1000,MATCH($A387,'Product Master'!$A$7:$A$1000,0)))</f>
        <v/>
      </c>
      <c r="E387" t="str">
        <f>IF($A387="","",INDEX('Product Master'!$N$7:$N$1000,MATCH($A387,'Product Master'!$A$7:$A$1000,0)))</f>
        <v/>
      </c>
      <c r="F387" t="str">
        <f>IF($A387="","",INDEX('Product Master'!$P$7:$P$1000,MATCH($A387,'Product Master'!$A$7:$A$1000,0)))</f>
        <v/>
      </c>
      <c r="I387" t="str">
        <f>IFERROR(INDEX('Product Master'!$A$7:$A$1000,_xlfn.AGGREGATE(15,6,(ROW('Product Master'!$A$7:$A$1000)-ROW('Product Master'!$A$7)+1)/(('Product Master'!$A$7:$A$1000&lt;&gt;"")*('Product Master'!$P$7:$P$1000="Out of Stock")),ROWS($I$12:I387))),"")</f>
        <v/>
      </c>
      <c r="J387" t="str">
        <f>IF($I387="","",INDEX('Product Master'!$B$7:$B$1000,MATCH($I387,'Product Master'!$A$7:$A$1000,0)))</f>
        <v/>
      </c>
      <c r="K387" t="str">
        <f>IF($I387="","",INDEX('Product Master'!$C$7:$C$1000,MATCH($I387,'Product Master'!$A$7:$A$1000,0)))</f>
        <v/>
      </c>
      <c r="L387" t="str">
        <f>IF($I387="","",INDEX('Product Master'!$M$7:$M$1000,MATCH($I387,'Product Master'!$A$7:$A$1000,0)))</f>
        <v/>
      </c>
      <c r="M387" t="str">
        <f>IF($I387="","",INDEX('Product Master'!$N$7:$N$1000,MATCH($I387,'Product Master'!$A$7:$A$1000,0)))</f>
        <v/>
      </c>
    </row>
    <row r="388" spans="1:13" x14ac:dyDescent="0.3">
      <c r="A388" t="str">
        <f>IFERROR(INDEX('Product Master'!$A$7:$A$1000,_xlfn.AGGREGATE(15,6,(ROW('Product Master'!$A$7:$A$1000)-ROW('Product Master'!$A$7)+1)/(('Product Master'!$A$7:$A$1000&lt;&gt;"")*('Product Master'!$P$7:$P$1000="Low Stock")),ROWS($A$12:A388))),"")</f>
        <v/>
      </c>
      <c r="B388" t="str">
        <f>IF($A388="","",INDEX('Product Master'!$B$7:$B$1000,MATCH($A388,'Product Master'!$A$7:$A$1000,0)))</f>
        <v/>
      </c>
      <c r="C388" t="str">
        <f>IF($A388="","",INDEX('Product Master'!$C$7:$C$1000,MATCH($A388,'Product Master'!$A$7:$A$1000,0)))</f>
        <v/>
      </c>
      <c r="D388" t="str">
        <f>IF($A388="","",INDEX('Product Master'!$M$7:$M$1000,MATCH($A388,'Product Master'!$A$7:$A$1000,0)))</f>
        <v/>
      </c>
      <c r="E388" t="str">
        <f>IF($A388="","",INDEX('Product Master'!$N$7:$N$1000,MATCH($A388,'Product Master'!$A$7:$A$1000,0)))</f>
        <v/>
      </c>
      <c r="F388" t="str">
        <f>IF($A388="","",INDEX('Product Master'!$P$7:$P$1000,MATCH($A388,'Product Master'!$A$7:$A$1000,0)))</f>
        <v/>
      </c>
      <c r="I388" t="str">
        <f>IFERROR(INDEX('Product Master'!$A$7:$A$1000,_xlfn.AGGREGATE(15,6,(ROW('Product Master'!$A$7:$A$1000)-ROW('Product Master'!$A$7)+1)/(('Product Master'!$A$7:$A$1000&lt;&gt;"")*('Product Master'!$P$7:$P$1000="Out of Stock")),ROWS($I$12:I388))),"")</f>
        <v/>
      </c>
      <c r="J388" t="str">
        <f>IF($I388="","",INDEX('Product Master'!$B$7:$B$1000,MATCH($I388,'Product Master'!$A$7:$A$1000,0)))</f>
        <v/>
      </c>
      <c r="K388" t="str">
        <f>IF($I388="","",INDEX('Product Master'!$C$7:$C$1000,MATCH($I388,'Product Master'!$A$7:$A$1000,0)))</f>
        <v/>
      </c>
      <c r="L388" t="str">
        <f>IF($I388="","",INDEX('Product Master'!$M$7:$M$1000,MATCH($I388,'Product Master'!$A$7:$A$1000,0)))</f>
        <v/>
      </c>
      <c r="M388" t="str">
        <f>IF($I388="","",INDEX('Product Master'!$N$7:$N$1000,MATCH($I388,'Product Master'!$A$7:$A$1000,0)))</f>
        <v/>
      </c>
    </row>
    <row r="389" spans="1:13" x14ac:dyDescent="0.3">
      <c r="A389" t="str">
        <f>IFERROR(INDEX('Product Master'!$A$7:$A$1000,_xlfn.AGGREGATE(15,6,(ROW('Product Master'!$A$7:$A$1000)-ROW('Product Master'!$A$7)+1)/(('Product Master'!$A$7:$A$1000&lt;&gt;"")*('Product Master'!$P$7:$P$1000="Low Stock")),ROWS($A$12:A389))),"")</f>
        <v/>
      </c>
      <c r="B389" t="str">
        <f>IF($A389="","",INDEX('Product Master'!$B$7:$B$1000,MATCH($A389,'Product Master'!$A$7:$A$1000,0)))</f>
        <v/>
      </c>
      <c r="C389" t="str">
        <f>IF($A389="","",INDEX('Product Master'!$C$7:$C$1000,MATCH($A389,'Product Master'!$A$7:$A$1000,0)))</f>
        <v/>
      </c>
      <c r="D389" t="str">
        <f>IF($A389="","",INDEX('Product Master'!$M$7:$M$1000,MATCH($A389,'Product Master'!$A$7:$A$1000,0)))</f>
        <v/>
      </c>
      <c r="E389" t="str">
        <f>IF($A389="","",INDEX('Product Master'!$N$7:$N$1000,MATCH($A389,'Product Master'!$A$7:$A$1000,0)))</f>
        <v/>
      </c>
      <c r="F389" t="str">
        <f>IF($A389="","",INDEX('Product Master'!$P$7:$P$1000,MATCH($A389,'Product Master'!$A$7:$A$1000,0)))</f>
        <v/>
      </c>
      <c r="I389" t="str">
        <f>IFERROR(INDEX('Product Master'!$A$7:$A$1000,_xlfn.AGGREGATE(15,6,(ROW('Product Master'!$A$7:$A$1000)-ROW('Product Master'!$A$7)+1)/(('Product Master'!$A$7:$A$1000&lt;&gt;"")*('Product Master'!$P$7:$P$1000="Out of Stock")),ROWS($I$12:I389))),"")</f>
        <v/>
      </c>
      <c r="J389" t="str">
        <f>IF($I389="","",INDEX('Product Master'!$B$7:$B$1000,MATCH($I389,'Product Master'!$A$7:$A$1000,0)))</f>
        <v/>
      </c>
      <c r="K389" t="str">
        <f>IF($I389="","",INDEX('Product Master'!$C$7:$C$1000,MATCH($I389,'Product Master'!$A$7:$A$1000,0)))</f>
        <v/>
      </c>
      <c r="L389" t="str">
        <f>IF($I389="","",INDEX('Product Master'!$M$7:$M$1000,MATCH($I389,'Product Master'!$A$7:$A$1000,0)))</f>
        <v/>
      </c>
      <c r="M389" t="str">
        <f>IF($I389="","",INDEX('Product Master'!$N$7:$N$1000,MATCH($I389,'Product Master'!$A$7:$A$1000,0)))</f>
        <v/>
      </c>
    </row>
    <row r="390" spans="1:13" x14ac:dyDescent="0.3">
      <c r="A390" t="str">
        <f>IFERROR(INDEX('Product Master'!$A$7:$A$1000,_xlfn.AGGREGATE(15,6,(ROW('Product Master'!$A$7:$A$1000)-ROW('Product Master'!$A$7)+1)/(('Product Master'!$A$7:$A$1000&lt;&gt;"")*('Product Master'!$P$7:$P$1000="Low Stock")),ROWS($A$12:A390))),"")</f>
        <v/>
      </c>
      <c r="B390" t="str">
        <f>IF($A390="","",INDEX('Product Master'!$B$7:$B$1000,MATCH($A390,'Product Master'!$A$7:$A$1000,0)))</f>
        <v/>
      </c>
      <c r="C390" t="str">
        <f>IF($A390="","",INDEX('Product Master'!$C$7:$C$1000,MATCH($A390,'Product Master'!$A$7:$A$1000,0)))</f>
        <v/>
      </c>
      <c r="D390" t="str">
        <f>IF($A390="","",INDEX('Product Master'!$M$7:$M$1000,MATCH($A390,'Product Master'!$A$7:$A$1000,0)))</f>
        <v/>
      </c>
      <c r="E390" t="str">
        <f>IF($A390="","",INDEX('Product Master'!$N$7:$N$1000,MATCH($A390,'Product Master'!$A$7:$A$1000,0)))</f>
        <v/>
      </c>
      <c r="F390" t="str">
        <f>IF($A390="","",INDEX('Product Master'!$P$7:$P$1000,MATCH($A390,'Product Master'!$A$7:$A$1000,0)))</f>
        <v/>
      </c>
      <c r="I390" t="str">
        <f>IFERROR(INDEX('Product Master'!$A$7:$A$1000,_xlfn.AGGREGATE(15,6,(ROW('Product Master'!$A$7:$A$1000)-ROW('Product Master'!$A$7)+1)/(('Product Master'!$A$7:$A$1000&lt;&gt;"")*('Product Master'!$P$7:$P$1000="Out of Stock")),ROWS($I$12:I390))),"")</f>
        <v/>
      </c>
      <c r="J390" t="str">
        <f>IF($I390="","",INDEX('Product Master'!$B$7:$B$1000,MATCH($I390,'Product Master'!$A$7:$A$1000,0)))</f>
        <v/>
      </c>
      <c r="K390" t="str">
        <f>IF($I390="","",INDEX('Product Master'!$C$7:$C$1000,MATCH($I390,'Product Master'!$A$7:$A$1000,0)))</f>
        <v/>
      </c>
      <c r="L390" t="str">
        <f>IF($I390="","",INDEX('Product Master'!$M$7:$M$1000,MATCH($I390,'Product Master'!$A$7:$A$1000,0)))</f>
        <v/>
      </c>
      <c r="M390" t="str">
        <f>IF($I390="","",INDEX('Product Master'!$N$7:$N$1000,MATCH($I390,'Product Master'!$A$7:$A$1000,0)))</f>
        <v/>
      </c>
    </row>
    <row r="391" spans="1:13" x14ac:dyDescent="0.3">
      <c r="A391" t="str">
        <f>IFERROR(INDEX('Product Master'!$A$7:$A$1000,_xlfn.AGGREGATE(15,6,(ROW('Product Master'!$A$7:$A$1000)-ROW('Product Master'!$A$7)+1)/(('Product Master'!$A$7:$A$1000&lt;&gt;"")*('Product Master'!$P$7:$P$1000="Low Stock")),ROWS($A$12:A391))),"")</f>
        <v/>
      </c>
      <c r="B391" t="str">
        <f>IF($A391="","",INDEX('Product Master'!$B$7:$B$1000,MATCH($A391,'Product Master'!$A$7:$A$1000,0)))</f>
        <v/>
      </c>
      <c r="C391" t="str">
        <f>IF($A391="","",INDEX('Product Master'!$C$7:$C$1000,MATCH($A391,'Product Master'!$A$7:$A$1000,0)))</f>
        <v/>
      </c>
      <c r="D391" t="str">
        <f>IF($A391="","",INDEX('Product Master'!$M$7:$M$1000,MATCH($A391,'Product Master'!$A$7:$A$1000,0)))</f>
        <v/>
      </c>
      <c r="E391" t="str">
        <f>IF($A391="","",INDEX('Product Master'!$N$7:$N$1000,MATCH($A391,'Product Master'!$A$7:$A$1000,0)))</f>
        <v/>
      </c>
      <c r="F391" t="str">
        <f>IF($A391="","",INDEX('Product Master'!$P$7:$P$1000,MATCH($A391,'Product Master'!$A$7:$A$1000,0)))</f>
        <v/>
      </c>
      <c r="I391" t="str">
        <f>IFERROR(INDEX('Product Master'!$A$7:$A$1000,_xlfn.AGGREGATE(15,6,(ROW('Product Master'!$A$7:$A$1000)-ROW('Product Master'!$A$7)+1)/(('Product Master'!$A$7:$A$1000&lt;&gt;"")*('Product Master'!$P$7:$P$1000="Out of Stock")),ROWS($I$12:I391))),"")</f>
        <v/>
      </c>
      <c r="J391" t="str">
        <f>IF($I391="","",INDEX('Product Master'!$B$7:$B$1000,MATCH($I391,'Product Master'!$A$7:$A$1000,0)))</f>
        <v/>
      </c>
      <c r="K391" t="str">
        <f>IF($I391="","",INDEX('Product Master'!$C$7:$C$1000,MATCH($I391,'Product Master'!$A$7:$A$1000,0)))</f>
        <v/>
      </c>
      <c r="L391" t="str">
        <f>IF($I391="","",INDEX('Product Master'!$M$7:$M$1000,MATCH($I391,'Product Master'!$A$7:$A$1000,0)))</f>
        <v/>
      </c>
      <c r="M391" t="str">
        <f>IF($I391="","",INDEX('Product Master'!$N$7:$N$1000,MATCH($I391,'Product Master'!$A$7:$A$1000,0)))</f>
        <v/>
      </c>
    </row>
    <row r="392" spans="1:13" x14ac:dyDescent="0.3">
      <c r="A392" t="str">
        <f>IFERROR(INDEX('Product Master'!$A$7:$A$1000,_xlfn.AGGREGATE(15,6,(ROW('Product Master'!$A$7:$A$1000)-ROW('Product Master'!$A$7)+1)/(('Product Master'!$A$7:$A$1000&lt;&gt;"")*('Product Master'!$P$7:$P$1000="Low Stock")),ROWS($A$12:A392))),"")</f>
        <v/>
      </c>
      <c r="B392" t="str">
        <f>IF($A392="","",INDEX('Product Master'!$B$7:$B$1000,MATCH($A392,'Product Master'!$A$7:$A$1000,0)))</f>
        <v/>
      </c>
      <c r="C392" t="str">
        <f>IF($A392="","",INDEX('Product Master'!$C$7:$C$1000,MATCH($A392,'Product Master'!$A$7:$A$1000,0)))</f>
        <v/>
      </c>
      <c r="D392" t="str">
        <f>IF($A392="","",INDEX('Product Master'!$M$7:$M$1000,MATCH($A392,'Product Master'!$A$7:$A$1000,0)))</f>
        <v/>
      </c>
      <c r="E392" t="str">
        <f>IF($A392="","",INDEX('Product Master'!$N$7:$N$1000,MATCH($A392,'Product Master'!$A$7:$A$1000,0)))</f>
        <v/>
      </c>
      <c r="F392" t="str">
        <f>IF($A392="","",INDEX('Product Master'!$P$7:$P$1000,MATCH($A392,'Product Master'!$A$7:$A$1000,0)))</f>
        <v/>
      </c>
      <c r="I392" t="str">
        <f>IFERROR(INDEX('Product Master'!$A$7:$A$1000,_xlfn.AGGREGATE(15,6,(ROW('Product Master'!$A$7:$A$1000)-ROW('Product Master'!$A$7)+1)/(('Product Master'!$A$7:$A$1000&lt;&gt;"")*('Product Master'!$P$7:$P$1000="Out of Stock")),ROWS($I$12:I392))),"")</f>
        <v/>
      </c>
      <c r="J392" t="str">
        <f>IF($I392="","",INDEX('Product Master'!$B$7:$B$1000,MATCH($I392,'Product Master'!$A$7:$A$1000,0)))</f>
        <v/>
      </c>
      <c r="K392" t="str">
        <f>IF($I392="","",INDEX('Product Master'!$C$7:$C$1000,MATCH($I392,'Product Master'!$A$7:$A$1000,0)))</f>
        <v/>
      </c>
      <c r="L392" t="str">
        <f>IF($I392="","",INDEX('Product Master'!$M$7:$M$1000,MATCH($I392,'Product Master'!$A$7:$A$1000,0)))</f>
        <v/>
      </c>
      <c r="M392" t="str">
        <f>IF($I392="","",INDEX('Product Master'!$N$7:$N$1000,MATCH($I392,'Product Master'!$A$7:$A$1000,0)))</f>
        <v/>
      </c>
    </row>
    <row r="393" spans="1:13" x14ac:dyDescent="0.3">
      <c r="A393" t="str">
        <f>IFERROR(INDEX('Product Master'!$A$7:$A$1000,_xlfn.AGGREGATE(15,6,(ROW('Product Master'!$A$7:$A$1000)-ROW('Product Master'!$A$7)+1)/(('Product Master'!$A$7:$A$1000&lt;&gt;"")*('Product Master'!$P$7:$P$1000="Low Stock")),ROWS($A$12:A393))),"")</f>
        <v/>
      </c>
      <c r="B393" t="str">
        <f>IF($A393="","",INDEX('Product Master'!$B$7:$B$1000,MATCH($A393,'Product Master'!$A$7:$A$1000,0)))</f>
        <v/>
      </c>
      <c r="C393" t="str">
        <f>IF($A393="","",INDEX('Product Master'!$C$7:$C$1000,MATCH($A393,'Product Master'!$A$7:$A$1000,0)))</f>
        <v/>
      </c>
      <c r="D393" t="str">
        <f>IF($A393="","",INDEX('Product Master'!$M$7:$M$1000,MATCH($A393,'Product Master'!$A$7:$A$1000,0)))</f>
        <v/>
      </c>
      <c r="E393" t="str">
        <f>IF($A393="","",INDEX('Product Master'!$N$7:$N$1000,MATCH($A393,'Product Master'!$A$7:$A$1000,0)))</f>
        <v/>
      </c>
      <c r="F393" t="str">
        <f>IF($A393="","",INDEX('Product Master'!$P$7:$P$1000,MATCH($A393,'Product Master'!$A$7:$A$1000,0)))</f>
        <v/>
      </c>
      <c r="I393" t="str">
        <f>IFERROR(INDEX('Product Master'!$A$7:$A$1000,_xlfn.AGGREGATE(15,6,(ROW('Product Master'!$A$7:$A$1000)-ROW('Product Master'!$A$7)+1)/(('Product Master'!$A$7:$A$1000&lt;&gt;"")*('Product Master'!$P$7:$P$1000="Out of Stock")),ROWS($I$12:I393))),"")</f>
        <v/>
      </c>
      <c r="J393" t="str">
        <f>IF($I393="","",INDEX('Product Master'!$B$7:$B$1000,MATCH($I393,'Product Master'!$A$7:$A$1000,0)))</f>
        <v/>
      </c>
      <c r="K393" t="str">
        <f>IF($I393="","",INDEX('Product Master'!$C$7:$C$1000,MATCH($I393,'Product Master'!$A$7:$A$1000,0)))</f>
        <v/>
      </c>
      <c r="L393" t="str">
        <f>IF($I393="","",INDEX('Product Master'!$M$7:$M$1000,MATCH($I393,'Product Master'!$A$7:$A$1000,0)))</f>
        <v/>
      </c>
      <c r="M393" t="str">
        <f>IF($I393="","",INDEX('Product Master'!$N$7:$N$1000,MATCH($I393,'Product Master'!$A$7:$A$1000,0)))</f>
        <v/>
      </c>
    </row>
    <row r="394" spans="1:13" x14ac:dyDescent="0.3">
      <c r="A394" t="str">
        <f>IFERROR(INDEX('Product Master'!$A$7:$A$1000,_xlfn.AGGREGATE(15,6,(ROW('Product Master'!$A$7:$A$1000)-ROW('Product Master'!$A$7)+1)/(('Product Master'!$A$7:$A$1000&lt;&gt;"")*('Product Master'!$P$7:$P$1000="Low Stock")),ROWS($A$12:A394))),"")</f>
        <v/>
      </c>
      <c r="B394" t="str">
        <f>IF($A394="","",INDEX('Product Master'!$B$7:$B$1000,MATCH($A394,'Product Master'!$A$7:$A$1000,0)))</f>
        <v/>
      </c>
      <c r="C394" t="str">
        <f>IF($A394="","",INDEX('Product Master'!$C$7:$C$1000,MATCH($A394,'Product Master'!$A$7:$A$1000,0)))</f>
        <v/>
      </c>
      <c r="D394" t="str">
        <f>IF($A394="","",INDEX('Product Master'!$M$7:$M$1000,MATCH($A394,'Product Master'!$A$7:$A$1000,0)))</f>
        <v/>
      </c>
      <c r="E394" t="str">
        <f>IF($A394="","",INDEX('Product Master'!$N$7:$N$1000,MATCH($A394,'Product Master'!$A$7:$A$1000,0)))</f>
        <v/>
      </c>
      <c r="F394" t="str">
        <f>IF($A394="","",INDEX('Product Master'!$P$7:$P$1000,MATCH($A394,'Product Master'!$A$7:$A$1000,0)))</f>
        <v/>
      </c>
      <c r="I394" t="str">
        <f>IFERROR(INDEX('Product Master'!$A$7:$A$1000,_xlfn.AGGREGATE(15,6,(ROW('Product Master'!$A$7:$A$1000)-ROW('Product Master'!$A$7)+1)/(('Product Master'!$A$7:$A$1000&lt;&gt;"")*('Product Master'!$P$7:$P$1000="Out of Stock")),ROWS($I$12:I394))),"")</f>
        <v/>
      </c>
      <c r="J394" t="str">
        <f>IF($I394="","",INDEX('Product Master'!$B$7:$B$1000,MATCH($I394,'Product Master'!$A$7:$A$1000,0)))</f>
        <v/>
      </c>
      <c r="K394" t="str">
        <f>IF($I394="","",INDEX('Product Master'!$C$7:$C$1000,MATCH($I394,'Product Master'!$A$7:$A$1000,0)))</f>
        <v/>
      </c>
      <c r="L394" t="str">
        <f>IF($I394="","",INDEX('Product Master'!$M$7:$M$1000,MATCH($I394,'Product Master'!$A$7:$A$1000,0)))</f>
        <v/>
      </c>
      <c r="M394" t="str">
        <f>IF($I394="","",INDEX('Product Master'!$N$7:$N$1000,MATCH($I394,'Product Master'!$A$7:$A$1000,0)))</f>
        <v/>
      </c>
    </row>
    <row r="395" spans="1:13" x14ac:dyDescent="0.3">
      <c r="A395" t="str">
        <f>IFERROR(INDEX('Product Master'!$A$7:$A$1000,_xlfn.AGGREGATE(15,6,(ROW('Product Master'!$A$7:$A$1000)-ROW('Product Master'!$A$7)+1)/(('Product Master'!$A$7:$A$1000&lt;&gt;"")*('Product Master'!$P$7:$P$1000="Low Stock")),ROWS($A$12:A395))),"")</f>
        <v/>
      </c>
      <c r="B395" t="str">
        <f>IF($A395="","",INDEX('Product Master'!$B$7:$B$1000,MATCH($A395,'Product Master'!$A$7:$A$1000,0)))</f>
        <v/>
      </c>
      <c r="C395" t="str">
        <f>IF($A395="","",INDEX('Product Master'!$C$7:$C$1000,MATCH($A395,'Product Master'!$A$7:$A$1000,0)))</f>
        <v/>
      </c>
      <c r="D395" t="str">
        <f>IF($A395="","",INDEX('Product Master'!$M$7:$M$1000,MATCH($A395,'Product Master'!$A$7:$A$1000,0)))</f>
        <v/>
      </c>
      <c r="E395" t="str">
        <f>IF($A395="","",INDEX('Product Master'!$N$7:$N$1000,MATCH($A395,'Product Master'!$A$7:$A$1000,0)))</f>
        <v/>
      </c>
      <c r="F395" t="str">
        <f>IF($A395="","",INDEX('Product Master'!$P$7:$P$1000,MATCH($A395,'Product Master'!$A$7:$A$1000,0)))</f>
        <v/>
      </c>
      <c r="I395" t="str">
        <f>IFERROR(INDEX('Product Master'!$A$7:$A$1000,_xlfn.AGGREGATE(15,6,(ROW('Product Master'!$A$7:$A$1000)-ROW('Product Master'!$A$7)+1)/(('Product Master'!$A$7:$A$1000&lt;&gt;"")*('Product Master'!$P$7:$P$1000="Out of Stock")),ROWS($I$12:I395))),"")</f>
        <v/>
      </c>
      <c r="J395" t="str">
        <f>IF($I395="","",INDEX('Product Master'!$B$7:$B$1000,MATCH($I395,'Product Master'!$A$7:$A$1000,0)))</f>
        <v/>
      </c>
      <c r="K395" t="str">
        <f>IF($I395="","",INDEX('Product Master'!$C$7:$C$1000,MATCH($I395,'Product Master'!$A$7:$A$1000,0)))</f>
        <v/>
      </c>
      <c r="L395" t="str">
        <f>IF($I395="","",INDEX('Product Master'!$M$7:$M$1000,MATCH($I395,'Product Master'!$A$7:$A$1000,0)))</f>
        <v/>
      </c>
      <c r="M395" t="str">
        <f>IF($I395="","",INDEX('Product Master'!$N$7:$N$1000,MATCH($I395,'Product Master'!$A$7:$A$1000,0)))</f>
        <v/>
      </c>
    </row>
    <row r="396" spans="1:13" x14ac:dyDescent="0.3">
      <c r="A396" t="str">
        <f>IFERROR(INDEX('Product Master'!$A$7:$A$1000,_xlfn.AGGREGATE(15,6,(ROW('Product Master'!$A$7:$A$1000)-ROW('Product Master'!$A$7)+1)/(('Product Master'!$A$7:$A$1000&lt;&gt;"")*('Product Master'!$P$7:$P$1000="Low Stock")),ROWS($A$12:A396))),"")</f>
        <v/>
      </c>
      <c r="B396" t="str">
        <f>IF($A396="","",INDEX('Product Master'!$B$7:$B$1000,MATCH($A396,'Product Master'!$A$7:$A$1000,0)))</f>
        <v/>
      </c>
      <c r="C396" t="str">
        <f>IF($A396="","",INDEX('Product Master'!$C$7:$C$1000,MATCH($A396,'Product Master'!$A$7:$A$1000,0)))</f>
        <v/>
      </c>
      <c r="D396" t="str">
        <f>IF($A396="","",INDEX('Product Master'!$M$7:$M$1000,MATCH($A396,'Product Master'!$A$7:$A$1000,0)))</f>
        <v/>
      </c>
      <c r="E396" t="str">
        <f>IF($A396="","",INDEX('Product Master'!$N$7:$N$1000,MATCH($A396,'Product Master'!$A$7:$A$1000,0)))</f>
        <v/>
      </c>
      <c r="F396" t="str">
        <f>IF($A396="","",INDEX('Product Master'!$P$7:$P$1000,MATCH($A396,'Product Master'!$A$7:$A$1000,0)))</f>
        <v/>
      </c>
      <c r="I396" t="str">
        <f>IFERROR(INDEX('Product Master'!$A$7:$A$1000,_xlfn.AGGREGATE(15,6,(ROW('Product Master'!$A$7:$A$1000)-ROW('Product Master'!$A$7)+1)/(('Product Master'!$A$7:$A$1000&lt;&gt;"")*('Product Master'!$P$7:$P$1000="Out of Stock")),ROWS($I$12:I396))),"")</f>
        <v/>
      </c>
      <c r="J396" t="str">
        <f>IF($I396="","",INDEX('Product Master'!$B$7:$B$1000,MATCH($I396,'Product Master'!$A$7:$A$1000,0)))</f>
        <v/>
      </c>
      <c r="K396" t="str">
        <f>IF($I396="","",INDEX('Product Master'!$C$7:$C$1000,MATCH($I396,'Product Master'!$A$7:$A$1000,0)))</f>
        <v/>
      </c>
      <c r="L396" t="str">
        <f>IF($I396="","",INDEX('Product Master'!$M$7:$M$1000,MATCH($I396,'Product Master'!$A$7:$A$1000,0)))</f>
        <v/>
      </c>
      <c r="M396" t="str">
        <f>IF($I396="","",INDEX('Product Master'!$N$7:$N$1000,MATCH($I396,'Product Master'!$A$7:$A$1000,0)))</f>
        <v/>
      </c>
    </row>
    <row r="397" spans="1:13" x14ac:dyDescent="0.3">
      <c r="A397" t="str">
        <f>IFERROR(INDEX('Product Master'!$A$7:$A$1000,_xlfn.AGGREGATE(15,6,(ROW('Product Master'!$A$7:$A$1000)-ROW('Product Master'!$A$7)+1)/(('Product Master'!$A$7:$A$1000&lt;&gt;"")*('Product Master'!$P$7:$P$1000="Low Stock")),ROWS($A$12:A397))),"")</f>
        <v/>
      </c>
      <c r="B397" t="str">
        <f>IF($A397="","",INDEX('Product Master'!$B$7:$B$1000,MATCH($A397,'Product Master'!$A$7:$A$1000,0)))</f>
        <v/>
      </c>
      <c r="C397" t="str">
        <f>IF($A397="","",INDEX('Product Master'!$C$7:$C$1000,MATCH($A397,'Product Master'!$A$7:$A$1000,0)))</f>
        <v/>
      </c>
      <c r="D397" t="str">
        <f>IF($A397="","",INDEX('Product Master'!$M$7:$M$1000,MATCH($A397,'Product Master'!$A$7:$A$1000,0)))</f>
        <v/>
      </c>
      <c r="E397" t="str">
        <f>IF($A397="","",INDEX('Product Master'!$N$7:$N$1000,MATCH($A397,'Product Master'!$A$7:$A$1000,0)))</f>
        <v/>
      </c>
      <c r="F397" t="str">
        <f>IF($A397="","",INDEX('Product Master'!$P$7:$P$1000,MATCH($A397,'Product Master'!$A$7:$A$1000,0)))</f>
        <v/>
      </c>
      <c r="I397" t="str">
        <f>IFERROR(INDEX('Product Master'!$A$7:$A$1000,_xlfn.AGGREGATE(15,6,(ROW('Product Master'!$A$7:$A$1000)-ROW('Product Master'!$A$7)+1)/(('Product Master'!$A$7:$A$1000&lt;&gt;"")*('Product Master'!$P$7:$P$1000="Out of Stock")),ROWS($I$12:I397))),"")</f>
        <v/>
      </c>
      <c r="J397" t="str">
        <f>IF($I397="","",INDEX('Product Master'!$B$7:$B$1000,MATCH($I397,'Product Master'!$A$7:$A$1000,0)))</f>
        <v/>
      </c>
      <c r="K397" t="str">
        <f>IF($I397="","",INDEX('Product Master'!$C$7:$C$1000,MATCH($I397,'Product Master'!$A$7:$A$1000,0)))</f>
        <v/>
      </c>
      <c r="L397" t="str">
        <f>IF($I397="","",INDEX('Product Master'!$M$7:$M$1000,MATCH($I397,'Product Master'!$A$7:$A$1000,0)))</f>
        <v/>
      </c>
      <c r="M397" t="str">
        <f>IF($I397="","",INDEX('Product Master'!$N$7:$N$1000,MATCH($I397,'Product Master'!$A$7:$A$1000,0)))</f>
        <v/>
      </c>
    </row>
    <row r="398" spans="1:13" x14ac:dyDescent="0.3">
      <c r="A398" t="str">
        <f>IFERROR(INDEX('Product Master'!$A$7:$A$1000,_xlfn.AGGREGATE(15,6,(ROW('Product Master'!$A$7:$A$1000)-ROW('Product Master'!$A$7)+1)/(('Product Master'!$A$7:$A$1000&lt;&gt;"")*('Product Master'!$P$7:$P$1000="Low Stock")),ROWS($A$12:A398))),"")</f>
        <v/>
      </c>
      <c r="B398" t="str">
        <f>IF($A398="","",INDEX('Product Master'!$B$7:$B$1000,MATCH($A398,'Product Master'!$A$7:$A$1000,0)))</f>
        <v/>
      </c>
      <c r="C398" t="str">
        <f>IF($A398="","",INDEX('Product Master'!$C$7:$C$1000,MATCH($A398,'Product Master'!$A$7:$A$1000,0)))</f>
        <v/>
      </c>
      <c r="D398" t="str">
        <f>IF($A398="","",INDEX('Product Master'!$M$7:$M$1000,MATCH($A398,'Product Master'!$A$7:$A$1000,0)))</f>
        <v/>
      </c>
      <c r="E398" t="str">
        <f>IF($A398="","",INDEX('Product Master'!$N$7:$N$1000,MATCH($A398,'Product Master'!$A$7:$A$1000,0)))</f>
        <v/>
      </c>
      <c r="F398" t="str">
        <f>IF($A398="","",INDEX('Product Master'!$P$7:$P$1000,MATCH($A398,'Product Master'!$A$7:$A$1000,0)))</f>
        <v/>
      </c>
      <c r="I398" t="str">
        <f>IFERROR(INDEX('Product Master'!$A$7:$A$1000,_xlfn.AGGREGATE(15,6,(ROW('Product Master'!$A$7:$A$1000)-ROW('Product Master'!$A$7)+1)/(('Product Master'!$A$7:$A$1000&lt;&gt;"")*('Product Master'!$P$7:$P$1000="Out of Stock")),ROWS($I$12:I398))),"")</f>
        <v/>
      </c>
      <c r="J398" t="str">
        <f>IF($I398="","",INDEX('Product Master'!$B$7:$B$1000,MATCH($I398,'Product Master'!$A$7:$A$1000,0)))</f>
        <v/>
      </c>
      <c r="K398" t="str">
        <f>IF($I398="","",INDEX('Product Master'!$C$7:$C$1000,MATCH($I398,'Product Master'!$A$7:$A$1000,0)))</f>
        <v/>
      </c>
      <c r="L398" t="str">
        <f>IF($I398="","",INDEX('Product Master'!$M$7:$M$1000,MATCH($I398,'Product Master'!$A$7:$A$1000,0)))</f>
        <v/>
      </c>
      <c r="M398" t="str">
        <f>IF($I398="","",INDEX('Product Master'!$N$7:$N$1000,MATCH($I398,'Product Master'!$A$7:$A$1000,0)))</f>
        <v/>
      </c>
    </row>
    <row r="399" spans="1:13" x14ac:dyDescent="0.3">
      <c r="A399" t="str">
        <f>IFERROR(INDEX('Product Master'!$A$7:$A$1000,_xlfn.AGGREGATE(15,6,(ROW('Product Master'!$A$7:$A$1000)-ROW('Product Master'!$A$7)+1)/(('Product Master'!$A$7:$A$1000&lt;&gt;"")*('Product Master'!$P$7:$P$1000="Low Stock")),ROWS($A$12:A399))),"")</f>
        <v/>
      </c>
      <c r="B399" t="str">
        <f>IF($A399="","",INDEX('Product Master'!$B$7:$B$1000,MATCH($A399,'Product Master'!$A$7:$A$1000,0)))</f>
        <v/>
      </c>
      <c r="C399" t="str">
        <f>IF($A399="","",INDEX('Product Master'!$C$7:$C$1000,MATCH($A399,'Product Master'!$A$7:$A$1000,0)))</f>
        <v/>
      </c>
      <c r="D399" t="str">
        <f>IF($A399="","",INDEX('Product Master'!$M$7:$M$1000,MATCH($A399,'Product Master'!$A$7:$A$1000,0)))</f>
        <v/>
      </c>
      <c r="E399" t="str">
        <f>IF($A399="","",INDEX('Product Master'!$N$7:$N$1000,MATCH($A399,'Product Master'!$A$7:$A$1000,0)))</f>
        <v/>
      </c>
      <c r="F399" t="str">
        <f>IF($A399="","",INDEX('Product Master'!$P$7:$P$1000,MATCH($A399,'Product Master'!$A$7:$A$1000,0)))</f>
        <v/>
      </c>
      <c r="I399" t="str">
        <f>IFERROR(INDEX('Product Master'!$A$7:$A$1000,_xlfn.AGGREGATE(15,6,(ROW('Product Master'!$A$7:$A$1000)-ROW('Product Master'!$A$7)+1)/(('Product Master'!$A$7:$A$1000&lt;&gt;"")*('Product Master'!$P$7:$P$1000="Out of Stock")),ROWS($I$12:I399))),"")</f>
        <v/>
      </c>
      <c r="J399" t="str">
        <f>IF($I399="","",INDEX('Product Master'!$B$7:$B$1000,MATCH($I399,'Product Master'!$A$7:$A$1000,0)))</f>
        <v/>
      </c>
      <c r="K399" t="str">
        <f>IF($I399="","",INDEX('Product Master'!$C$7:$C$1000,MATCH($I399,'Product Master'!$A$7:$A$1000,0)))</f>
        <v/>
      </c>
      <c r="L399" t="str">
        <f>IF($I399="","",INDEX('Product Master'!$M$7:$M$1000,MATCH($I399,'Product Master'!$A$7:$A$1000,0)))</f>
        <v/>
      </c>
      <c r="M399" t="str">
        <f>IF($I399="","",INDEX('Product Master'!$N$7:$N$1000,MATCH($I399,'Product Master'!$A$7:$A$1000,0)))</f>
        <v/>
      </c>
    </row>
    <row r="400" spans="1:13" x14ac:dyDescent="0.3">
      <c r="A400" t="str">
        <f>IFERROR(INDEX('Product Master'!$A$7:$A$1000,_xlfn.AGGREGATE(15,6,(ROW('Product Master'!$A$7:$A$1000)-ROW('Product Master'!$A$7)+1)/(('Product Master'!$A$7:$A$1000&lt;&gt;"")*('Product Master'!$P$7:$P$1000="Low Stock")),ROWS($A$12:A400))),"")</f>
        <v/>
      </c>
      <c r="B400" t="str">
        <f>IF($A400="","",INDEX('Product Master'!$B$7:$B$1000,MATCH($A400,'Product Master'!$A$7:$A$1000,0)))</f>
        <v/>
      </c>
      <c r="C400" t="str">
        <f>IF($A400="","",INDEX('Product Master'!$C$7:$C$1000,MATCH($A400,'Product Master'!$A$7:$A$1000,0)))</f>
        <v/>
      </c>
      <c r="D400" t="str">
        <f>IF($A400="","",INDEX('Product Master'!$M$7:$M$1000,MATCH($A400,'Product Master'!$A$7:$A$1000,0)))</f>
        <v/>
      </c>
      <c r="E400" t="str">
        <f>IF($A400="","",INDEX('Product Master'!$N$7:$N$1000,MATCH($A400,'Product Master'!$A$7:$A$1000,0)))</f>
        <v/>
      </c>
      <c r="F400" t="str">
        <f>IF($A400="","",INDEX('Product Master'!$P$7:$P$1000,MATCH($A400,'Product Master'!$A$7:$A$1000,0)))</f>
        <v/>
      </c>
      <c r="I400" t="str">
        <f>IFERROR(INDEX('Product Master'!$A$7:$A$1000,_xlfn.AGGREGATE(15,6,(ROW('Product Master'!$A$7:$A$1000)-ROW('Product Master'!$A$7)+1)/(('Product Master'!$A$7:$A$1000&lt;&gt;"")*('Product Master'!$P$7:$P$1000="Out of Stock")),ROWS($I$12:I400))),"")</f>
        <v/>
      </c>
      <c r="J400" t="str">
        <f>IF($I400="","",INDEX('Product Master'!$B$7:$B$1000,MATCH($I400,'Product Master'!$A$7:$A$1000,0)))</f>
        <v/>
      </c>
      <c r="K400" t="str">
        <f>IF($I400="","",INDEX('Product Master'!$C$7:$C$1000,MATCH($I400,'Product Master'!$A$7:$A$1000,0)))</f>
        <v/>
      </c>
      <c r="L400" t="str">
        <f>IF($I400="","",INDEX('Product Master'!$M$7:$M$1000,MATCH($I400,'Product Master'!$A$7:$A$1000,0)))</f>
        <v/>
      </c>
      <c r="M400" t="str">
        <f>IF($I400="","",INDEX('Product Master'!$N$7:$N$1000,MATCH($I400,'Product Master'!$A$7:$A$1000,0)))</f>
        <v/>
      </c>
    </row>
    <row r="401" spans="1:13" x14ac:dyDescent="0.3">
      <c r="A401" t="str">
        <f>IFERROR(INDEX('Product Master'!$A$7:$A$1000,_xlfn.AGGREGATE(15,6,(ROW('Product Master'!$A$7:$A$1000)-ROW('Product Master'!$A$7)+1)/(('Product Master'!$A$7:$A$1000&lt;&gt;"")*('Product Master'!$P$7:$P$1000="Low Stock")),ROWS($A$12:A401))),"")</f>
        <v/>
      </c>
      <c r="B401" t="str">
        <f>IF($A401="","",INDEX('Product Master'!$B$7:$B$1000,MATCH($A401,'Product Master'!$A$7:$A$1000,0)))</f>
        <v/>
      </c>
      <c r="C401" t="str">
        <f>IF($A401="","",INDEX('Product Master'!$C$7:$C$1000,MATCH($A401,'Product Master'!$A$7:$A$1000,0)))</f>
        <v/>
      </c>
      <c r="D401" t="str">
        <f>IF($A401="","",INDEX('Product Master'!$M$7:$M$1000,MATCH($A401,'Product Master'!$A$7:$A$1000,0)))</f>
        <v/>
      </c>
      <c r="E401" t="str">
        <f>IF($A401="","",INDEX('Product Master'!$N$7:$N$1000,MATCH($A401,'Product Master'!$A$7:$A$1000,0)))</f>
        <v/>
      </c>
      <c r="F401" t="str">
        <f>IF($A401="","",INDEX('Product Master'!$P$7:$P$1000,MATCH($A401,'Product Master'!$A$7:$A$1000,0)))</f>
        <v/>
      </c>
      <c r="I401" t="str">
        <f>IFERROR(INDEX('Product Master'!$A$7:$A$1000,_xlfn.AGGREGATE(15,6,(ROW('Product Master'!$A$7:$A$1000)-ROW('Product Master'!$A$7)+1)/(('Product Master'!$A$7:$A$1000&lt;&gt;"")*('Product Master'!$P$7:$P$1000="Out of Stock")),ROWS($I$12:I401))),"")</f>
        <v/>
      </c>
      <c r="J401" t="str">
        <f>IF($I401="","",INDEX('Product Master'!$B$7:$B$1000,MATCH($I401,'Product Master'!$A$7:$A$1000,0)))</f>
        <v/>
      </c>
      <c r="K401" t="str">
        <f>IF($I401="","",INDEX('Product Master'!$C$7:$C$1000,MATCH($I401,'Product Master'!$A$7:$A$1000,0)))</f>
        <v/>
      </c>
      <c r="L401" t="str">
        <f>IF($I401="","",INDEX('Product Master'!$M$7:$M$1000,MATCH($I401,'Product Master'!$A$7:$A$1000,0)))</f>
        <v/>
      </c>
      <c r="M401" t="str">
        <f>IF($I401="","",INDEX('Product Master'!$N$7:$N$1000,MATCH($I401,'Product Master'!$A$7:$A$1000,0)))</f>
        <v/>
      </c>
    </row>
    <row r="402" spans="1:13" x14ac:dyDescent="0.3">
      <c r="A402" t="str">
        <f>IFERROR(INDEX('Product Master'!$A$7:$A$1000,_xlfn.AGGREGATE(15,6,(ROW('Product Master'!$A$7:$A$1000)-ROW('Product Master'!$A$7)+1)/(('Product Master'!$A$7:$A$1000&lt;&gt;"")*('Product Master'!$P$7:$P$1000="Low Stock")),ROWS($A$12:A402))),"")</f>
        <v/>
      </c>
      <c r="B402" t="str">
        <f>IF($A402="","",INDEX('Product Master'!$B$7:$B$1000,MATCH($A402,'Product Master'!$A$7:$A$1000,0)))</f>
        <v/>
      </c>
      <c r="C402" t="str">
        <f>IF($A402="","",INDEX('Product Master'!$C$7:$C$1000,MATCH($A402,'Product Master'!$A$7:$A$1000,0)))</f>
        <v/>
      </c>
      <c r="D402" t="str">
        <f>IF($A402="","",INDEX('Product Master'!$M$7:$M$1000,MATCH($A402,'Product Master'!$A$7:$A$1000,0)))</f>
        <v/>
      </c>
      <c r="E402" t="str">
        <f>IF($A402="","",INDEX('Product Master'!$N$7:$N$1000,MATCH($A402,'Product Master'!$A$7:$A$1000,0)))</f>
        <v/>
      </c>
      <c r="F402" t="str">
        <f>IF($A402="","",INDEX('Product Master'!$P$7:$P$1000,MATCH($A402,'Product Master'!$A$7:$A$1000,0)))</f>
        <v/>
      </c>
      <c r="I402" t="str">
        <f>IFERROR(INDEX('Product Master'!$A$7:$A$1000,_xlfn.AGGREGATE(15,6,(ROW('Product Master'!$A$7:$A$1000)-ROW('Product Master'!$A$7)+1)/(('Product Master'!$A$7:$A$1000&lt;&gt;"")*('Product Master'!$P$7:$P$1000="Out of Stock")),ROWS($I$12:I402))),"")</f>
        <v/>
      </c>
      <c r="J402" t="str">
        <f>IF($I402="","",INDEX('Product Master'!$B$7:$B$1000,MATCH($I402,'Product Master'!$A$7:$A$1000,0)))</f>
        <v/>
      </c>
      <c r="K402" t="str">
        <f>IF($I402="","",INDEX('Product Master'!$C$7:$C$1000,MATCH($I402,'Product Master'!$A$7:$A$1000,0)))</f>
        <v/>
      </c>
      <c r="L402" t="str">
        <f>IF($I402="","",INDEX('Product Master'!$M$7:$M$1000,MATCH($I402,'Product Master'!$A$7:$A$1000,0)))</f>
        <v/>
      </c>
      <c r="M402" t="str">
        <f>IF($I402="","",INDEX('Product Master'!$N$7:$N$1000,MATCH($I402,'Product Master'!$A$7:$A$1000,0)))</f>
        <v/>
      </c>
    </row>
    <row r="403" spans="1:13" x14ac:dyDescent="0.3">
      <c r="A403" t="str">
        <f>IFERROR(INDEX('Product Master'!$A$7:$A$1000,_xlfn.AGGREGATE(15,6,(ROW('Product Master'!$A$7:$A$1000)-ROW('Product Master'!$A$7)+1)/(('Product Master'!$A$7:$A$1000&lt;&gt;"")*('Product Master'!$P$7:$P$1000="Low Stock")),ROWS($A$12:A403))),"")</f>
        <v/>
      </c>
      <c r="B403" t="str">
        <f>IF($A403="","",INDEX('Product Master'!$B$7:$B$1000,MATCH($A403,'Product Master'!$A$7:$A$1000,0)))</f>
        <v/>
      </c>
      <c r="C403" t="str">
        <f>IF($A403="","",INDEX('Product Master'!$C$7:$C$1000,MATCH($A403,'Product Master'!$A$7:$A$1000,0)))</f>
        <v/>
      </c>
      <c r="D403" t="str">
        <f>IF($A403="","",INDEX('Product Master'!$M$7:$M$1000,MATCH($A403,'Product Master'!$A$7:$A$1000,0)))</f>
        <v/>
      </c>
      <c r="E403" t="str">
        <f>IF($A403="","",INDEX('Product Master'!$N$7:$N$1000,MATCH($A403,'Product Master'!$A$7:$A$1000,0)))</f>
        <v/>
      </c>
      <c r="F403" t="str">
        <f>IF($A403="","",INDEX('Product Master'!$P$7:$P$1000,MATCH($A403,'Product Master'!$A$7:$A$1000,0)))</f>
        <v/>
      </c>
      <c r="I403" t="str">
        <f>IFERROR(INDEX('Product Master'!$A$7:$A$1000,_xlfn.AGGREGATE(15,6,(ROW('Product Master'!$A$7:$A$1000)-ROW('Product Master'!$A$7)+1)/(('Product Master'!$A$7:$A$1000&lt;&gt;"")*('Product Master'!$P$7:$P$1000="Out of Stock")),ROWS($I$12:I403))),"")</f>
        <v/>
      </c>
      <c r="J403" t="str">
        <f>IF($I403="","",INDEX('Product Master'!$B$7:$B$1000,MATCH($I403,'Product Master'!$A$7:$A$1000,0)))</f>
        <v/>
      </c>
      <c r="K403" t="str">
        <f>IF($I403="","",INDEX('Product Master'!$C$7:$C$1000,MATCH($I403,'Product Master'!$A$7:$A$1000,0)))</f>
        <v/>
      </c>
      <c r="L403" t="str">
        <f>IF($I403="","",INDEX('Product Master'!$M$7:$M$1000,MATCH($I403,'Product Master'!$A$7:$A$1000,0)))</f>
        <v/>
      </c>
      <c r="M403" t="str">
        <f>IF($I403="","",INDEX('Product Master'!$N$7:$N$1000,MATCH($I403,'Product Master'!$A$7:$A$1000,0)))</f>
        <v/>
      </c>
    </row>
    <row r="404" spans="1:13" x14ac:dyDescent="0.3">
      <c r="A404" t="str">
        <f>IFERROR(INDEX('Product Master'!$A$7:$A$1000,_xlfn.AGGREGATE(15,6,(ROW('Product Master'!$A$7:$A$1000)-ROW('Product Master'!$A$7)+1)/(('Product Master'!$A$7:$A$1000&lt;&gt;"")*('Product Master'!$P$7:$P$1000="Low Stock")),ROWS($A$12:A404))),"")</f>
        <v/>
      </c>
      <c r="B404" t="str">
        <f>IF($A404="","",INDEX('Product Master'!$B$7:$B$1000,MATCH($A404,'Product Master'!$A$7:$A$1000,0)))</f>
        <v/>
      </c>
      <c r="C404" t="str">
        <f>IF($A404="","",INDEX('Product Master'!$C$7:$C$1000,MATCH($A404,'Product Master'!$A$7:$A$1000,0)))</f>
        <v/>
      </c>
      <c r="D404" t="str">
        <f>IF($A404="","",INDEX('Product Master'!$M$7:$M$1000,MATCH($A404,'Product Master'!$A$7:$A$1000,0)))</f>
        <v/>
      </c>
      <c r="E404" t="str">
        <f>IF($A404="","",INDEX('Product Master'!$N$7:$N$1000,MATCH($A404,'Product Master'!$A$7:$A$1000,0)))</f>
        <v/>
      </c>
      <c r="F404" t="str">
        <f>IF($A404="","",INDEX('Product Master'!$P$7:$P$1000,MATCH($A404,'Product Master'!$A$7:$A$1000,0)))</f>
        <v/>
      </c>
      <c r="I404" t="str">
        <f>IFERROR(INDEX('Product Master'!$A$7:$A$1000,_xlfn.AGGREGATE(15,6,(ROW('Product Master'!$A$7:$A$1000)-ROW('Product Master'!$A$7)+1)/(('Product Master'!$A$7:$A$1000&lt;&gt;"")*('Product Master'!$P$7:$P$1000="Out of Stock")),ROWS($I$12:I404))),"")</f>
        <v/>
      </c>
      <c r="J404" t="str">
        <f>IF($I404="","",INDEX('Product Master'!$B$7:$B$1000,MATCH($I404,'Product Master'!$A$7:$A$1000,0)))</f>
        <v/>
      </c>
      <c r="K404" t="str">
        <f>IF($I404="","",INDEX('Product Master'!$C$7:$C$1000,MATCH($I404,'Product Master'!$A$7:$A$1000,0)))</f>
        <v/>
      </c>
      <c r="L404" t="str">
        <f>IF($I404="","",INDEX('Product Master'!$M$7:$M$1000,MATCH($I404,'Product Master'!$A$7:$A$1000,0)))</f>
        <v/>
      </c>
      <c r="M404" t="str">
        <f>IF($I404="","",INDEX('Product Master'!$N$7:$N$1000,MATCH($I404,'Product Master'!$A$7:$A$1000,0)))</f>
        <v/>
      </c>
    </row>
    <row r="405" spans="1:13" x14ac:dyDescent="0.3">
      <c r="A405" t="str">
        <f>IFERROR(INDEX('Product Master'!$A$7:$A$1000,_xlfn.AGGREGATE(15,6,(ROW('Product Master'!$A$7:$A$1000)-ROW('Product Master'!$A$7)+1)/(('Product Master'!$A$7:$A$1000&lt;&gt;"")*('Product Master'!$P$7:$P$1000="Low Stock")),ROWS($A$12:A405))),"")</f>
        <v/>
      </c>
      <c r="B405" t="str">
        <f>IF($A405="","",INDEX('Product Master'!$B$7:$B$1000,MATCH($A405,'Product Master'!$A$7:$A$1000,0)))</f>
        <v/>
      </c>
      <c r="C405" t="str">
        <f>IF($A405="","",INDEX('Product Master'!$C$7:$C$1000,MATCH($A405,'Product Master'!$A$7:$A$1000,0)))</f>
        <v/>
      </c>
      <c r="D405" t="str">
        <f>IF($A405="","",INDEX('Product Master'!$M$7:$M$1000,MATCH($A405,'Product Master'!$A$7:$A$1000,0)))</f>
        <v/>
      </c>
      <c r="E405" t="str">
        <f>IF($A405="","",INDEX('Product Master'!$N$7:$N$1000,MATCH($A405,'Product Master'!$A$7:$A$1000,0)))</f>
        <v/>
      </c>
      <c r="F405" t="str">
        <f>IF($A405="","",INDEX('Product Master'!$P$7:$P$1000,MATCH($A405,'Product Master'!$A$7:$A$1000,0)))</f>
        <v/>
      </c>
      <c r="I405" t="str">
        <f>IFERROR(INDEX('Product Master'!$A$7:$A$1000,_xlfn.AGGREGATE(15,6,(ROW('Product Master'!$A$7:$A$1000)-ROW('Product Master'!$A$7)+1)/(('Product Master'!$A$7:$A$1000&lt;&gt;"")*('Product Master'!$P$7:$P$1000="Out of Stock")),ROWS($I$12:I405))),"")</f>
        <v/>
      </c>
      <c r="J405" t="str">
        <f>IF($I405="","",INDEX('Product Master'!$B$7:$B$1000,MATCH($I405,'Product Master'!$A$7:$A$1000,0)))</f>
        <v/>
      </c>
      <c r="K405" t="str">
        <f>IF($I405="","",INDEX('Product Master'!$C$7:$C$1000,MATCH($I405,'Product Master'!$A$7:$A$1000,0)))</f>
        <v/>
      </c>
      <c r="L405" t="str">
        <f>IF($I405="","",INDEX('Product Master'!$M$7:$M$1000,MATCH($I405,'Product Master'!$A$7:$A$1000,0)))</f>
        <v/>
      </c>
      <c r="M405" t="str">
        <f>IF($I405="","",INDEX('Product Master'!$N$7:$N$1000,MATCH($I405,'Product Master'!$A$7:$A$1000,0)))</f>
        <v/>
      </c>
    </row>
    <row r="406" spans="1:13" x14ac:dyDescent="0.3">
      <c r="A406" t="str">
        <f>IFERROR(INDEX('Product Master'!$A$7:$A$1000,_xlfn.AGGREGATE(15,6,(ROW('Product Master'!$A$7:$A$1000)-ROW('Product Master'!$A$7)+1)/(('Product Master'!$A$7:$A$1000&lt;&gt;"")*('Product Master'!$P$7:$P$1000="Low Stock")),ROWS($A$12:A406))),"")</f>
        <v/>
      </c>
      <c r="B406" t="str">
        <f>IF($A406="","",INDEX('Product Master'!$B$7:$B$1000,MATCH($A406,'Product Master'!$A$7:$A$1000,0)))</f>
        <v/>
      </c>
      <c r="C406" t="str">
        <f>IF($A406="","",INDEX('Product Master'!$C$7:$C$1000,MATCH($A406,'Product Master'!$A$7:$A$1000,0)))</f>
        <v/>
      </c>
      <c r="D406" t="str">
        <f>IF($A406="","",INDEX('Product Master'!$M$7:$M$1000,MATCH($A406,'Product Master'!$A$7:$A$1000,0)))</f>
        <v/>
      </c>
      <c r="E406" t="str">
        <f>IF($A406="","",INDEX('Product Master'!$N$7:$N$1000,MATCH($A406,'Product Master'!$A$7:$A$1000,0)))</f>
        <v/>
      </c>
      <c r="F406" t="str">
        <f>IF($A406="","",INDEX('Product Master'!$P$7:$P$1000,MATCH($A406,'Product Master'!$A$7:$A$1000,0)))</f>
        <v/>
      </c>
      <c r="I406" t="str">
        <f>IFERROR(INDEX('Product Master'!$A$7:$A$1000,_xlfn.AGGREGATE(15,6,(ROW('Product Master'!$A$7:$A$1000)-ROW('Product Master'!$A$7)+1)/(('Product Master'!$A$7:$A$1000&lt;&gt;"")*('Product Master'!$P$7:$P$1000="Out of Stock")),ROWS($I$12:I406))),"")</f>
        <v/>
      </c>
      <c r="J406" t="str">
        <f>IF($I406="","",INDEX('Product Master'!$B$7:$B$1000,MATCH($I406,'Product Master'!$A$7:$A$1000,0)))</f>
        <v/>
      </c>
      <c r="K406" t="str">
        <f>IF($I406="","",INDEX('Product Master'!$C$7:$C$1000,MATCH($I406,'Product Master'!$A$7:$A$1000,0)))</f>
        <v/>
      </c>
      <c r="L406" t="str">
        <f>IF($I406="","",INDEX('Product Master'!$M$7:$M$1000,MATCH($I406,'Product Master'!$A$7:$A$1000,0)))</f>
        <v/>
      </c>
      <c r="M406" t="str">
        <f>IF($I406="","",INDEX('Product Master'!$N$7:$N$1000,MATCH($I406,'Product Master'!$A$7:$A$1000,0)))</f>
        <v/>
      </c>
    </row>
    <row r="407" spans="1:13" x14ac:dyDescent="0.3">
      <c r="A407" t="str">
        <f>IFERROR(INDEX('Product Master'!$A$7:$A$1000,_xlfn.AGGREGATE(15,6,(ROW('Product Master'!$A$7:$A$1000)-ROW('Product Master'!$A$7)+1)/(('Product Master'!$A$7:$A$1000&lt;&gt;"")*('Product Master'!$P$7:$P$1000="Low Stock")),ROWS($A$12:A407))),"")</f>
        <v/>
      </c>
      <c r="B407" t="str">
        <f>IF($A407="","",INDEX('Product Master'!$B$7:$B$1000,MATCH($A407,'Product Master'!$A$7:$A$1000,0)))</f>
        <v/>
      </c>
      <c r="C407" t="str">
        <f>IF($A407="","",INDEX('Product Master'!$C$7:$C$1000,MATCH($A407,'Product Master'!$A$7:$A$1000,0)))</f>
        <v/>
      </c>
      <c r="D407" t="str">
        <f>IF($A407="","",INDEX('Product Master'!$M$7:$M$1000,MATCH($A407,'Product Master'!$A$7:$A$1000,0)))</f>
        <v/>
      </c>
      <c r="E407" t="str">
        <f>IF($A407="","",INDEX('Product Master'!$N$7:$N$1000,MATCH($A407,'Product Master'!$A$7:$A$1000,0)))</f>
        <v/>
      </c>
      <c r="F407" t="str">
        <f>IF($A407="","",INDEX('Product Master'!$P$7:$P$1000,MATCH($A407,'Product Master'!$A$7:$A$1000,0)))</f>
        <v/>
      </c>
      <c r="I407" t="str">
        <f>IFERROR(INDEX('Product Master'!$A$7:$A$1000,_xlfn.AGGREGATE(15,6,(ROW('Product Master'!$A$7:$A$1000)-ROW('Product Master'!$A$7)+1)/(('Product Master'!$A$7:$A$1000&lt;&gt;"")*('Product Master'!$P$7:$P$1000="Out of Stock")),ROWS($I$12:I407))),"")</f>
        <v/>
      </c>
      <c r="J407" t="str">
        <f>IF($I407="","",INDEX('Product Master'!$B$7:$B$1000,MATCH($I407,'Product Master'!$A$7:$A$1000,0)))</f>
        <v/>
      </c>
      <c r="K407" t="str">
        <f>IF($I407="","",INDEX('Product Master'!$C$7:$C$1000,MATCH($I407,'Product Master'!$A$7:$A$1000,0)))</f>
        <v/>
      </c>
      <c r="L407" t="str">
        <f>IF($I407="","",INDEX('Product Master'!$M$7:$M$1000,MATCH($I407,'Product Master'!$A$7:$A$1000,0)))</f>
        <v/>
      </c>
      <c r="M407" t="str">
        <f>IF($I407="","",INDEX('Product Master'!$N$7:$N$1000,MATCH($I407,'Product Master'!$A$7:$A$1000,0)))</f>
        <v/>
      </c>
    </row>
    <row r="408" spans="1:13" x14ac:dyDescent="0.3">
      <c r="A408" t="str">
        <f>IFERROR(INDEX('Product Master'!$A$7:$A$1000,_xlfn.AGGREGATE(15,6,(ROW('Product Master'!$A$7:$A$1000)-ROW('Product Master'!$A$7)+1)/(('Product Master'!$A$7:$A$1000&lt;&gt;"")*('Product Master'!$P$7:$P$1000="Low Stock")),ROWS($A$12:A408))),"")</f>
        <v/>
      </c>
      <c r="B408" t="str">
        <f>IF($A408="","",INDEX('Product Master'!$B$7:$B$1000,MATCH($A408,'Product Master'!$A$7:$A$1000,0)))</f>
        <v/>
      </c>
      <c r="C408" t="str">
        <f>IF($A408="","",INDEX('Product Master'!$C$7:$C$1000,MATCH($A408,'Product Master'!$A$7:$A$1000,0)))</f>
        <v/>
      </c>
      <c r="D408" t="str">
        <f>IF($A408="","",INDEX('Product Master'!$M$7:$M$1000,MATCH($A408,'Product Master'!$A$7:$A$1000,0)))</f>
        <v/>
      </c>
      <c r="E408" t="str">
        <f>IF($A408="","",INDEX('Product Master'!$N$7:$N$1000,MATCH($A408,'Product Master'!$A$7:$A$1000,0)))</f>
        <v/>
      </c>
      <c r="F408" t="str">
        <f>IF($A408="","",INDEX('Product Master'!$P$7:$P$1000,MATCH($A408,'Product Master'!$A$7:$A$1000,0)))</f>
        <v/>
      </c>
      <c r="I408" t="str">
        <f>IFERROR(INDEX('Product Master'!$A$7:$A$1000,_xlfn.AGGREGATE(15,6,(ROW('Product Master'!$A$7:$A$1000)-ROW('Product Master'!$A$7)+1)/(('Product Master'!$A$7:$A$1000&lt;&gt;"")*('Product Master'!$P$7:$P$1000="Out of Stock")),ROWS($I$12:I408))),"")</f>
        <v/>
      </c>
      <c r="J408" t="str">
        <f>IF($I408="","",INDEX('Product Master'!$B$7:$B$1000,MATCH($I408,'Product Master'!$A$7:$A$1000,0)))</f>
        <v/>
      </c>
      <c r="K408" t="str">
        <f>IF($I408="","",INDEX('Product Master'!$C$7:$C$1000,MATCH($I408,'Product Master'!$A$7:$A$1000,0)))</f>
        <v/>
      </c>
      <c r="L408" t="str">
        <f>IF($I408="","",INDEX('Product Master'!$M$7:$M$1000,MATCH($I408,'Product Master'!$A$7:$A$1000,0)))</f>
        <v/>
      </c>
      <c r="M408" t="str">
        <f>IF($I408="","",INDEX('Product Master'!$N$7:$N$1000,MATCH($I408,'Product Master'!$A$7:$A$1000,0)))</f>
        <v/>
      </c>
    </row>
    <row r="409" spans="1:13" x14ac:dyDescent="0.3">
      <c r="A409" t="str">
        <f>IFERROR(INDEX('Product Master'!$A$7:$A$1000,_xlfn.AGGREGATE(15,6,(ROW('Product Master'!$A$7:$A$1000)-ROW('Product Master'!$A$7)+1)/(('Product Master'!$A$7:$A$1000&lt;&gt;"")*('Product Master'!$P$7:$P$1000="Low Stock")),ROWS($A$12:A409))),"")</f>
        <v/>
      </c>
      <c r="B409" t="str">
        <f>IF($A409="","",INDEX('Product Master'!$B$7:$B$1000,MATCH($A409,'Product Master'!$A$7:$A$1000,0)))</f>
        <v/>
      </c>
      <c r="C409" t="str">
        <f>IF($A409="","",INDEX('Product Master'!$C$7:$C$1000,MATCH($A409,'Product Master'!$A$7:$A$1000,0)))</f>
        <v/>
      </c>
      <c r="D409" t="str">
        <f>IF($A409="","",INDEX('Product Master'!$M$7:$M$1000,MATCH($A409,'Product Master'!$A$7:$A$1000,0)))</f>
        <v/>
      </c>
      <c r="E409" t="str">
        <f>IF($A409="","",INDEX('Product Master'!$N$7:$N$1000,MATCH($A409,'Product Master'!$A$7:$A$1000,0)))</f>
        <v/>
      </c>
      <c r="F409" t="str">
        <f>IF($A409="","",INDEX('Product Master'!$P$7:$P$1000,MATCH($A409,'Product Master'!$A$7:$A$1000,0)))</f>
        <v/>
      </c>
      <c r="I409" t="str">
        <f>IFERROR(INDEX('Product Master'!$A$7:$A$1000,_xlfn.AGGREGATE(15,6,(ROW('Product Master'!$A$7:$A$1000)-ROW('Product Master'!$A$7)+1)/(('Product Master'!$A$7:$A$1000&lt;&gt;"")*('Product Master'!$P$7:$P$1000="Out of Stock")),ROWS($I$12:I409))),"")</f>
        <v/>
      </c>
      <c r="J409" t="str">
        <f>IF($I409="","",INDEX('Product Master'!$B$7:$B$1000,MATCH($I409,'Product Master'!$A$7:$A$1000,0)))</f>
        <v/>
      </c>
      <c r="K409" t="str">
        <f>IF($I409="","",INDEX('Product Master'!$C$7:$C$1000,MATCH($I409,'Product Master'!$A$7:$A$1000,0)))</f>
        <v/>
      </c>
      <c r="L409" t="str">
        <f>IF($I409="","",INDEX('Product Master'!$M$7:$M$1000,MATCH($I409,'Product Master'!$A$7:$A$1000,0)))</f>
        <v/>
      </c>
      <c r="M409" t="str">
        <f>IF($I409="","",INDEX('Product Master'!$N$7:$N$1000,MATCH($I409,'Product Master'!$A$7:$A$1000,0)))</f>
        <v/>
      </c>
    </row>
    <row r="410" spans="1:13" x14ac:dyDescent="0.3">
      <c r="A410" t="str">
        <f>IFERROR(INDEX('Product Master'!$A$7:$A$1000,_xlfn.AGGREGATE(15,6,(ROW('Product Master'!$A$7:$A$1000)-ROW('Product Master'!$A$7)+1)/(('Product Master'!$A$7:$A$1000&lt;&gt;"")*('Product Master'!$P$7:$P$1000="Low Stock")),ROWS($A$12:A410))),"")</f>
        <v/>
      </c>
      <c r="B410" t="str">
        <f>IF($A410="","",INDEX('Product Master'!$B$7:$B$1000,MATCH($A410,'Product Master'!$A$7:$A$1000,0)))</f>
        <v/>
      </c>
      <c r="C410" t="str">
        <f>IF($A410="","",INDEX('Product Master'!$C$7:$C$1000,MATCH($A410,'Product Master'!$A$7:$A$1000,0)))</f>
        <v/>
      </c>
      <c r="D410" t="str">
        <f>IF($A410="","",INDEX('Product Master'!$M$7:$M$1000,MATCH($A410,'Product Master'!$A$7:$A$1000,0)))</f>
        <v/>
      </c>
      <c r="E410" t="str">
        <f>IF($A410="","",INDEX('Product Master'!$N$7:$N$1000,MATCH($A410,'Product Master'!$A$7:$A$1000,0)))</f>
        <v/>
      </c>
      <c r="F410" t="str">
        <f>IF($A410="","",INDEX('Product Master'!$P$7:$P$1000,MATCH($A410,'Product Master'!$A$7:$A$1000,0)))</f>
        <v/>
      </c>
      <c r="I410" t="str">
        <f>IFERROR(INDEX('Product Master'!$A$7:$A$1000,_xlfn.AGGREGATE(15,6,(ROW('Product Master'!$A$7:$A$1000)-ROW('Product Master'!$A$7)+1)/(('Product Master'!$A$7:$A$1000&lt;&gt;"")*('Product Master'!$P$7:$P$1000="Out of Stock")),ROWS($I$12:I410))),"")</f>
        <v/>
      </c>
      <c r="J410" t="str">
        <f>IF($I410="","",INDEX('Product Master'!$B$7:$B$1000,MATCH($I410,'Product Master'!$A$7:$A$1000,0)))</f>
        <v/>
      </c>
      <c r="K410" t="str">
        <f>IF($I410="","",INDEX('Product Master'!$C$7:$C$1000,MATCH($I410,'Product Master'!$A$7:$A$1000,0)))</f>
        <v/>
      </c>
      <c r="L410" t="str">
        <f>IF($I410="","",INDEX('Product Master'!$M$7:$M$1000,MATCH($I410,'Product Master'!$A$7:$A$1000,0)))</f>
        <v/>
      </c>
      <c r="M410" t="str">
        <f>IF($I410="","",INDEX('Product Master'!$N$7:$N$1000,MATCH($I410,'Product Master'!$A$7:$A$1000,0)))</f>
        <v/>
      </c>
    </row>
    <row r="411" spans="1:13" x14ac:dyDescent="0.3">
      <c r="A411" t="str">
        <f>IFERROR(INDEX('Product Master'!$A$7:$A$1000,_xlfn.AGGREGATE(15,6,(ROW('Product Master'!$A$7:$A$1000)-ROW('Product Master'!$A$7)+1)/(('Product Master'!$A$7:$A$1000&lt;&gt;"")*('Product Master'!$P$7:$P$1000="Low Stock")),ROWS($A$12:A411))),"")</f>
        <v/>
      </c>
      <c r="B411" t="str">
        <f>IF($A411="","",INDEX('Product Master'!$B$7:$B$1000,MATCH($A411,'Product Master'!$A$7:$A$1000,0)))</f>
        <v/>
      </c>
      <c r="C411" t="str">
        <f>IF($A411="","",INDEX('Product Master'!$C$7:$C$1000,MATCH($A411,'Product Master'!$A$7:$A$1000,0)))</f>
        <v/>
      </c>
      <c r="D411" t="str">
        <f>IF($A411="","",INDEX('Product Master'!$M$7:$M$1000,MATCH($A411,'Product Master'!$A$7:$A$1000,0)))</f>
        <v/>
      </c>
      <c r="E411" t="str">
        <f>IF($A411="","",INDEX('Product Master'!$N$7:$N$1000,MATCH($A411,'Product Master'!$A$7:$A$1000,0)))</f>
        <v/>
      </c>
      <c r="F411" t="str">
        <f>IF($A411="","",INDEX('Product Master'!$P$7:$P$1000,MATCH($A411,'Product Master'!$A$7:$A$1000,0)))</f>
        <v/>
      </c>
      <c r="I411" t="str">
        <f>IFERROR(INDEX('Product Master'!$A$7:$A$1000,_xlfn.AGGREGATE(15,6,(ROW('Product Master'!$A$7:$A$1000)-ROW('Product Master'!$A$7)+1)/(('Product Master'!$A$7:$A$1000&lt;&gt;"")*('Product Master'!$P$7:$P$1000="Out of Stock")),ROWS($I$12:I411))),"")</f>
        <v/>
      </c>
      <c r="J411" t="str">
        <f>IF($I411="","",INDEX('Product Master'!$B$7:$B$1000,MATCH($I411,'Product Master'!$A$7:$A$1000,0)))</f>
        <v/>
      </c>
      <c r="K411" t="str">
        <f>IF($I411="","",INDEX('Product Master'!$C$7:$C$1000,MATCH($I411,'Product Master'!$A$7:$A$1000,0)))</f>
        <v/>
      </c>
      <c r="L411" t="str">
        <f>IF($I411="","",INDEX('Product Master'!$M$7:$M$1000,MATCH($I411,'Product Master'!$A$7:$A$1000,0)))</f>
        <v/>
      </c>
      <c r="M411" t="str">
        <f>IF($I411="","",INDEX('Product Master'!$N$7:$N$1000,MATCH($I411,'Product Master'!$A$7:$A$1000,0)))</f>
        <v/>
      </c>
    </row>
    <row r="412" spans="1:13" x14ac:dyDescent="0.3">
      <c r="A412" t="str">
        <f>IFERROR(INDEX('Product Master'!$A$7:$A$1000,_xlfn.AGGREGATE(15,6,(ROW('Product Master'!$A$7:$A$1000)-ROW('Product Master'!$A$7)+1)/(('Product Master'!$A$7:$A$1000&lt;&gt;"")*('Product Master'!$P$7:$P$1000="Low Stock")),ROWS($A$12:A412))),"")</f>
        <v/>
      </c>
      <c r="B412" t="str">
        <f>IF($A412="","",INDEX('Product Master'!$B$7:$B$1000,MATCH($A412,'Product Master'!$A$7:$A$1000,0)))</f>
        <v/>
      </c>
      <c r="C412" t="str">
        <f>IF($A412="","",INDEX('Product Master'!$C$7:$C$1000,MATCH($A412,'Product Master'!$A$7:$A$1000,0)))</f>
        <v/>
      </c>
      <c r="D412" t="str">
        <f>IF($A412="","",INDEX('Product Master'!$M$7:$M$1000,MATCH($A412,'Product Master'!$A$7:$A$1000,0)))</f>
        <v/>
      </c>
      <c r="E412" t="str">
        <f>IF($A412="","",INDEX('Product Master'!$N$7:$N$1000,MATCH($A412,'Product Master'!$A$7:$A$1000,0)))</f>
        <v/>
      </c>
      <c r="F412" t="str">
        <f>IF($A412="","",INDEX('Product Master'!$P$7:$P$1000,MATCH($A412,'Product Master'!$A$7:$A$1000,0)))</f>
        <v/>
      </c>
      <c r="I412" t="str">
        <f>IFERROR(INDEX('Product Master'!$A$7:$A$1000,_xlfn.AGGREGATE(15,6,(ROW('Product Master'!$A$7:$A$1000)-ROW('Product Master'!$A$7)+1)/(('Product Master'!$A$7:$A$1000&lt;&gt;"")*('Product Master'!$P$7:$P$1000="Out of Stock")),ROWS($I$12:I412))),"")</f>
        <v/>
      </c>
      <c r="J412" t="str">
        <f>IF($I412="","",INDEX('Product Master'!$B$7:$B$1000,MATCH($I412,'Product Master'!$A$7:$A$1000,0)))</f>
        <v/>
      </c>
      <c r="K412" t="str">
        <f>IF($I412="","",INDEX('Product Master'!$C$7:$C$1000,MATCH($I412,'Product Master'!$A$7:$A$1000,0)))</f>
        <v/>
      </c>
      <c r="L412" t="str">
        <f>IF($I412="","",INDEX('Product Master'!$M$7:$M$1000,MATCH($I412,'Product Master'!$A$7:$A$1000,0)))</f>
        <v/>
      </c>
      <c r="M412" t="str">
        <f>IF($I412="","",INDEX('Product Master'!$N$7:$N$1000,MATCH($I412,'Product Master'!$A$7:$A$1000,0)))</f>
        <v/>
      </c>
    </row>
    <row r="413" spans="1:13" x14ac:dyDescent="0.3">
      <c r="A413" t="str">
        <f>IFERROR(INDEX('Product Master'!$A$7:$A$1000,_xlfn.AGGREGATE(15,6,(ROW('Product Master'!$A$7:$A$1000)-ROW('Product Master'!$A$7)+1)/(('Product Master'!$A$7:$A$1000&lt;&gt;"")*('Product Master'!$P$7:$P$1000="Low Stock")),ROWS($A$12:A413))),"")</f>
        <v/>
      </c>
      <c r="B413" t="str">
        <f>IF($A413="","",INDEX('Product Master'!$B$7:$B$1000,MATCH($A413,'Product Master'!$A$7:$A$1000,0)))</f>
        <v/>
      </c>
      <c r="C413" t="str">
        <f>IF($A413="","",INDEX('Product Master'!$C$7:$C$1000,MATCH($A413,'Product Master'!$A$7:$A$1000,0)))</f>
        <v/>
      </c>
      <c r="D413" t="str">
        <f>IF($A413="","",INDEX('Product Master'!$M$7:$M$1000,MATCH($A413,'Product Master'!$A$7:$A$1000,0)))</f>
        <v/>
      </c>
      <c r="E413" t="str">
        <f>IF($A413="","",INDEX('Product Master'!$N$7:$N$1000,MATCH($A413,'Product Master'!$A$7:$A$1000,0)))</f>
        <v/>
      </c>
      <c r="F413" t="str">
        <f>IF($A413="","",INDEX('Product Master'!$P$7:$P$1000,MATCH($A413,'Product Master'!$A$7:$A$1000,0)))</f>
        <v/>
      </c>
      <c r="I413" t="str">
        <f>IFERROR(INDEX('Product Master'!$A$7:$A$1000,_xlfn.AGGREGATE(15,6,(ROW('Product Master'!$A$7:$A$1000)-ROW('Product Master'!$A$7)+1)/(('Product Master'!$A$7:$A$1000&lt;&gt;"")*('Product Master'!$P$7:$P$1000="Out of Stock")),ROWS($I$12:I413))),"")</f>
        <v/>
      </c>
      <c r="J413" t="str">
        <f>IF($I413="","",INDEX('Product Master'!$B$7:$B$1000,MATCH($I413,'Product Master'!$A$7:$A$1000,0)))</f>
        <v/>
      </c>
      <c r="K413" t="str">
        <f>IF($I413="","",INDEX('Product Master'!$C$7:$C$1000,MATCH($I413,'Product Master'!$A$7:$A$1000,0)))</f>
        <v/>
      </c>
      <c r="L413" t="str">
        <f>IF($I413="","",INDEX('Product Master'!$M$7:$M$1000,MATCH($I413,'Product Master'!$A$7:$A$1000,0)))</f>
        <v/>
      </c>
      <c r="M413" t="str">
        <f>IF($I413="","",INDEX('Product Master'!$N$7:$N$1000,MATCH($I413,'Product Master'!$A$7:$A$1000,0)))</f>
        <v/>
      </c>
    </row>
    <row r="414" spans="1:13" x14ac:dyDescent="0.3">
      <c r="A414" t="str">
        <f>IFERROR(INDEX('Product Master'!$A$7:$A$1000,_xlfn.AGGREGATE(15,6,(ROW('Product Master'!$A$7:$A$1000)-ROW('Product Master'!$A$7)+1)/(('Product Master'!$A$7:$A$1000&lt;&gt;"")*('Product Master'!$P$7:$P$1000="Low Stock")),ROWS($A$12:A414))),"")</f>
        <v/>
      </c>
      <c r="B414" t="str">
        <f>IF($A414="","",INDEX('Product Master'!$B$7:$B$1000,MATCH($A414,'Product Master'!$A$7:$A$1000,0)))</f>
        <v/>
      </c>
      <c r="C414" t="str">
        <f>IF($A414="","",INDEX('Product Master'!$C$7:$C$1000,MATCH($A414,'Product Master'!$A$7:$A$1000,0)))</f>
        <v/>
      </c>
      <c r="D414" t="str">
        <f>IF($A414="","",INDEX('Product Master'!$M$7:$M$1000,MATCH($A414,'Product Master'!$A$7:$A$1000,0)))</f>
        <v/>
      </c>
      <c r="E414" t="str">
        <f>IF($A414="","",INDEX('Product Master'!$N$7:$N$1000,MATCH($A414,'Product Master'!$A$7:$A$1000,0)))</f>
        <v/>
      </c>
      <c r="F414" t="str">
        <f>IF($A414="","",INDEX('Product Master'!$P$7:$P$1000,MATCH($A414,'Product Master'!$A$7:$A$1000,0)))</f>
        <v/>
      </c>
      <c r="I414" t="str">
        <f>IFERROR(INDEX('Product Master'!$A$7:$A$1000,_xlfn.AGGREGATE(15,6,(ROW('Product Master'!$A$7:$A$1000)-ROW('Product Master'!$A$7)+1)/(('Product Master'!$A$7:$A$1000&lt;&gt;"")*('Product Master'!$P$7:$P$1000="Out of Stock")),ROWS($I$12:I414))),"")</f>
        <v/>
      </c>
      <c r="J414" t="str">
        <f>IF($I414="","",INDEX('Product Master'!$B$7:$B$1000,MATCH($I414,'Product Master'!$A$7:$A$1000,0)))</f>
        <v/>
      </c>
      <c r="K414" t="str">
        <f>IF($I414="","",INDEX('Product Master'!$C$7:$C$1000,MATCH($I414,'Product Master'!$A$7:$A$1000,0)))</f>
        <v/>
      </c>
      <c r="L414" t="str">
        <f>IF($I414="","",INDEX('Product Master'!$M$7:$M$1000,MATCH($I414,'Product Master'!$A$7:$A$1000,0)))</f>
        <v/>
      </c>
      <c r="M414" t="str">
        <f>IF($I414="","",INDEX('Product Master'!$N$7:$N$1000,MATCH($I414,'Product Master'!$A$7:$A$1000,0)))</f>
        <v/>
      </c>
    </row>
    <row r="415" spans="1:13" x14ac:dyDescent="0.3">
      <c r="A415" t="str">
        <f>IFERROR(INDEX('Product Master'!$A$7:$A$1000,_xlfn.AGGREGATE(15,6,(ROW('Product Master'!$A$7:$A$1000)-ROW('Product Master'!$A$7)+1)/(('Product Master'!$A$7:$A$1000&lt;&gt;"")*('Product Master'!$P$7:$P$1000="Low Stock")),ROWS($A$12:A415))),"")</f>
        <v/>
      </c>
      <c r="B415" t="str">
        <f>IF($A415="","",INDEX('Product Master'!$B$7:$B$1000,MATCH($A415,'Product Master'!$A$7:$A$1000,0)))</f>
        <v/>
      </c>
      <c r="C415" t="str">
        <f>IF($A415="","",INDEX('Product Master'!$C$7:$C$1000,MATCH($A415,'Product Master'!$A$7:$A$1000,0)))</f>
        <v/>
      </c>
      <c r="D415" t="str">
        <f>IF($A415="","",INDEX('Product Master'!$M$7:$M$1000,MATCH($A415,'Product Master'!$A$7:$A$1000,0)))</f>
        <v/>
      </c>
      <c r="E415" t="str">
        <f>IF($A415="","",INDEX('Product Master'!$N$7:$N$1000,MATCH($A415,'Product Master'!$A$7:$A$1000,0)))</f>
        <v/>
      </c>
      <c r="F415" t="str">
        <f>IF($A415="","",INDEX('Product Master'!$P$7:$P$1000,MATCH($A415,'Product Master'!$A$7:$A$1000,0)))</f>
        <v/>
      </c>
      <c r="I415" t="str">
        <f>IFERROR(INDEX('Product Master'!$A$7:$A$1000,_xlfn.AGGREGATE(15,6,(ROW('Product Master'!$A$7:$A$1000)-ROW('Product Master'!$A$7)+1)/(('Product Master'!$A$7:$A$1000&lt;&gt;"")*('Product Master'!$P$7:$P$1000="Out of Stock")),ROWS($I$12:I415))),"")</f>
        <v/>
      </c>
      <c r="J415" t="str">
        <f>IF($I415="","",INDEX('Product Master'!$B$7:$B$1000,MATCH($I415,'Product Master'!$A$7:$A$1000,0)))</f>
        <v/>
      </c>
      <c r="K415" t="str">
        <f>IF($I415="","",INDEX('Product Master'!$C$7:$C$1000,MATCH($I415,'Product Master'!$A$7:$A$1000,0)))</f>
        <v/>
      </c>
      <c r="L415" t="str">
        <f>IF($I415="","",INDEX('Product Master'!$M$7:$M$1000,MATCH($I415,'Product Master'!$A$7:$A$1000,0)))</f>
        <v/>
      </c>
      <c r="M415" t="str">
        <f>IF($I415="","",INDEX('Product Master'!$N$7:$N$1000,MATCH($I415,'Product Master'!$A$7:$A$1000,0)))</f>
        <v/>
      </c>
    </row>
    <row r="416" spans="1:13" x14ac:dyDescent="0.3">
      <c r="A416" t="str">
        <f>IFERROR(INDEX('Product Master'!$A$7:$A$1000,_xlfn.AGGREGATE(15,6,(ROW('Product Master'!$A$7:$A$1000)-ROW('Product Master'!$A$7)+1)/(('Product Master'!$A$7:$A$1000&lt;&gt;"")*('Product Master'!$P$7:$P$1000="Low Stock")),ROWS($A$12:A416))),"")</f>
        <v/>
      </c>
      <c r="B416" t="str">
        <f>IF($A416="","",INDEX('Product Master'!$B$7:$B$1000,MATCH($A416,'Product Master'!$A$7:$A$1000,0)))</f>
        <v/>
      </c>
      <c r="C416" t="str">
        <f>IF($A416="","",INDEX('Product Master'!$C$7:$C$1000,MATCH($A416,'Product Master'!$A$7:$A$1000,0)))</f>
        <v/>
      </c>
      <c r="D416" t="str">
        <f>IF($A416="","",INDEX('Product Master'!$M$7:$M$1000,MATCH($A416,'Product Master'!$A$7:$A$1000,0)))</f>
        <v/>
      </c>
      <c r="E416" t="str">
        <f>IF($A416="","",INDEX('Product Master'!$N$7:$N$1000,MATCH($A416,'Product Master'!$A$7:$A$1000,0)))</f>
        <v/>
      </c>
      <c r="F416" t="str">
        <f>IF($A416="","",INDEX('Product Master'!$P$7:$P$1000,MATCH($A416,'Product Master'!$A$7:$A$1000,0)))</f>
        <v/>
      </c>
      <c r="I416" t="str">
        <f>IFERROR(INDEX('Product Master'!$A$7:$A$1000,_xlfn.AGGREGATE(15,6,(ROW('Product Master'!$A$7:$A$1000)-ROW('Product Master'!$A$7)+1)/(('Product Master'!$A$7:$A$1000&lt;&gt;"")*('Product Master'!$P$7:$P$1000="Out of Stock")),ROWS($I$12:I416))),"")</f>
        <v/>
      </c>
      <c r="J416" t="str">
        <f>IF($I416="","",INDEX('Product Master'!$B$7:$B$1000,MATCH($I416,'Product Master'!$A$7:$A$1000,0)))</f>
        <v/>
      </c>
      <c r="K416" t="str">
        <f>IF($I416="","",INDEX('Product Master'!$C$7:$C$1000,MATCH($I416,'Product Master'!$A$7:$A$1000,0)))</f>
        <v/>
      </c>
      <c r="L416" t="str">
        <f>IF($I416="","",INDEX('Product Master'!$M$7:$M$1000,MATCH($I416,'Product Master'!$A$7:$A$1000,0)))</f>
        <v/>
      </c>
      <c r="M416" t="str">
        <f>IF($I416="","",INDEX('Product Master'!$N$7:$N$1000,MATCH($I416,'Product Master'!$A$7:$A$1000,0)))</f>
        <v/>
      </c>
    </row>
    <row r="417" spans="1:13" x14ac:dyDescent="0.3">
      <c r="A417" t="str">
        <f>IFERROR(INDEX('Product Master'!$A$7:$A$1000,_xlfn.AGGREGATE(15,6,(ROW('Product Master'!$A$7:$A$1000)-ROW('Product Master'!$A$7)+1)/(('Product Master'!$A$7:$A$1000&lt;&gt;"")*('Product Master'!$P$7:$P$1000="Low Stock")),ROWS($A$12:A417))),"")</f>
        <v/>
      </c>
      <c r="B417" t="str">
        <f>IF($A417="","",INDEX('Product Master'!$B$7:$B$1000,MATCH($A417,'Product Master'!$A$7:$A$1000,0)))</f>
        <v/>
      </c>
      <c r="C417" t="str">
        <f>IF($A417="","",INDEX('Product Master'!$C$7:$C$1000,MATCH($A417,'Product Master'!$A$7:$A$1000,0)))</f>
        <v/>
      </c>
      <c r="D417" t="str">
        <f>IF($A417="","",INDEX('Product Master'!$M$7:$M$1000,MATCH($A417,'Product Master'!$A$7:$A$1000,0)))</f>
        <v/>
      </c>
      <c r="E417" t="str">
        <f>IF($A417="","",INDEX('Product Master'!$N$7:$N$1000,MATCH($A417,'Product Master'!$A$7:$A$1000,0)))</f>
        <v/>
      </c>
      <c r="F417" t="str">
        <f>IF($A417="","",INDEX('Product Master'!$P$7:$P$1000,MATCH($A417,'Product Master'!$A$7:$A$1000,0)))</f>
        <v/>
      </c>
      <c r="I417" t="str">
        <f>IFERROR(INDEX('Product Master'!$A$7:$A$1000,_xlfn.AGGREGATE(15,6,(ROW('Product Master'!$A$7:$A$1000)-ROW('Product Master'!$A$7)+1)/(('Product Master'!$A$7:$A$1000&lt;&gt;"")*('Product Master'!$P$7:$P$1000="Out of Stock")),ROWS($I$12:I417))),"")</f>
        <v/>
      </c>
      <c r="J417" t="str">
        <f>IF($I417="","",INDEX('Product Master'!$B$7:$B$1000,MATCH($I417,'Product Master'!$A$7:$A$1000,0)))</f>
        <v/>
      </c>
      <c r="K417" t="str">
        <f>IF($I417="","",INDEX('Product Master'!$C$7:$C$1000,MATCH($I417,'Product Master'!$A$7:$A$1000,0)))</f>
        <v/>
      </c>
      <c r="L417" t="str">
        <f>IF($I417="","",INDEX('Product Master'!$M$7:$M$1000,MATCH($I417,'Product Master'!$A$7:$A$1000,0)))</f>
        <v/>
      </c>
      <c r="M417" t="str">
        <f>IF($I417="","",INDEX('Product Master'!$N$7:$N$1000,MATCH($I417,'Product Master'!$A$7:$A$1000,0)))</f>
        <v/>
      </c>
    </row>
    <row r="418" spans="1:13" x14ac:dyDescent="0.3">
      <c r="A418" t="str">
        <f>IFERROR(INDEX('Product Master'!$A$7:$A$1000,_xlfn.AGGREGATE(15,6,(ROW('Product Master'!$A$7:$A$1000)-ROW('Product Master'!$A$7)+1)/(('Product Master'!$A$7:$A$1000&lt;&gt;"")*('Product Master'!$P$7:$P$1000="Low Stock")),ROWS($A$12:A418))),"")</f>
        <v/>
      </c>
      <c r="B418" t="str">
        <f>IF($A418="","",INDEX('Product Master'!$B$7:$B$1000,MATCH($A418,'Product Master'!$A$7:$A$1000,0)))</f>
        <v/>
      </c>
      <c r="C418" t="str">
        <f>IF($A418="","",INDEX('Product Master'!$C$7:$C$1000,MATCH($A418,'Product Master'!$A$7:$A$1000,0)))</f>
        <v/>
      </c>
      <c r="D418" t="str">
        <f>IF($A418="","",INDEX('Product Master'!$M$7:$M$1000,MATCH($A418,'Product Master'!$A$7:$A$1000,0)))</f>
        <v/>
      </c>
      <c r="E418" t="str">
        <f>IF($A418="","",INDEX('Product Master'!$N$7:$N$1000,MATCH($A418,'Product Master'!$A$7:$A$1000,0)))</f>
        <v/>
      </c>
      <c r="F418" t="str">
        <f>IF($A418="","",INDEX('Product Master'!$P$7:$P$1000,MATCH($A418,'Product Master'!$A$7:$A$1000,0)))</f>
        <v/>
      </c>
      <c r="I418" t="str">
        <f>IFERROR(INDEX('Product Master'!$A$7:$A$1000,_xlfn.AGGREGATE(15,6,(ROW('Product Master'!$A$7:$A$1000)-ROW('Product Master'!$A$7)+1)/(('Product Master'!$A$7:$A$1000&lt;&gt;"")*('Product Master'!$P$7:$P$1000="Out of Stock")),ROWS($I$12:I418))),"")</f>
        <v/>
      </c>
      <c r="J418" t="str">
        <f>IF($I418="","",INDEX('Product Master'!$B$7:$B$1000,MATCH($I418,'Product Master'!$A$7:$A$1000,0)))</f>
        <v/>
      </c>
      <c r="K418" t="str">
        <f>IF($I418="","",INDEX('Product Master'!$C$7:$C$1000,MATCH($I418,'Product Master'!$A$7:$A$1000,0)))</f>
        <v/>
      </c>
      <c r="L418" t="str">
        <f>IF($I418="","",INDEX('Product Master'!$M$7:$M$1000,MATCH($I418,'Product Master'!$A$7:$A$1000,0)))</f>
        <v/>
      </c>
      <c r="M418" t="str">
        <f>IF($I418="","",INDEX('Product Master'!$N$7:$N$1000,MATCH($I418,'Product Master'!$A$7:$A$1000,0)))</f>
        <v/>
      </c>
    </row>
    <row r="419" spans="1:13" x14ac:dyDescent="0.3">
      <c r="A419" t="str">
        <f>IFERROR(INDEX('Product Master'!$A$7:$A$1000,_xlfn.AGGREGATE(15,6,(ROW('Product Master'!$A$7:$A$1000)-ROW('Product Master'!$A$7)+1)/(('Product Master'!$A$7:$A$1000&lt;&gt;"")*('Product Master'!$P$7:$P$1000="Low Stock")),ROWS($A$12:A419))),"")</f>
        <v/>
      </c>
      <c r="B419" t="str">
        <f>IF($A419="","",INDEX('Product Master'!$B$7:$B$1000,MATCH($A419,'Product Master'!$A$7:$A$1000,0)))</f>
        <v/>
      </c>
      <c r="C419" t="str">
        <f>IF($A419="","",INDEX('Product Master'!$C$7:$C$1000,MATCH($A419,'Product Master'!$A$7:$A$1000,0)))</f>
        <v/>
      </c>
      <c r="D419" t="str">
        <f>IF($A419="","",INDEX('Product Master'!$M$7:$M$1000,MATCH($A419,'Product Master'!$A$7:$A$1000,0)))</f>
        <v/>
      </c>
      <c r="E419" t="str">
        <f>IF($A419="","",INDEX('Product Master'!$N$7:$N$1000,MATCH($A419,'Product Master'!$A$7:$A$1000,0)))</f>
        <v/>
      </c>
      <c r="F419" t="str">
        <f>IF($A419="","",INDEX('Product Master'!$P$7:$P$1000,MATCH($A419,'Product Master'!$A$7:$A$1000,0)))</f>
        <v/>
      </c>
      <c r="I419" t="str">
        <f>IFERROR(INDEX('Product Master'!$A$7:$A$1000,_xlfn.AGGREGATE(15,6,(ROW('Product Master'!$A$7:$A$1000)-ROW('Product Master'!$A$7)+1)/(('Product Master'!$A$7:$A$1000&lt;&gt;"")*('Product Master'!$P$7:$P$1000="Out of Stock")),ROWS($I$12:I419))),"")</f>
        <v/>
      </c>
      <c r="J419" t="str">
        <f>IF($I419="","",INDEX('Product Master'!$B$7:$B$1000,MATCH($I419,'Product Master'!$A$7:$A$1000,0)))</f>
        <v/>
      </c>
      <c r="K419" t="str">
        <f>IF($I419="","",INDEX('Product Master'!$C$7:$C$1000,MATCH($I419,'Product Master'!$A$7:$A$1000,0)))</f>
        <v/>
      </c>
      <c r="L419" t="str">
        <f>IF($I419="","",INDEX('Product Master'!$M$7:$M$1000,MATCH($I419,'Product Master'!$A$7:$A$1000,0)))</f>
        <v/>
      </c>
      <c r="M419" t="str">
        <f>IF($I419="","",INDEX('Product Master'!$N$7:$N$1000,MATCH($I419,'Product Master'!$A$7:$A$1000,0)))</f>
        <v/>
      </c>
    </row>
    <row r="420" spans="1:13" x14ac:dyDescent="0.3">
      <c r="A420" t="str">
        <f>IFERROR(INDEX('Product Master'!$A$7:$A$1000,_xlfn.AGGREGATE(15,6,(ROW('Product Master'!$A$7:$A$1000)-ROW('Product Master'!$A$7)+1)/(('Product Master'!$A$7:$A$1000&lt;&gt;"")*('Product Master'!$P$7:$P$1000="Low Stock")),ROWS($A$12:A420))),"")</f>
        <v/>
      </c>
      <c r="B420" t="str">
        <f>IF($A420="","",INDEX('Product Master'!$B$7:$B$1000,MATCH($A420,'Product Master'!$A$7:$A$1000,0)))</f>
        <v/>
      </c>
      <c r="C420" t="str">
        <f>IF($A420="","",INDEX('Product Master'!$C$7:$C$1000,MATCH($A420,'Product Master'!$A$7:$A$1000,0)))</f>
        <v/>
      </c>
      <c r="D420" t="str">
        <f>IF($A420="","",INDEX('Product Master'!$M$7:$M$1000,MATCH($A420,'Product Master'!$A$7:$A$1000,0)))</f>
        <v/>
      </c>
      <c r="E420" t="str">
        <f>IF($A420="","",INDEX('Product Master'!$N$7:$N$1000,MATCH($A420,'Product Master'!$A$7:$A$1000,0)))</f>
        <v/>
      </c>
      <c r="F420" t="str">
        <f>IF($A420="","",INDEX('Product Master'!$P$7:$P$1000,MATCH($A420,'Product Master'!$A$7:$A$1000,0)))</f>
        <v/>
      </c>
      <c r="I420" t="str">
        <f>IFERROR(INDEX('Product Master'!$A$7:$A$1000,_xlfn.AGGREGATE(15,6,(ROW('Product Master'!$A$7:$A$1000)-ROW('Product Master'!$A$7)+1)/(('Product Master'!$A$7:$A$1000&lt;&gt;"")*('Product Master'!$P$7:$P$1000="Out of Stock")),ROWS($I$12:I420))),"")</f>
        <v/>
      </c>
      <c r="J420" t="str">
        <f>IF($I420="","",INDEX('Product Master'!$B$7:$B$1000,MATCH($I420,'Product Master'!$A$7:$A$1000,0)))</f>
        <v/>
      </c>
      <c r="K420" t="str">
        <f>IF($I420="","",INDEX('Product Master'!$C$7:$C$1000,MATCH($I420,'Product Master'!$A$7:$A$1000,0)))</f>
        <v/>
      </c>
      <c r="L420" t="str">
        <f>IF($I420="","",INDEX('Product Master'!$M$7:$M$1000,MATCH($I420,'Product Master'!$A$7:$A$1000,0)))</f>
        <v/>
      </c>
      <c r="M420" t="str">
        <f>IF($I420="","",INDEX('Product Master'!$N$7:$N$1000,MATCH($I420,'Product Master'!$A$7:$A$1000,0)))</f>
        <v/>
      </c>
    </row>
    <row r="421" spans="1:13" x14ac:dyDescent="0.3">
      <c r="A421" t="str">
        <f>IFERROR(INDEX('Product Master'!$A$7:$A$1000,_xlfn.AGGREGATE(15,6,(ROW('Product Master'!$A$7:$A$1000)-ROW('Product Master'!$A$7)+1)/(('Product Master'!$A$7:$A$1000&lt;&gt;"")*('Product Master'!$P$7:$P$1000="Low Stock")),ROWS($A$12:A421))),"")</f>
        <v/>
      </c>
      <c r="B421" t="str">
        <f>IF($A421="","",INDEX('Product Master'!$B$7:$B$1000,MATCH($A421,'Product Master'!$A$7:$A$1000,0)))</f>
        <v/>
      </c>
      <c r="C421" t="str">
        <f>IF($A421="","",INDEX('Product Master'!$C$7:$C$1000,MATCH($A421,'Product Master'!$A$7:$A$1000,0)))</f>
        <v/>
      </c>
      <c r="D421" t="str">
        <f>IF($A421="","",INDEX('Product Master'!$M$7:$M$1000,MATCH($A421,'Product Master'!$A$7:$A$1000,0)))</f>
        <v/>
      </c>
      <c r="E421" t="str">
        <f>IF($A421="","",INDEX('Product Master'!$N$7:$N$1000,MATCH($A421,'Product Master'!$A$7:$A$1000,0)))</f>
        <v/>
      </c>
      <c r="F421" t="str">
        <f>IF($A421="","",INDEX('Product Master'!$P$7:$P$1000,MATCH($A421,'Product Master'!$A$7:$A$1000,0)))</f>
        <v/>
      </c>
      <c r="I421" t="str">
        <f>IFERROR(INDEX('Product Master'!$A$7:$A$1000,_xlfn.AGGREGATE(15,6,(ROW('Product Master'!$A$7:$A$1000)-ROW('Product Master'!$A$7)+1)/(('Product Master'!$A$7:$A$1000&lt;&gt;"")*('Product Master'!$P$7:$P$1000="Out of Stock")),ROWS($I$12:I421))),"")</f>
        <v/>
      </c>
      <c r="J421" t="str">
        <f>IF($I421="","",INDEX('Product Master'!$B$7:$B$1000,MATCH($I421,'Product Master'!$A$7:$A$1000,0)))</f>
        <v/>
      </c>
      <c r="K421" t="str">
        <f>IF($I421="","",INDEX('Product Master'!$C$7:$C$1000,MATCH($I421,'Product Master'!$A$7:$A$1000,0)))</f>
        <v/>
      </c>
      <c r="L421" t="str">
        <f>IF($I421="","",INDEX('Product Master'!$M$7:$M$1000,MATCH($I421,'Product Master'!$A$7:$A$1000,0)))</f>
        <v/>
      </c>
      <c r="M421" t="str">
        <f>IF($I421="","",INDEX('Product Master'!$N$7:$N$1000,MATCH($I421,'Product Master'!$A$7:$A$1000,0)))</f>
        <v/>
      </c>
    </row>
    <row r="422" spans="1:13" x14ac:dyDescent="0.3">
      <c r="A422" t="str">
        <f>IFERROR(INDEX('Product Master'!$A$7:$A$1000,_xlfn.AGGREGATE(15,6,(ROW('Product Master'!$A$7:$A$1000)-ROW('Product Master'!$A$7)+1)/(('Product Master'!$A$7:$A$1000&lt;&gt;"")*('Product Master'!$P$7:$P$1000="Low Stock")),ROWS($A$12:A422))),"")</f>
        <v/>
      </c>
      <c r="B422" t="str">
        <f>IF($A422="","",INDEX('Product Master'!$B$7:$B$1000,MATCH($A422,'Product Master'!$A$7:$A$1000,0)))</f>
        <v/>
      </c>
      <c r="C422" t="str">
        <f>IF($A422="","",INDEX('Product Master'!$C$7:$C$1000,MATCH($A422,'Product Master'!$A$7:$A$1000,0)))</f>
        <v/>
      </c>
      <c r="D422" t="str">
        <f>IF($A422="","",INDEX('Product Master'!$M$7:$M$1000,MATCH($A422,'Product Master'!$A$7:$A$1000,0)))</f>
        <v/>
      </c>
      <c r="E422" t="str">
        <f>IF($A422="","",INDEX('Product Master'!$N$7:$N$1000,MATCH($A422,'Product Master'!$A$7:$A$1000,0)))</f>
        <v/>
      </c>
      <c r="F422" t="str">
        <f>IF($A422="","",INDEX('Product Master'!$P$7:$P$1000,MATCH($A422,'Product Master'!$A$7:$A$1000,0)))</f>
        <v/>
      </c>
      <c r="I422" t="str">
        <f>IFERROR(INDEX('Product Master'!$A$7:$A$1000,_xlfn.AGGREGATE(15,6,(ROW('Product Master'!$A$7:$A$1000)-ROW('Product Master'!$A$7)+1)/(('Product Master'!$A$7:$A$1000&lt;&gt;"")*('Product Master'!$P$7:$P$1000="Out of Stock")),ROWS($I$12:I422))),"")</f>
        <v/>
      </c>
      <c r="J422" t="str">
        <f>IF($I422="","",INDEX('Product Master'!$B$7:$B$1000,MATCH($I422,'Product Master'!$A$7:$A$1000,0)))</f>
        <v/>
      </c>
      <c r="K422" t="str">
        <f>IF($I422="","",INDEX('Product Master'!$C$7:$C$1000,MATCH($I422,'Product Master'!$A$7:$A$1000,0)))</f>
        <v/>
      </c>
      <c r="L422" t="str">
        <f>IF($I422="","",INDEX('Product Master'!$M$7:$M$1000,MATCH($I422,'Product Master'!$A$7:$A$1000,0)))</f>
        <v/>
      </c>
      <c r="M422" t="str">
        <f>IF($I422="","",INDEX('Product Master'!$N$7:$N$1000,MATCH($I422,'Product Master'!$A$7:$A$1000,0)))</f>
        <v/>
      </c>
    </row>
    <row r="423" spans="1:13" x14ac:dyDescent="0.3">
      <c r="A423" t="str">
        <f>IFERROR(INDEX('Product Master'!$A$7:$A$1000,_xlfn.AGGREGATE(15,6,(ROW('Product Master'!$A$7:$A$1000)-ROW('Product Master'!$A$7)+1)/(('Product Master'!$A$7:$A$1000&lt;&gt;"")*('Product Master'!$P$7:$P$1000="Low Stock")),ROWS($A$12:A423))),"")</f>
        <v/>
      </c>
      <c r="B423" t="str">
        <f>IF($A423="","",INDEX('Product Master'!$B$7:$B$1000,MATCH($A423,'Product Master'!$A$7:$A$1000,0)))</f>
        <v/>
      </c>
      <c r="C423" t="str">
        <f>IF($A423="","",INDEX('Product Master'!$C$7:$C$1000,MATCH($A423,'Product Master'!$A$7:$A$1000,0)))</f>
        <v/>
      </c>
      <c r="D423" t="str">
        <f>IF($A423="","",INDEX('Product Master'!$M$7:$M$1000,MATCH($A423,'Product Master'!$A$7:$A$1000,0)))</f>
        <v/>
      </c>
      <c r="E423" t="str">
        <f>IF($A423="","",INDEX('Product Master'!$N$7:$N$1000,MATCH($A423,'Product Master'!$A$7:$A$1000,0)))</f>
        <v/>
      </c>
      <c r="F423" t="str">
        <f>IF($A423="","",INDEX('Product Master'!$P$7:$P$1000,MATCH($A423,'Product Master'!$A$7:$A$1000,0)))</f>
        <v/>
      </c>
      <c r="I423" t="str">
        <f>IFERROR(INDEX('Product Master'!$A$7:$A$1000,_xlfn.AGGREGATE(15,6,(ROW('Product Master'!$A$7:$A$1000)-ROW('Product Master'!$A$7)+1)/(('Product Master'!$A$7:$A$1000&lt;&gt;"")*('Product Master'!$P$7:$P$1000="Out of Stock")),ROWS($I$12:I423))),"")</f>
        <v/>
      </c>
      <c r="J423" t="str">
        <f>IF($I423="","",INDEX('Product Master'!$B$7:$B$1000,MATCH($I423,'Product Master'!$A$7:$A$1000,0)))</f>
        <v/>
      </c>
      <c r="K423" t="str">
        <f>IF($I423="","",INDEX('Product Master'!$C$7:$C$1000,MATCH($I423,'Product Master'!$A$7:$A$1000,0)))</f>
        <v/>
      </c>
      <c r="L423" t="str">
        <f>IF($I423="","",INDEX('Product Master'!$M$7:$M$1000,MATCH($I423,'Product Master'!$A$7:$A$1000,0)))</f>
        <v/>
      </c>
      <c r="M423" t="str">
        <f>IF($I423="","",INDEX('Product Master'!$N$7:$N$1000,MATCH($I423,'Product Master'!$A$7:$A$1000,0)))</f>
        <v/>
      </c>
    </row>
    <row r="424" spans="1:13" x14ac:dyDescent="0.3">
      <c r="A424" t="str">
        <f>IFERROR(INDEX('Product Master'!$A$7:$A$1000,_xlfn.AGGREGATE(15,6,(ROW('Product Master'!$A$7:$A$1000)-ROW('Product Master'!$A$7)+1)/(('Product Master'!$A$7:$A$1000&lt;&gt;"")*('Product Master'!$P$7:$P$1000="Low Stock")),ROWS($A$12:A424))),"")</f>
        <v/>
      </c>
      <c r="B424" t="str">
        <f>IF($A424="","",INDEX('Product Master'!$B$7:$B$1000,MATCH($A424,'Product Master'!$A$7:$A$1000,0)))</f>
        <v/>
      </c>
      <c r="C424" t="str">
        <f>IF($A424="","",INDEX('Product Master'!$C$7:$C$1000,MATCH($A424,'Product Master'!$A$7:$A$1000,0)))</f>
        <v/>
      </c>
      <c r="D424" t="str">
        <f>IF($A424="","",INDEX('Product Master'!$M$7:$M$1000,MATCH($A424,'Product Master'!$A$7:$A$1000,0)))</f>
        <v/>
      </c>
      <c r="E424" t="str">
        <f>IF($A424="","",INDEX('Product Master'!$N$7:$N$1000,MATCH($A424,'Product Master'!$A$7:$A$1000,0)))</f>
        <v/>
      </c>
      <c r="F424" t="str">
        <f>IF($A424="","",INDEX('Product Master'!$P$7:$P$1000,MATCH($A424,'Product Master'!$A$7:$A$1000,0)))</f>
        <v/>
      </c>
      <c r="I424" t="str">
        <f>IFERROR(INDEX('Product Master'!$A$7:$A$1000,_xlfn.AGGREGATE(15,6,(ROW('Product Master'!$A$7:$A$1000)-ROW('Product Master'!$A$7)+1)/(('Product Master'!$A$7:$A$1000&lt;&gt;"")*('Product Master'!$P$7:$P$1000="Out of Stock")),ROWS($I$12:I424))),"")</f>
        <v/>
      </c>
      <c r="J424" t="str">
        <f>IF($I424="","",INDEX('Product Master'!$B$7:$B$1000,MATCH($I424,'Product Master'!$A$7:$A$1000,0)))</f>
        <v/>
      </c>
      <c r="K424" t="str">
        <f>IF($I424="","",INDEX('Product Master'!$C$7:$C$1000,MATCH($I424,'Product Master'!$A$7:$A$1000,0)))</f>
        <v/>
      </c>
      <c r="L424" t="str">
        <f>IF($I424="","",INDEX('Product Master'!$M$7:$M$1000,MATCH($I424,'Product Master'!$A$7:$A$1000,0)))</f>
        <v/>
      </c>
      <c r="M424" t="str">
        <f>IF($I424="","",INDEX('Product Master'!$N$7:$N$1000,MATCH($I424,'Product Master'!$A$7:$A$1000,0)))</f>
        <v/>
      </c>
    </row>
    <row r="425" spans="1:13" x14ac:dyDescent="0.3">
      <c r="A425" t="str">
        <f>IFERROR(INDEX('Product Master'!$A$7:$A$1000,_xlfn.AGGREGATE(15,6,(ROW('Product Master'!$A$7:$A$1000)-ROW('Product Master'!$A$7)+1)/(('Product Master'!$A$7:$A$1000&lt;&gt;"")*('Product Master'!$P$7:$P$1000="Low Stock")),ROWS($A$12:A425))),"")</f>
        <v/>
      </c>
      <c r="B425" t="str">
        <f>IF($A425="","",INDEX('Product Master'!$B$7:$B$1000,MATCH($A425,'Product Master'!$A$7:$A$1000,0)))</f>
        <v/>
      </c>
      <c r="C425" t="str">
        <f>IF($A425="","",INDEX('Product Master'!$C$7:$C$1000,MATCH($A425,'Product Master'!$A$7:$A$1000,0)))</f>
        <v/>
      </c>
      <c r="D425" t="str">
        <f>IF($A425="","",INDEX('Product Master'!$M$7:$M$1000,MATCH($A425,'Product Master'!$A$7:$A$1000,0)))</f>
        <v/>
      </c>
      <c r="E425" t="str">
        <f>IF($A425="","",INDEX('Product Master'!$N$7:$N$1000,MATCH($A425,'Product Master'!$A$7:$A$1000,0)))</f>
        <v/>
      </c>
      <c r="F425" t="str">
        <f>IF($A425="","",INDEX('Product Master'!$P$7:$P$1000,MATCH($A425,'Product Master'!$A$7:$A$1000,0)))</f>
        <v/>
      </c>
      <c r="I425" t="str">
        <f>IFERROR(INDEX('Product Master'!$A$7:$A$1000,_xlfn.AGGREGATE(15,6,(ROW('Product Master'!$A$7:$A$1000)-ROW('Product Master'!$A$7)+1)/(('Product Master'!$A$7:$A$1000&lt;&gt;"")*('Product Master'!$P$7:$P$1000="Out of Stock")),ROWS($I$12:I425))),"")</f>
        <v/>
      </c>
      <c r="J425" t="str">
        <f>IF($I425="","",INDEX('Product Master'!$B$7:$B$1000,MATCH($I425,'Product Master'!$A$7:$A$1000,0)))</f>
        <v/>
      </c>
      <c r="K425" t="str">
        <f>IF($I425="","",INDEX('Product Master'!$C$7:$C$1000,MATCH($I425,'Product Master'!$A$7:$A$1000,0)))</f>
        <v/>
      </c>
      <c r="L425" t="str">
        <f>IF($I425="","",INDEX('Product Master'!$M$7:$M$1000,MATCH($I425,'Product Master'!$A$7:$A$1000,0)))</f>
        <v/>
      </c>
      <c r="M425" t="str">
        <f>IF($I425="","",INDEX('Product Master'!$N$7:$N$1000,MATCH($I425,'Product Master'!$A$7:$A$1000,0)))</f>
        <v/>
      </c>
    </row>
    <row r="426" spans="1:13" x14ac:dyDescent="0.3">
      <c r="A426" t="str">
        <f>IFERROR(INDEX('Product Master'!$A$7:$A$1000,_xlfn.AGGREGATE(15,6,(ROW('Product Master'!$A$7:$A$1000)-ROW('Product Master'!$A$7)+1)/(('Product Master'!$A$7:$A$1000&lt;&gt;"")*('Product Master'!$P$7:$P$1000="Low Stock")),ROWS($A$12:A426))),"")</f>
        <v/>
      </c>
      <c r="B426" t="str">
        <f>IF($A426="","",INDEX('Product Master'!$B$7:$B$1000,MATCH($A426,'Product Master'!$A$7:$A$1000,0)))</f>
        <v/>
      </c>
      <c r="C426" t="str">
        <f>IF($A426="","",INDEX('Product Master'!$C$7:$C$1000,MATCH($A426,'Product Master'!$A$7:$A$1000,0)))</f>
        <v/>
      </c>
      <c r="D426" t="str">
        <f>IF($A426="","",INDEX('Product Master'!$M$7:$M$1000,MATCH($A426,'Product Master'!$A$7:$A$1000,0)))</f>
        <v/>
      </c>
      <c r="E426" t="str">
        <f>IF($A426="","",INDEX('Product Master'!$N$7:$N$1000,MATCH($A426,'Product Master'!$A$7:$A$1000,0)))</f>
        <v/>
      </c>
      <c r="F426" t="str">
        <f>IF($A426="","",INDEX('Product Master'!$P$7:$P$1000,MATCH($A426,'Product Master'!$A$7:$A$1000,0)))</f>
        <v/>
      </c>
      <c r="I426" t="str">
        <f>IFERROR(INDEX('Product Master'!$A$7:$A$1000,_xlfn.AGGREGATE(15,6,(ROW('Product Master'!$A$7:$A$1000)-ROW('Product Master'!$A$7)+1)/(('Product Master'!$A$7:$A$1000&lt;&gt;"")*('Product Master'!$P$7:$P$1000="Out of Stock")),ROWS($I$12:I426))),"")</f>
        <v/>
      </c>
      <c r="J426" t="str">
        <f>IF($I426="","",INDEX('Product Master'!$B$7:$B$1000,MATCH($I426,'Product Master'!$A$7:$A$1000,0)))</f>
        <v/>
      </c>
      <c r="K426" t="str">
        <f>IF($I426="","",INDEX('Product Master'!$C$7:$C$1000,MATCH($I426,'Product Master'!$A$7:$A$1000,0)))</f>
        <v/>
      </c>
      <c r="L426" t="str">
        <f>IF($I426="","",INDEX('Product Master'!$M$7:$M$1000,MATCH($I426,'Product Master'!$A$7:$A$1000,0)))</f>
        <v/>
      </c>
      <c r="M426" t="str">
        <f>IF($I426="","",INDEX('Product Master'!$N$7:$N$1000,MATCH($I426,'Product Master'!$A$7:$A$1000,0)))</f>
        <v/>
      </c>
    </row>
    <row r="427" spans="1:13" x14ac:dyDescent="0.3">
      <c r="A427" t="str">
        <f>IFERROR(INDEX('Product Master'!$A$7:$A$1000,_xlfn.AGGREGATE(15,6,(ROW('Product Master'!$A$7:$A$1000)-ROW('Product Master'!$A$7)+1)/(('Product Master'!$A$7:$A$1000&lt;&gt;"")*('Product Master'!$P$7:$P$1000="Low Stock")),ROWS($A$12:A427))),"")</f>
        <v/>
      </c>
      <c r="B427" t="str">
        <f>IF($A427="","",INDEX('Product Master'!$B$7:$B$1000,MATCH($A427,'Product Master'!$A$7:$A$1000,0)))</f>
        <v/>
      </c>
      <c r="C427" t="str">
        <f>IF($A427="","",INDEX('Product Master'!$C$7:$C$1000,MATCH($A427,'Product Master'!$A$7:$A$1000,0)))</f>
        <v/>
      </c>
      <c r="D427" t="str">
        <f>IF($A427="","",INDEX('Product Master'!$M$7:$M$1000,MATCH($A427,'Product Master'!$A$7:$A$1000,0)))</f>
        <v/>
      </c>
      <c r="E427" t="str">
        <f>IF($A427="","",INDEX('Product Master'!$N$7:$N$1000,MATCH($A427,'Product Master'!$A$7:$A$1000,0)))</f>
        <v/>
      </c>
      <c r="F427" t="str">
        <f>IF($A427="","",INDEX('Product Master'!$P$7:$P$1000,MATCH($A427,'Product Master'!$A$7:$A$1000,0)))</f>
        <v/>
      </c>
      <c r="I427" t="str">
        <f>IFERROR(INDEX('Product Master'!$A$7:$A$1000,_xlfn.AGGREGATE(15,6,(ROW('Product Master'!$A$7:$A$1000)-ROW('Product Master'!$A$7)+1)/(('Product Master'!$A$7:$A$1000&lt;&gt;"")*('Product Master'!$P$7:$P$1000="Out of Stock")),ROWS($I$12:I427))),"")</f>
        <v/>
      </c>
      <c r="J427" t="str">
        <f>IF($I427="","",INDEX('Product Master'!$B$7:$B$1000,MATCH($I427,'Product Master'!$A$7:$A$1000,0)))</f>
        <v/>
      </c>
      <c r="K427" t="str">
        <f>IF($I427="","",INDEX('Product Master'!$C$7:$C$1000,MATCH($I427,'Product Master'!$A$7:$A$1000,0)))</f>
        <v/>
      </c>
      <c r="L427" t="str">
        <f>IF($I427="","",INDEX('Product Master'!$M$7:$M$1000,MATCH($I427,'Product Master'!$A$7:$A$1000,0)))</f>
        <v/>
      </c>
      <c r="M427" t="str">
        <f>IF($I427="","",INDEX('Product Master'!$N$7:$N$1000,MATCH($I427,'Product Master'!$A$7:$A$1000,0)))</f>
        <v/>
      </c>
    </row>
    <row r="428" spans="1:13" x14ac:dyDescent="0.3">
      <c r="A428" t="str">
        <f>IFERROR(INDEX('Product Master'!$A$7:$A$1000,_xlfn.AGGREGATE(15,6,(ROW('Product Master'!$A$7:$A$1000)-ROW('Product Master'!$A$7)+1)/(('Product Master'!$A$7:$A$1000&lt;&gt;"")*('Product Master'!$P$7:$P$1000="Low Stock")),ROWS($A$12:A428))),"")</f>
        <v/>
      </c>
      <c r="B428" t="str">
        <f>IF($A428="","",INDEX('Product Master'!$B$7:$B$1000,MATCH($A428,'Product Master'!$A$7:$A$1000,0)))</f>
        <v/>
      </c>
      <c r="C428" t="str">
        <f>IF($A428="","",INDEX('Product Master'!$C$7:$C$1000,MATCH($A428,'Product Master'!$A$7:$A$1000,0)))</f>
        <v/>
      </c>
      <c r="D428" t="str">
        <f>IF($A428="","",INDEX('Product Master'!$M$7:$M$1000,MATCH($A428,'Product Master'!$A$7:$A$1000,0)))</f>
        <v/>
      </c>
      <c r="E428" t="str">
        <f>IF($A428="","",INDEX('Product Master'!$N$7:$N$1000,MATCH($A428,'Product Master'!$A$7:$A$1000,0)))</f>
        <v/>
      </c>
      <c r="F428" t="str">
        <f>IF($A428="","",INDEX('Product Master'!$P$7:$P$1000,MATCH($A428,'Product Master'!$A$7:$A$1000,0)))</f>
        <v/>
      </c>
      <c r="I428" t="str">
        <f>IFERROR(INDEX('Product Master'!$A$7:$A$1000,_xlfn.AGGREGATE(15,6,(ROW('Product Master'!$A$7:$A$1000)-ROW('Product Master'!$A$7)+1)/(('Product Master'!$A$7:$A$1000&lt;&gt;"")*('Product Master'!$P$7:$P$1000="Out of Stock")),ROWS($I$12:I428))),"")</f>
        <v/>
      </c>
      <c r="J428" t="str">
        <f>IF($I428="","",INDEX('Product Master'!$B$7:$B$1000,MATCH($I428,'Product Master'!$A$7:$A$1000,0)))</f>
        <v/>
      </c>
      <c r="K428" t="str">
        <f>IF($I428="","",INDEX('Product Master'!$C$7:$C$1000,MATCH($I428,'Product Master'!$A$7:$A$1000,0)))</f>
        <v/>
      </c>
      <c r="L428" t="str">
        <f>IF($I428="","",INDEX('Product Master'!$M$7:$M$1000,MATCH($I428,'Product Master'!$A$7:$A$1000,0)))</f>
        <v/>
      </c>
      <c r="M428" t="str">
        <f>IF($I428="","",INDEX('Product Master'!$N$7:$N$1000,MATCH($I428,'Product Master'!$A$7:$A$1000,0)))</f>
        <v/>
      </c>
    </row>
    <row r="429" spans="1:13" x14ac:dyDescent="0.3">
      <c r="A429" t="str">
        <f>IFERROR(INDEX('Product Master'!$A$7:$A$1000,_xlfn.AGGREGATE(15,6,(ROW('Product Master'!$A$7:$A$1000)-ROW('Product Master'!$A$7)+1)/(('Product Master'!$A$7:$A$1000&lt;&gt;"")*('Product Master'!$P$7:$P$1000="Low Stock")),ROWS($A$12:A429))),"")</f>
        <v/>
      </c>
      <c r="B429" t="str">
        <f>IF($A429="","",INDEX('Product Master'!$B$7:$B$1000,MATCH($A429,'Product Master'!$A$7:$A$1000,0)))</f>
        <v/>
      </c>
      <c r="C429" t="str">
        <f>IF($A429="","",INDEX('Product Master'!$C$7:$C$1000,MATCH($A429,'Product Master'!$A$7:$A$1000,0)))</f>
        <v/>
      </c>
      <c r="D429" t="str">
        <f>IF($A429="","",INDEX('Product Master'!$M$7:$M$1000,MATCH($A429,'Product Master'!$A$7:$A$1000,0)))</f>
        <v/>
      </c>
      <c r="E429" t="str">
        <f>IF($A429="","",INDEX('Product Master'!$N$7:$N$1000,MATCH($A429,'Product Master'!$A$7:$A$1000,0)))</f>
        <v/>
      </c>
      <c r="F429" t="str">
        <f>IF($A429="","",INDEX('Product Master'!$P$7:$P$1000,MATCH($A429,'Product Master'!$A$7:$A$1000,0)))</f>
        <v/>
      </c>
      <c r="I429" t="str">
        <f>IFERROR(INDEX('Product Master'!$A$7:$A$1000,_xlfn.AGGREGATE(15,6,(ROW('Product Master'!$A$7:$A$1000)-ROW('Product Master'!$A$7)+1)/(('Product Master'!$A$7:$A$1000&lt;&gt;"")*('Product Master'!$P$7:$P$1000="Out of Stock")),ROWS($I$12:I429))),"")</f>
        <v/>
      </c>
      <c r="J429" t="str">
        <f>IF($I429="","",INDEX('Product Master'!$B$7:$B$1000,MATCH($I429,'Product Master'!$A$7:$A$1000,0)))</f>
        <v/>
      </c>
      <c r="K429" t="str">
        <f>IF($I429="","",INDEX('Product Master'!$C$7:$C$1000,MATCH($I429,'Product Master'!$A$7:$A$1000,0)))</f>
        <v/>
      </c>
      <c r="L429" t="str">
        <f>IF($I429="","",INDEX('Product Master'!$M$7:$M$1000,MATCH($I429,'Product Master'!$A$7:$A$1000,0)))</f>
        <v/>
      </c>
      <c r="M429" t="str">
        <f>IF($I429="","",INDEX('Product Master'!$N$7:$N$1000,MATCH($I429,'Product Master'!$A$7:$A$1000,0)))</f>
        <v/>
      </c>
    </row>
    <row r="430" spans="1:13" x14ac:dyDescent="0.3">
      <c r="A430" t="str">
        <f>IFERROR(INDEX('Product Master'!$A$7:$A$1000,_xlfn.AGGREGATE(15,6,(ROW('Product Master'!$A$7:$A$1000)-ROW('Product Master'!$A$7)+1)/(('Product Master'!$A$7:$A$1000&lt;&gt;"")*('Product Master'!$P$7:$P$1000="Low Stock")),ROWS($A$12:A430))),"")</f>
        <v/>
      </c>
      <c r="B430" t="str">
        <f>IF($A430="","",INDEX('Product Master'!$B$7:$B$1000,MATCH($A430,'Product Master'!$A$7:$A$1000,0)))</f>
        <v/>
      </c>
      <c r="C430" t="str">
        <f>IF($A430="","",INDEX('Product Master'!$C$7:$C$1000,MATCH($A430,'Product Master'!$A$7:$A$1000,0)))</f>
        <v/>
      </c>
      <c r="D430" t="str">
        <f>IF($A430="","",INDEX('Product Master'!$M$7:$M$1000,MATCH($A430,'Product Master'!$A$7:$A$1000,0)))</f>
        <v/>
      </c>
      <c r="E430" t="str">
        <f>IF($A430="","",INDEX('Product Master'!$N$7:$N$1000,MATCH($A430,'Product Master'!$A$7:$A$1000,0)))</f>
        <v/>
      </c>
      <c r="F430" t="str">
        <f>IF($A430="","",INDEX('Product Master'!$P$7:$P$1000,MATCH($A430,'Product Master'!$A$7:$A$1000,0)))</f>
        <v/>
      </c>
      <c r="I430" t="str">
        <f>IFERROR(INDEX('Product Master'!$A$7:$A$1000,_xlfn.AGGREGATE(15,6,(ROW('Product Master'!$A$7:$A$1000)-ROW('Product Master'!$A$7)+1)/(('Product Master'!$A$7:$A$1000&lt;&gt;"")*('Product Master'!$P$7:$P$1000="Out of Stock")),ROWS($I$12:I430))),"")</f>
        <v/>
      </c>
      <c r="J430" t="str">
        <f>IF($I430="","",INDEX('Product Master'!$B$7:$B$1000,MATCH($I430,'Product Master'!$A$7:$A$1000,0)))</f>
        <v/>
      </c>
      <c r="K430" t="str">
        <f>IF($I430="","",INDEX('Product Master'!$C$7:$C$1000,MATCH($I430,'Product Master'!$A$7:$A$1000,0)))</f>
        <v/>
      </c>
      <c r="L430" t="str">
        <f>IF($I430="","",INDEX('Product Master'!$M$7:$M$1000,MATCH($I430,'Product Master'!$A$7:$A$1000,0)))</f>
        <v/>
      </c>
      <c r="M430" t="str">
        <f>IF($I430="","",INDEX('Product Master'!$N$7:$N$1000,MATCH($I430,'Product Master'!$A$7:$A$1000,0)))</f>
        <v/>
      </c>
    </row>
    <row r="431" spans="1:13" x14ac:dyDescent="0.3">
      <c r="A431" t="str">
        <f>IFERROR(INDEX('Product Master'!$A$7:$A$1000,_xlfn.AGGREGATE(15,6,(ROW('Product Master'!$A$7:$A$1000)-ROW('Product Master'!$A$7)+1)/(('Product Master'!$A$7:$A$1000&lt;&gt;"")*('Product Master'!$P$7:$P$1000="Low Stock")),ROWS($A$12:A431))),"")</f>
        <v/>
      </c>
      <c r="B431" t="str">
        <f>IF($A431="","",INDEX('Product Master'!$B$7:$B$1000,MATCH($A431,'Product Master'!$A$7:$A$1000,0)))</f>
        <v/>
      </c>
      <c r="C431" t="str">
        <f>IF($A431="","",INDEX('Product Master'!$C$7:$C$1000,MATCH($A431,'Product Master'!$A$7:$A$1000,0)))</f>
        <v/>
      </c>
      <c r="D431" t="str">
        <f>IF($A431="","",INDEX('Product Master'!$M$7:$M$1000,MATCH($A431,'Product Master'!$A$7:$A$1000,0)))</f>
        <v/>
      </c>
      <c r="E431" t="str">
        <f>IF($A431="","",INDEX('Product Master'!$N$7:$N$1000,MATCH($A431,'Product Master'!$A$7:$A$1000,0)))</f>
        <v/>
      </c>
      <c r="F431" t="str">
        <f>IF($A431="","",INDEX('Product Master'!$P$7:$P$1000,MATCH($A431,'Product Master'!$A$7:$A$1000,0)))</f>
        <v/>
      </c>
      <c r="I431" t="str">
        <f>IFERROR(INDEX('Product Master'!$A$7:$A$1000,_xlfn.AGGREGATE(15,6,(ROW('Product Master'!$A$7:$A$1000)-ROW('Product Master'!$A$7)+1)/(('Product Master'!$A$7:$A$1000&lt;&gt;"")*('Product Master'!$P$7:$P$1000="Out of Stock")),ROWS($I$12:I431))),"")</f>
        <v/>
      </c>
      <c r="J431" t="str">
        <f>IF($I431="","",INDEX('Product Master'!$B$7:$B$1000,MATCH($I431,'Product Master'!$A$7:$A$1000,0)))</f>
        <v/>
      </c>
      <c r="K431" t="str">
        <f>IF($I431="","",INDEX('Product Master'!$C$7:$C$1000,MATCH($I431,'Product Master'!$A$7:$A$1000,0)))</f>
        <v/>
      </c>
      <c r="L431" t="str">
        <f>IF($I431="","",INDEX('Product Master'!$M$7:$M$1000,MATCH($I431,'Product Master'!$A$7:$A$1000,0)))</f>
        <v/>
      </c>
      <c r="M431" t="str">
        <f>IF($I431="","",INDEX('Product Master'!$N$7:$N$1000,MATCH($I431,'Product Master'!$A$7:$A$1000,0)))</f>
        <v/>
      </c>
    </row>
    <row r="432" spans="1:13" x14ac:dyDescent="0.3">
      <c r="A432" t="str">
        <f>IFERROR(INDEX('Product Master'!$A$7:$A$1000,_xlfn.AGGREGATE(15,6,(ROW('Product Master'!$A$7:$A$1000)-ROW('Product Master'!$A$7)+1)/(('Product Master'!$A$7:$A$1000&lt;&gt;"")*('Product Master'!$P$7:$P$1000="Low Stock")),ROWS($A$12:A432))),"")</f>
        <v/>
      </c>
      <c r="B432" t="str">
        <f>IF($A432="","",INDEX('Product Master'!$B$7:$B$1000,MATCH($A432,'Product Master'!$A$7:$A$1000,0)))</f>
        <v/>
      </c>
      <c r="C432" t="str">
        <f>IF($A432="","",INDEX('Product Master'!$C$7:$C$1000,MATCH($A432,'Product Master'!$A$7:$A$1000,0)))</f>
        <v/>
      </c>
      <c r="D432" t="str">
        <f>IF($A432="","",INDEX('Product Master'!$M$7:$M$1000,MATCH($A432,'Product Master'!$A$7:$A$1000,0)))</f>
        <v/>
      </c>
      <c r="E432" t="str">
        <f>IF($A432="","",INDEX('Product Master'!$N$7:$N$1000,MATCH($A432,'Product Master'!$A$7:$A$1000,0)))</f>
        <v/>
      </c>
      <c r="F432" t="str">
        <f>IF($A432="","",INDEX('Product Master'!$P$7:$P$1000,MATCH($A432,'Product Master'!$A$7:$A$1000,0)))</f>
        <v/>
      </c>
      <c r="I432" t="str">
        <f>IFERROR(INDEX('Product Master'!$A$7:$A$1000,_xlfn.AGGREGATE(15,6,(ROW('Product Master'!$A$7:$A$1000)-ROW('Product Master'!$A$7)+1)/(('Product Master'!$A$7:$A$1000&lt;&gt;"")*('Product Master'!$P$7:$P$1000="Out of Stock")),ROWS($I$12:I432))),"")</f>
        <v/>
      </c>
      <c r="J432" t="str">
        <f>IF($I432="","",INDEX('Product Master'!$B$7:$B$1000,MATCH($I432,'Product Master'!$A$7:$A$1000,0)))</f>
        <v/>
      </c>
      <c r="K432" t="str">
        <f>IF($I432="","",INDEX('Product Master'!$C$7:$C$1000,MATCH($I432,'Product Master'!$A$7:$A$1000,0)))</f>
        <v/>
      </c>
      <c r="L432" t="str">
        <f>IF($I432="","",INDEX('Product Master'!$M$7:$M$1000,MATCH($I432,'Product Master'!$A$7:$A$1000,0)))</f>
        <v/>
      </c>
      <c r="M432" t="str">
        <f>IF($I432="","",INDEX('Product Master'!$N$7:$N$1000,MATCH($I432,'Product Master'!$A$7:$A$1000,0)))</f>
        <v/>
      </c>
    </row>
    <row r="433" spans="1:13" x14ac:dyDescent="0.3">
      <c r="A433" t="str">
        <f>IFERROR(INDEX('Product Master'!$A$7:$A$1000,_xlfn.AGGREGATE(15,6,(ROW('Product Master'!$A$7:$A$1000)-ROW('Product Master'!$A$7)+1)/(('Product Master'!$A$7:$A$1000&lt;&gt;"")*('Product Master'!$P$7:$P$1000="Low Stock")),ROWS($A$12:A433))),"")</f>
        <v/>
      </c>
      <c r="B433" t="str">
        <f>IF($A433="","",INDEX('Product Master'!$B$7:$B$1000,MATCH($A433,'Product Master'!$A$7:$A$1000,0)))</f>
        <v/>
      </c>
      <c r="C433" t="str">
        <f>IF($A433="","",INDEX('Product Master'!$C$7:$C$1000,MATCH($A433,'Product Master'!$A$7:$A$1000,0)))</f>
        <v/>
      </c>
      <c r="D433" t="str">
        <f>IF($A433="","",INDEX('Product Master'!$M$7:$M$1000,MATCH($A433,'Product Master'!$A$7:$A$1000,0)))</f>
        <v/>
      </c>
      <c r="E433" t="str">
        <f>IF($A433="","",INDEX('Product Master'!$N$7:$N$1000,MATCH($A433,'Product Master'!$A$7:$A$1000,0)))</f>
        <v/>
      </c>
      <c r="F433" t="str">
        <f>IF($A433="","",INDEX('Product Master'!$P$7:$P$1000,MATCH($A433,'Product Master'!$A$7:$A$1000,0)))</f>
        <v/>
      </c>
      <c r="I433" t="str">
        <f>IFERROR(INDEX('Product Master'!$A$7:$A$1000,_xlfn.AGGREGATE(15,6,(ROW('Product Master'!$A$7:$A$1000)-ROW('Product Master'!$A$7)+1)/(('Product Master'!$A$7:$A$1000&lt;&gt;"")*('Product Master'!$P$7:$P$1000="Out of Stock")),ROWS($I$12:I433))),"")</f>
        <v/>
      </c>
      <c r="J433" t="str">
        <f>IF($I433="","",INDEX('Product Master'!$B$7:$B$1000,MATCH($I433,'Product Master'!$A$7:$A$1000,0)))</f>
        <v/>
      </c>
      <c r="K433" t="str">
        <f>IF($I433="","",INDEX('Product Master'!$C$7:$C$1000,MATCH($I433,'Product Master'!$A$7:$A$1000,0)))</f>
        <v/>
      </c>
      <c r="L433" t="str">
        <f>IF($I433="","",INDEX('Product Master'!$M$7:$M$1000,MATCH($I433,'Product Master'!$A$7:$A$1000,0)))</f>
        <v/>
      </c>
      <c r="M433" t="str">
        <f>IF($I433="","",INDEX('Product Master'!$N$7:$N$1000,MATCH($I433,'Product Master'!$A$7:$A$1000,0)))</f>
        <v/>
      </c>
    </row>
    <row r="434" spans="1:13" x14ac:dyDescent="0.3">
      <c r="A434" t="str">
        <f>IFERROR(INDEX('Product Master'!$A$7:$A$1000,_xlfn.AGGREGATE(15,6,(ROW('Product Master'!$A$7:$A$1000)-ROW('Product Master'!$A$7)+1)/(('Product Master'!$A$7:$A$1000&lt;&gt;"")*('Product Master'!$P$7:$P$1000="Low Stock")),ROWS($A$12:A434))),"")</f>
        <v/>
      </c>
      <c r="B434" t="str">
        <f>IF($A434="","",INDEX('Product Master'!$B$7:$B$1000,MATCH($A434,'Product Master'!$A$7:$A$1000,0)))</f>
        <v/>
      </c>
      <c r="C434" t="str">
        <f>IF($A434="","",INDEX('Product Master'!$C$7:$C$1000,MATCH($A434,'Product Master'!$A$7:$A$1000,0)))</f>
        <v/>
      </c>
      <c r="D434" t="str">
        <f>IF($A434="","",INDEX('Product Master'!$M$7:$M$1000,MATCH($A434,'Product Master'!$A$7:$A$1000,0)))</f>
        <v/>
      </c>
      <c r="E434" t="str">
        <f>IF($A434="","",INDEX('Product Master'!$N$7:$N$1000,MATCH($A434,'Product Master'!$A$7:$A$1000,0)))</f>
        <v/>
      </c>
      <c r="F434" t="str">
        <f>IF($A434="","",INDEX('Product Master'!$P$7:$P$1000,MATCH($A434,'Product Master'!$A$7:$A$1000,0)))</f>
        <v/>
      </c>
      <c r="I434" t="str">
        <f>IFERROR(INDEX('Product Master'!$A$7:$A$1000,_xlfn.AGGREGATE(15,6,(ROW('Product Master'!$A$7:$A$1000)-ROW('Product Master'!$A$7)+1)/(('Product Master'!$A$7:$A$1000&lt;&gt;"")*('Product Master'!$P$7:$P$1000="Out of Stock")),ROWS($I$12:I434))),"")</f>
        <v/>
      </c>
      <c r="J434" t="str">
        <f>IF($I434="","",INDEX('Product Master'!$B$7:$B$1000,MATCH($I434,'Product Master'!$A$7:$A$1000,0)))</f>
        <v/>
      </c>
      <c r="K434" t="str">
        <f>IF($I434="","",INDEX('Product Master'!$C$7:$C$1000,MATCH($I434,'Product Master'!$A$7:$A$1000,0)))</f>
        <v/>
      </c>
      <c r="L434" t="str">
        <f>IF($I434="","",INDEX('Product Master'!$M$7:$M$1000,MATCH($I434,'Product Master'!$A$7:$A$1000,0)))</f>
        <v/>
      </c>
      <c r="M434" t="str">
        <f>IF($I434="","",INDEX('Product Master'!$N$7:$N$1000,MATCH($I434,'Product Master'!$A$7:$A$1000,0)))</f>
        <v/>
      </c>
    </row>
    <row r="435" spans="1:13" x14ac:dyDescent="0.3">
      <c r="A435" t="str">
        <f>IFERROR(INDEX('Product Master'!$A$7:$A$1000,_xlfn.AGGREGATE(15,6,(ROW('Product Master'!$A$7:$A$1000)-ROW('Product Master'!$A$7)+1)/(('Product Master'!$A$7:$A$1000&lt;&gt;"")*('Product Master'!$P$7:$P$1000="Low Stock")),ROWS($A$12:A435))),"")</f>
        <v/>
      </c>
      <c r="B435" t="str">
        <f>IF($A435="","",INDEX('Product Master'!$B$7:$B$1000,MATCH($A435,'Product Master'!$A$7:$A$1000,0)))</f>
        <v/>
      </c>
      <c r="C435" t="str">
        <f>IF($A435="","",INDEX('Product Master'!$C$7:$C$1000,MATCH($A435,'Product Master'!$A$7:$A$1000,0)))</f>
        <v/>
      </c>
      <c r="D435" t="str">
        <f>IF($A435="","",INDEX('Product Master'!$M$7:$M$1000,MATCH($A435,'Product Master'!$A$7:$A$1000,0)))</f>
        <v/>
      </c>
      <c r="E435" t="str">
        <f>IF($A435="","",INDEX('Product Master'!$N$7:$N$1000,MATCH($A435,'Product Master'!$A$7:$A$1000,0)))</f>
        <v/>
      </c>
      <c r="F435" t="str">
        <f>IF($A435="","",INDEX('Product Master'!$P$7:$P$1000,MATCH($A435,'Product Master'!$A$7:$A$1000,0)))</f>
        <v/>
      </c>
      <c r="I435" t="str">
        <f>IFERROR(INDEX('Product Master'!$A$7:$A$1000,_xlfn.AGGREGATE(15,6,(ROW('Product Master'!$A$7:$A$1000)-ROW('Product Master'!$A$7)+1)/(('Product Master'!$A$7:$A$1000&lt;&gt;"")*('Product Master'!$P$7:$P$1000="Out of Stock")),ROWS($I$12:I435))),"")</f>
        <v/>
      </c>
      <c r="J435" t="str">
        <f>IF($I435="","",INDEX('Product Master'!$B$7:$B$1000,MATCH($I435,'Product Master'!$A$7:$A$1000,0)))</f>
        <v/>
      </c>
      <c r="K435" t="str">
        <f>IF($I435="","",INDEX('Product Master'!$C$7:$C$1000,MATCH($I435,'Product Master'!$A$7:$A$1000,0)))</f>
        <v/>
      </c>
      <c r="L435" t="str">
        <f>IF($I435="","",INDEX('Product Master'!$M$7:$M$1000,MATCH($I435,'Product Master'!$A$7:$A$1000,0)))</f>
        <v/>
      </c>
      <c r="M435" t="str">
        <f>IF($I435="","",INDEX('Product Master'!$N$7:$N$1000,MATCH($I435,'Product Master'!$A$7:$A$1000,0)))</f>
        <v/>
      </c>
    </row>
    <row r="436" spans="1:13" x14ac:dyDescent="0.3">
      <c r="A436" t="str">
        <f>IFERROR(INDEX('Product Master'!$A$7:$A$1000,_xlfn.AGGREGATE(15,6,(ROW('Product Master'!$A$7:$A$1000)-ROW('Product Master'!$A$7)+1)/(('Product Master'!$A$7:$A$1000&lt;&gt;"")*('Product Master'!$P$7:$P$1000="Low Stock")),ROWS($A$12:A436))),"")</f>
        <v/>
      </c>
      <c r="B436" t="str">
        <f>IF($A436="","",INDEX('Product Master'!$B$7:$B$1000,MATCH($A436,'Product Master'!$A$7:$A$1000,0)))</f>
        <v/>
      </c>
      <c r="C436" t="str">
        <f>IF($A436="","",INDEX('Product Master'!$C$7:$C$1000,MATCH($A436,'Product Master'!$A$7:$A$1000,0)))</f>
        <v/>
      </c>
      <c r="D436" t="str">
        <f>IF($A436="","",INDEX('Product Master'!$M$7:$M$1000,MATCH($A436,'Product Master'!$A$7:$A$1000,0)))</f>
        <v/>
      </c>
      <c r="E436" t="str">
        <f>IF($A436="","",INDEX('Product Master'!$N$7:$N$1000,MATCH($A436,'Product Master'!$A$7:$A$1000,0)))</f>
        <v/>
      </c>
      <c r="F436" t="str">
        <f>IF($A436="","",INDEX('Product Master'!$P$7:$P$1000,MATCH($A436,'Product Master'!$A$7:$A$1000,0)))</f>
        <v/>
      </c>
      <c r="I436" t="str">
        <f>IFERROR(INDEX('Product Master'!$A$7:$A$1000,_xlfn.AGGREGATE(15,6,(ROW('Product Master'!$A$7:$A$1000)-ROW('Product Master'!$A$7)+1)/(('Product Master'!$A$7:$A$1000&lt;&gt;"")*('Product Master'!$P$7:$P$1000="Out of Stock")),ROWS($I$12:I436))),"")</f>
        <v/>
      </c>
      <c r="J436" t="str">
        <f>IF($I436="","",INDEX('Product Master'!$B$7:$B$1000,MATCH($I436,'Product Master'!$A$7:$A$1000,0)))</f>
        <v/>
      </c>
      <c r="K436" t="str">
        <f>IF($I436="","",INDEX('Product Master'!$C$7:$C$1000,MATCH($I436,'Product Master'!$A$7:$A$1000,0)))</f>
        <v/>
      </c>
      <c r="L436" t="str">
        <f>IF($I436="","",INDEX('Product Master'!$M$7:$M$1000,MATCH($I436,'Product Master'!$A$7:$A$1000,0)))</f>
        <v/>
      </c>
      <c r="M436" t="str">
        <f>IF($I436="","",INDEX('Product Master'!$N$7:$N$1000,MATCH($I436,'Product Master'!$A$7:$A$1000,0)))</f>
        <v/>
      </c>
    </row>
    <row r="437" spans="1:13" x14ac:dyDescent="0.3">
      <c r="A437" t="str">
        <f>IFERROR(INDEX('Product Master'!$A$7:$A$1000,_xlfn.AGGREGATE(15,6,(ROW('Product Master'!$A$7:$A$1000)-ROW('Product Master'!$A$7)+1)/(('Product Master'!$A$7:$A$1000&lt;&gt;"")*('Product Master'!$P$7:$P$1000="Low Stock")),ROWS($A$12:A437))),"")</f>
        <v/>
      </c>
      <c r="B437" t="str">
        <f>IF($A437="","",INDEX('Product Master'!$B$7:$B$1000,MATCH($A437,'Product Master'!$A$7:$A$1000,0)))</f>
        <v/>
      </c>
      <c r="C437" t="str">
        <f>IF($A437="","",INDEX('Product Master'!$C$7:$C$1000,MATCH($A437,'Product Master'!$A$7:$A$1000,0)))</f>
        <v/>
      </c>
      <c r="D437" t="str">
        <f>IF($A437="","",INDEX('Product Master'!$M$7:$M$1000,MATCH($A437,'Product Master'!$A$7:$A$1000,0)))</f>
        <v/>
      </c>
      <c r="E437" t="str">
        <f>IF($A437="","",INDEX('Product Master'!$N$7:$N$1000,MATCH($A437,'Product Master'!$A$7:$A$1000,0)))</f>
        <v/>
      </c>
      <c r="F437" t="str">
        <f>IF($A437="","",INDEX('Product Master'!$P$7:$P$1000,MATCH($A437,'Product Master'!$A$7:$A$1000,0)))</f>
        <v/>
      </c>
      <c r="I437" t="str">
        <f>IFERROR(INDEX('Product Master'!$A$7:$A$1000,_xlfn.AGGREGATE(15,6,(ROW('Product Master'!$A$7:$A$1000)-ROW('Product Master'!$A$7)+1)/(('Product Master'!$A$7:$A$1000&lt;&gt;"")*('Product Master'!$P$7:$P$1000="Out of Stock")),ROWS($I$12:I437))),"")</f>
        <v/>
      </c>
      <c r="J437" t="str">
        <f>IF($I437="","",INDEX('Product Master'!$B$7:$B$1000,MATCH($I437,'Product Master'!$A$7:$A$1000,0)))</f>
        <v/>
      </c>
      <c r="K437" t="str">
        <f>IF($I437="","",INDEX('Product Master'!$C$7:$C$1000,MATCH($I437,'Product Master'!$A$7:$A$1000,0)))</f>
        <v/>
      </c>
      <c r="L437" t="str">
        <f>IF($I437="","",INDEX('Product Master'!$M$7:$M$1000,MATCH($I437,'Product Master'!$A$7:$A$1000,0)))</f>
        <v/>
      </c>
      <c r="M437" t="str">
        <f>IF($I437="","",INDEX('Product Master'!$N$7:$N$1000,MATCH($I437,'Product Master'!$A$7:$A$1000,0)))</f>
        <v/>
      </c>
    </row>
    <row r="438" spans="1:13" x14ac:dyDescent="0.3">
      <c r="A438" t="str">
        <f>IFERROR(INDEX('Product Master'!$A$7:$A$1000,_xlfn.AGGREGATE(15,6,(ROW('Product Master'!$A$7:$A$1000)-ROW('Product Master'!$A$7)+1)/(('Product Master'!$A$7:$A$1000&lt;&gt;"")*('Product Master'!$P$7:$P$1000="Low Stock")),ROWS($A$12:A438))),"")</f>
        <v/>
      </c>
      <c r="B438" t="str">
        <f>IF($A438="","",INDEX('Product Master'!$B$7:$B$1000,MATCH($A438,'Product Master'!$A$7:$A$1000,0)))</f>
        <v/>
      </c>
      <c r="C438" t="str">
        <f>IF($A438="","",INDEX('Product Master'!$C$7:$C$1000,MATCH($A438,'Product Master'!$A$7:$A$1000,0)))</f>
        <v/>
      </c>
      <c r="D438" t="str">
        <f>IF($A438="","",INDEX('Product Master'!$M$7:$M$1000,MATCH($A438,'Product Master'!$A$7:$A$1000,0)))</f>
        <v/>
      </c>
      <c r="E438" t="str">
        <f>IF($A438="","",INDEX('Product Master'!$N$7:$N$1000,MATCH($A438,'Product Master'!$A$7:$A$1000,0)))</f>
        <v/>
      </c>
      <c r="F438" t="str">
        <f>IF($A438="","",INDEX('Product Master'!$P$7:$P$1000,MATCH($A438,'Product Master'!$A$7:$A$1000,0)))</f>
        <v/>
      </c>
      <c r="I438" t="str">
        <f>IFERROR(INDEX('Product Master'!$A$7:$A$1000,_xlfn.AGGREGATE(15,6,(ROW('Product Master'!$A$7:$A$1000)-ROW('Product Master'!$A$7)+1)/(('Product Master'!$A$7:$A$1000&lt;&gt;"")*('Product Master'!$P$7:$P$1000="Out of Stock")),ROWS($I$12:I438))),"")</f>
        <v/>
      </c>
      <c r="J438" t="str">
        <f>IF($I438="","",INDEX('Product Master'!$B$7:$B$1000,MATCH($I438,'Product Master'!$A$7:$A$1000,0)))</f>
        <v/>
      </c>
      <c r="K438" t="str">
        <f>IF($I438="","",INDEX('Product Master'!$C$7:$C$1000,MATCH($I438,'Product Master'!$A$7:$A$1000,0)))</f>
        <v/>
      </c>
      <c r="L438" t="str">
        <f>IF($I438="","",INDEX('Product Master'!$M$7:$M$1000,MATCH($I438,'Product Master'!$A$7:$A$1000,0)))</f>
        <v/>
      </c>
      <c r="M438" t="str">
        <f>IF($I438="","",INDEX('Product Master'!$N$7:$N$1000,MATCH($I438,'Product Master'!$A$7:$A$1000,0)))</f>
        <v/>
      </c>
    </row>
    <row r="439" spans="1:13" x14ac:dyDescent="0.3">
      <c r="A439" t="str">
        <f>IFERROR(INDEX('Product Master'!$A$7:$A$1000,_xlfn.AGGREGATE(15,6,(ROW('Product Master'!$A$7:$A$1000)-ROW('Product Master'!$A$7)+1)/(('Product Master'!$A$7:$A$1000&lt;&gt;"")*('Product Master'!$P$7:$P$1000="Low Stock")),ROWS($A$12:A439))),"")</f>
        <v/>
      </c>
      <c r="B439" t="str">
        <f>IF($A439="","",INDEX('Product Master'!$B$7:$B$1000,MATCH($A439,'Product Master'!$A$7:$A$1000,0)))</f>
        <v/>
      </c>
      <c r="C439" t="str">
        <f>IF($A439="","",INDEX('Product Master'!$C$7:$C$1000,MATCH($A439,'Product Master'!$A$7:$A$1000,0)))</f>
        <v/>
      </c>
      <c r="D439" t="str">
        <f>IF($A439="","",INDEX('Product Master'!$M$7:$M$1000,MATCH($A439,'Product Master'!$A$7:$A$1000,0)))</f>
        <v/>
      </c>
      <c r="E439" t="str">
        <f>IF($A439="","",INDEX('Product Master'!$N$7:$N$1000,MATCH($A439,'Product Master'!$A$7:$A$1000,0)))</f>
        <v/>
      </c>
      <c r="F439" t="str">
        <f>IF($A439="","",INDEX('Product Master'!$P$7:$P$1000,MATCH($A439,'Product Master'!$A$7:$A$1000,0)))</f>
        <v/>
      </c>
      <c r="I439" t="str">
        <f>IFERROR(INDEX('Product Master'!$A$7:$A$1000,_xlfn.AGGREGATE(15,6,(ROW('Product Master'!$A$7:$A$1000)-ROW('Product Master'!$A$7)+1)/(('Product Master'!$A$7:$A$1000&lt;&gt;"")*('Product Master'!$P$7:$P$1000="Out of Stock")),ROWS($I$12:I439))),"")</f>
        <v/>
      </c>
      <c r="J439" t="str">
        <f>IF($I439="","",INDEX('Product Master'!$B$7:$B$1000,MATCH($I439,'Product Master'!$A$7:$A$1000,0)))</f>
        <v/>
      </c>
      <c r="K439" t="str">
        <f>IF($I439="","",INDEX('Product Master'!$C$7:$C$1000,MATCH($I439,'Product Master'!$A$7:$A$1000,0)))</f>
        <v/>
      </c>
      <c r="L439" t="str">
        <f>IF($I439="","",INDEX('Product Master'!$M$7:$M$1000,MATCH($I439,'Product Master'!$A$7:$A$1000,0)))</f>
        <v/>
      </c>
      <c r="M439" t="str">
        <f>IF($I439="","",INDEX('Product Master'!$N$7:$N$1000,MATCH($I439,'Product Master'!$A$7:$A$1000,0)))</f>
        <v/>
      </c>
    </row>
    <row r="440" spans="1:13" x14ac:dyDescent="0.3">
      <c r="A440" t="str">
        <f>IFERROR(INDEX('Product Master'!$A$7:$A$1000,_xlfn.AGGREGATE(15,6,(ROW('Product Master'!$A$7:$A$1000)-ROW('Product Master'!$A$7)+1)/(('Product Master'!$A$7:$A$1000&lt;&gt;"")*('Product Master'!$P$7:$P$1000="Low Stock")),ROWS($A$12:A440))),"")</f>
        <v/>
      </c>
      <c r="B440" t="str">
        <f>IF($A440="","",INDEX('Product Master'!$B$7:$B$1000,MATCH($A440,'Product Master'!$A$7:$A$1000,0)))</f>
        <v/>
      </c>
      <c r="C440" t="str">
        <f>IF($A440="","",INDEX('Product Master'!$C$7:$C$1000,MATCH($A440,'Product Master'!$A$7:$A$1000,0)))</f>
        <v/>
      </c>
      <c r="D440" t="str">
        <f>IF($A440="","",INDEX('Product Master'!$M$7:$M$1000,MATCH($A440,'Product Master'!$A$7:$A$1000,0)))</f>
        <v/>
      </c>
      <c r="E440" t="str">
        <f>IF($A440="","",INDEX('Product Master'!$N$7:$N$1000,MATCH($A440,'Product Master'!$A$7:$A$1000,0)))</f>
        <v/>
      </c>
      <c r="F440" t="str">
        <f>IF($A440="","",INDEX('Product Master'!$P$7:$P$1000,MATCH($A440,'Product Master'!$A$7:$A$1000,0)))</f>
        <v/>
      </c>
      <c r="I440" t="str">
        <f>IFERROR(INDEX('Product Master'!$A$7:$A$1000,_xlfn.AGGREGATE(15,6,(ROW('Product Master'!$A$7:$A$1000)-ROW('Product Master'!$A$7)+1)/(('Product Master'!$A$7:$A$1000&lt;&gt;"")*('Product Master'!$P$7:$P$1000="Out of Stock")),ROWS($I$12:I440))),"")</f>
        <v/>
      </c>
      <c r="J440" t="str">
        <f>IF($I440="","",INDEX('Product Master'!$B$7:$B$1000,MATCH($I440,'Product Master'!$A$7:$A$1000,0)))</f>
        <v/>
      </c>
      <c r="K440" t="str">
        <f>IF($I440="","",INDEX('Product Master'!$C$7:$C$1000,MATCH($I440,'Product Master'!$A$7:$A$1000,0)))</f>
        <v/>
      </c>
      <c r="L440" t="str">
        <f>IF($I440="","",INDEX('Product Master'!$M$7:$M$1000,MATCH($I440,'Product Master'!$A$7:$A$1000,0)))</f>
        <v/>
      </c>
      <c r="M440" t="str">
        <f>IF($I440="","",INDEX('Product Master'!$N$7:$N$1000,MATCH($I440,'Product Master'!$A$7:$A$1000,0)))</f>
        <v/>
      </c>
    </row>
    <row r="441" spans="1:13" x14ac:dyDescent="0.3">
      <c r="A441" t="str">
        <f>IFERROR(INDEX('Product Master'!$A$7:$A$1000,_xlfn.AGGREGATE(15,6,(ROW('Product Master'!$A$7:$A$1000)-ROW('Product Master'!$A$7)+1)/(('Product Master'!$A$7:$A$1000&lt;&gt;"")*('Product Master'!$P$7:$P$1000="Low Stock")),ROWS($A$12:A441))),"")</f>
        <v/>
      </c>
      <c r="B441" t="str">
        <f>IF($A441="","",INDEX('Product Master'!$B$7:$B$1000,MATCH($A441,'Product Master'!$A$7:$A$1000,0)))</f>
        <v/>
      </c>
      <c r="C441" t="str">
        <f>IF($A441="","",INDEX('Product Master'!$C$7:$C$1000,MATCH($A441,'Product Master'!$A$7:$A$1000,0)))</f>
        <v/>
      </c>
      <c r="D441" t="str">
        <f>IF($A441="","",INDEX('Product Master'!$M$7:$M$1000,MATCH($A441,'Product Master'!$A$7:$A$1000,0)))</f>
        <v/>
      </c>
      <c r="E441" t="str">
        <f>IF($A441="","",INDEX('Product Master'!$N$7:$N$1000,MATCH($A441,'Product Master'!$A$7:$A$1000,0)))</f>
        <v/>
      </c>
      <c r="F441" t="str">
        <f>IF($A441="","",INDEX('Product Master'!$P$7:$P$1000,MATCH($A441,'Product Master'!$A$7:$A$1000,0)))</f>
        <v/>
      </c>
      <c r="I441" t="str">
        <f>IFERROR(INDEX('Product Master'!$A$7:$A$1000,_xlfn.AGGREGATE(15,6,(ROW('Product Master'!$A$7:$A$1000)-ROW('Product Master'!$A$7)+1)/(('Product Master'!$A$7:$A$1000&lt;&gt;"")*('Product Master'!$P$7:$P$1000="Out of Stock")),ROWS($I$12:I441))),"")</f>
        <v/>
      </c>
      <c r="J441" t="str">
        <f>IF($I441="","",INDEX('Product Master'!$B$7:$B$1000,MATCH($I441,'Product Master'!$A$7:$A$1000,0)))</f>
        <v/>
      </c>
      <c r="K441" t="str">
        <f>IF($I441="","",INDEX('Product Master'!$C$7:$C$1000,MATCH($I441,'Product Master'!$A$7:$A$1000,0)))</f>
        <v/>
      </c>
      <c r="L441" t="str">
        <f>IF($I441="","",INDEX('Product Master'!$M$7:$M$1000,MATCH($I441,'Product Master'!$A$7:$A$1000,0)))</f>
        <v/>
      </c>
      <c r="M441" t="str">
        <f>IF($I441="","",INDEX('Product Master'!$N$7:$N$1000,MATCH($I441,'Product Master'!$A$7:$A$1000,0)))</f>
        <v/>
      </c>
    </row>
    <row r="442" spans="1:13" x14ac:dyDescent="0.3">
      <c r="A442" t="str">
        <f>IFERROR(INDEX('Product Master'!$A$7:$A$1000,_xlfn.AGGREGATE(15,6,(ROW('Product Master'!$A$7:$A$1000)-ROW('Product Master'!$A$7)+1)/(('Product Master'!$A$7:$A$1000&lt;&gt;"")*('Product Master'!$P$7:$P$1000="Low Stock")),ROWS($A$12:A442))),"")</f>
        <v/>
      </c>
      <c r="B442" t="str">
        <f>IF($A442="","",INDEX('Product Master'!$B$7:$B$1000,MATCH($A442,'Product Master'!$A$7:$A$1000,0)))</f>
        <v/>
      </c>
      <c r="C442" t="str">
        <f>IF($A442="","",INDEX('Product Master'!$C$7:$C$1000,MATCH($A442,'Product Master'!$A$7:$A$1000,0)))</f>
        <v/>
      </c>
      <c r="D442" t="str">
        <f>IF($A442="","",INDEX('Product Master'!$M$7:$M$1000,MATCH($A442,'Product Master'!$A$7:$A$1000,0)))</f>
        <v/>
      </c>
      <c r="E442" t="str">
        <f>IF($A442="","",INDEX('Product Master'!$N$7:$N$1000,MATCH($A442,'Product Master'!$A$7:$A$1000,0)))</f>
        <v/>
      </c>
      <c r="F442" t="str">
        <f>IF($A442="","",INDEX('Product Master'!$P$7:$P$1000,MATCH($A442,'Product Master'!$A$7:$A$1000,0)))</f>
        <v/>
      </c>
      <c r="I442" t="str">
        <f>IFERROR(INDEX('Product Master'!$A$7:$A$1000,_xlfn.AGGREGATE(15,6,(ROW('Product Master'!$A$7:$A$1000)-ROW('Product Master'!$A$7)+1)/(('Product Master'!$A$7:$A$1000&lt;&gt;"")*('Product Master'!$P$7:$P$1000="Out of Stock")),ROWS($I$12:I442))),"")</f>
        <v/>
      </c>
      <c r="J442" t="str">
        <f>IF($I442="","",INDEX('Product Master'!$B$7:$B$1000,MATCH($I442,'Product Master'!$A$7:$A$1000,0)))</f>
        <v/>
      </c>
      <c r="K442" t="str">
        <f>IF($I442="","",INDEX('Product Master'!$C$7:$C$1000,MATCH($I442,'Product Master'!$A$7:$A$1000,0)))</f>
        <v/>
      </c>
      <c r="L442" t="str">
        <f>IF($I442="","",INDEX('Product Master'!$M$7:$M$1000,MATCH($I442,'Product Master'!$A$7:$A$1000,0)))</f>
        <v/>
      </c>
      <c r="M442" t="str">
        <f>IF($I442="","",INDEX('Product Master'!$N$7:$N$1000,MATCH($I442,'Product Master'!$A$7:$A$1000,0)))</f>
        <v/>
      </c>
    </row>
    <row r="443" spans="1:13" x14ac:dyDescent="0.3">
      <c r="A443" t="str">
        <f>IFERROR(INDEX('Product Master'!$A$7:$A$1000,_xlfn.AGGREGATE(15,6,(ROW('Product Master'!$A$7:$A$1000)-ROW('Product Master'!$A$7)+1)/(('Product Master'!$A$7:$A$1000&lt;&gt;"")*('Product Master'!$P$7:$P$1000="Low Stock")),ROWS($A$12:A443))),"")</f>
        <v/>
      </c>
      <c r="B443" t="str">
        <f>IF($A443="","",INDEX('Product Master'!$B$7:$B$1000,MATCH($A443,'Product Master'!$A$7:$A$1000,0)))</f>
        <v/>
      </c>
      <c r="C443" t="str">
        <f>IF($A443="","",INDEX('Product Master'!$C$7:$C$1000,MATCH($A443,'Product Master'!$A$7:$A$1000,0)))</f>
        <v/>
      </c>
      <c r="D443" t="str">
        <f>IF($A443="","",INDEX('Product Master'!$M$7:$M$1000,MATCH($A443,'Product Master'!$A$7:$A$1000,0)))</f>
        <v/>
      </c>
      <c r="E443" t="str">
        <f>IF($A443="","",INDEX('Product Master'!$N$7:$N$1000,MATCH($A443,'Product Master'!$A$7:$A$1000,0)))</f>
        <v/>
      </c>
      <c r="F443" t="str">
        <f>IF($A443="","",INDEX('Product Master'!$P$7:$P$1000,MATCH($A443,'Product Master'!$A$7:$A$1000,0)))</f>
        <v/>
      </c>
      <c r="I443" t="str">
        <f>IFERROR(INDEX('Product Master'!$A$7:$A$1000,_xlfn.AGGREGATE(15,6,(ROW('Product Master'!$A$7:$A$1000)-ROW('Product Master'!$A$7)+1)/(('Product Master'!$A$7:$A$1000&lt;&gt;"")*('Product Master'!$P$7:$P$1000="Out of Stock")),ROWS($I$12:I443))),"")</f>
        <v/>
      </c>
      <c r="J443" t="str">
        <f>IF($I443="","",INDEX('Product Master'!$B$7:$B$1000,MATCH($I443,'Product Master'!$A$7:$A$1000,0)))</f>
        <v/>
      </c>
      <c r="K443" t="str">
        <f>IF($I443="","",INDEX('Product Master'!$C$7:$C$1000,MATCH($I443,'Product Master'!$A$7:$A$1000,0)))</f>
        <v/>
      </c>
      <c r="L443" t="str">
        <f>IF($I443="","",INDEX('Product Master'!$M$7:$M$1000,MATCH($I443,'Product Master'!$A$7:$A$1000,0)))</f>
        <v/>
      </c>
      <c r="M443" t="str">
        <f>IF($I443="","",INDEX('Product Master'!$N$7:$N$1000,MATCH($I443,'Product Master'!$A$7:$A$1000,0)))</f>
        <v/>
      </c>
    </row>
    <row r="444" spans="1:13" x14ac:dyDescent="0.3">
      <c r="A444" t="str">
        <f>IFERROR(INDEX('Product Master'!$A$7:$A$1000,_xlfn.AGGREGATE(15,6,(ROW('Product Master'!$A$7:$A$1000)-ROW('Product Master'!$A$7)+1)/(('Product Master'!$A$7:$A$1000&lt;&gt;"")*('Product Master'!$P$7:$P$1000="Low Stock")),ROWS($A$12:A444))),"")</f>
        <v/>
      </c>
      <c r="B444" t="str">
        <f>IF($A444="","",INDEX('Product Master'!$B$7:$B$1000,MATCH($A444,'Product Master'!$A$7:$A$1000,0)))</f>
        <v/>
      </c>
      <c r="C444" t="str">
        <f>IF($A444="","",INDEX('Product Master'!$C$7:$C$1000,MATCH($A444,'Product Master'!$A$7:$A$1000,0)))</f>
        <v/>
      </c>
      <c r="D444" t="str">
        <f>IF($A444="","",INDEX('Product Master'!$M$7:$M$1000,MATCH($A444,'Product Master'!$A$7:$A$1000,0)))</f>
        <v/>
      </c>
      <c r="E444" t="str">
        <f>IF($A444="","",INDEX('Product Master'!$N$7:$N$1000,MATCH($A444,'Product Master'!$A$7:$A$1000,0)))</f>
        <v/>
      </c>
      <c r="F444" t="str">
        <f>IF($A444="","",INDEX('Product Master'!$P$7:$P$1000,MATCH($A444,'Product Master'!$A$7:$A$1000,0)))</f>
        <v/>
      </c>
      <c r="I444" t="str">
        <f>IFERROR(INDEX('Product Master'!$A$7:$A$1000,_xlfn.AGGREGATE(15,6,(ROW('Product Master'!$A$7:$A$1000)-ROW('Product Master'!$A$7)+1)/(('Product Master'!$A$7:$A$1000&lt;&gt;"")*('Product Master'!$P$7:$P$1000="Out of Stock")),ROWS($I$12:I444))),"")</f>
        <v/>
      </c>
      <c r="J444" t="str">
        <f>IF($I444="","",INDEX('Product Master'!$B$7:$B$1000,MATCH($I444,'Product Master'!$A$7:$A$1000,0)))</f>
        <v/>
      </c>
      <c r="K444" t="str">
        <f>IF($I444="","",INDEX('Product Master'!$C$7:$C$1000,MATCH($I444,'Product Master'!$A$7:$A$1000,0)))</f>
        <v/>
      </c>
      <c r="L444" t="str">
        <f>IF($I444="","",INDEX('Product Master'!$M$7:$M$1000,MATCH($I444,'Product Master'!$A$7:$A$1000,0)))</f>
        <v/>
      </c>
      <c r="M444" t="str">
        <f>IF($I444="","",INDEX('Product Master'!$N$7:$N$1000,MATCH($I444,'Product Master'!$A$7:$A$1000,0)))</f>
        <v/>
      </c>
    </row>
    <row r="445" spans="1:13" x14ac:dyDescent="0.3">
      <c r="A445" t="str">
        <f>IFERROR(INDEX('Product Master'!$A$7:$A$1000,_xlfn.AGGREGATE(15,6,(ROW('Product Master'!$A$7:$A$1000)-ROW('Product Master'!$A$7)+1)/(('Product Master'!$A$7:$A$1000&lt;&gt;"")*('Product Master'!$P$7:$P$1000="Low Stock")),ROWS($A$12:A445))),"")</f>
        <v/>
      </c>
      <c r="B445" t="str">
        <f>IF($A445="","",INDEX('Product Master'!$B$7:$B$1000,MATCH($A445,'Product Master'!$A$7:$A$1000,0)))</f>
        <v/>
      </c>
      <c r="C445" t="str">
        <f>IF($A445="","",INDEX('Product Master'!$C$7:$C$1000,MATCH($A445,'Product Master'!$A$7:$A$1000,0)))</f>
        <v/>
      </c>
      <c r="D445" t="str">
        <f>IF($A445="","",INDEX('Product Master'!$M$7:$M$1000,MATCH($A445,'Product Master'!$A$7:$A$1000,0)))</f>
        <v/>
      </c>
      <c r="E445" t="str">
        <f>IF($A445="","",INDEX('Product Master'!$N$7:$N$1000,MATCH($A445,'Product Master'!$A$7:$A$1000,0)))</f>
        <v/>
      </c>
      <c r="F445" t="str">
        <f>IF($A445="","",INDEX('Product Master'!$P$7:$P$1000,MATCH($A445,'Product Master'!$A$7:$A$1000,0)))</f>
        <v/>
      </c>
      <c r="I445" t="str">
        <f>IFERROR(INDEX('Product Master'!$A$7:$A$1000,_xlfn.AGGREGATE(15,6,(ROW('Product Master'!$A$7:$A$1000)-ROW('Product Master'!$A$7)+1)/(('Product Master'!$A$7:$A$1000&lt;&gt;"")*('Product Master'!$P$7:$P$1000="Out of Stock")),ROWS($I$12:I445))),"")</f>
        <v/>
      </c>
      <c r="J445" t="str">
        <f>IF($I445="","",INDEX('Product Master'!$B$7:$B$1000,MATCH($I445,'Product Master'!$A$7:$A$1000,0)))</f>
        <v/>
      </c>
      <c r="K445" t="str">
        <f>IF($I445="","",INDEX('Product Master'!$C$7:$C$1000,MATCH($I445,'Product Master'!$A$7:$A$1000,0)))</f>
        <v/>
      </c>
      <c r="L445" t="str">
        <f>IF($I445="","",INDEX('Product Master'!$M$7:$M$1000,MATCH($I445,'Product Master'!$A$7:$A$1000,0)))</f>
        <v/>
      </c>
      <c r="M445" t="str">
        <f>IF($I445="","",INDEX('Product Master'!$N$7:$N$1000,MATCH($I445,'Product Master'!$A$7:$A$1000,0)))</f>
        <v/>
      </c>
    </row>
    <row r="446" spans="1:13" x14ac:dyDescent="0.3">
      <c r="A446" t="str">
        <f>IFERROR(INDEX('Product Master'!$A$7:$A$1000,_xlfn.AGGREGATE(15,6,(ROW('Product Master'!$A$7:$A$1000)-ROW('Product Master'!$A$7)+1)/(('Product Master'!$A$7:$A$1000&lt;&gt;"")*('Product Master'!$P$7:$P$1000="Low Stock")),ROWS($A$12:A446))),"")</f>
        <v/>
      </c>
      <c r="B446" t="str">
        <f>IF($A446="","",INDEX('Product Master'!$B$7:$B$1000,MATCH($A446,'Product Master'!$A$7:$A$1000,0)))</f>
        <v/>
      </c>
      <c r="C446" t="str">
        <f>IF($A446="","",INDEX('Product Master'!$C$7:$C$1000,MATCH($A446,'Product Master'!$A$7:$A$1000,0)))</f>
        <v/>
      </c>
      <c r="D446" t="str">
        <f>IF($A446="","",INDEX('Product Master'!$M$7:$M$1000,MATCH($A446,'Product Master'!$A$7:$A$1000,0)))</f>
        <v/>
      </c>
      <c r="E446" t="str">
        <f>IF($A446="","",INDEX('Product Master'!$N$7:$N$1000,MATCH($A446,'Product Master'!$A$7:$A$1000,0)))</f>
        <v/>
      </c>
      <c r="F446" t="str">
        <f>IF($A446="","",INDEX('Product Master'!$P$7:$P$1000,MATCH($A446,'Product Master'!$A$7:$A$1000,0)))</f>
        <v/>
      </c>
      <c r="I446" t="str">
        <f>IFERROR(INDEX('Product Master'!$A$7:$A$1000,_xlfn.AGGREGATE(15,6,(ROW('Product Master'!$A$7:$A$1000)-ROW('Product Master'!$A$7)+1)/(('Product Master'!$A$7:$A$1000&lt;&gt;"")*('Product Master'!$P$7:$P$1000="Out of Stock")),ROWS($I$12:I446))),"")</f>
        <v/>
      </c>
      <c r="J446" t="str">
        <f>IF($I446="","",INDEX('Product Master'!$B$7:$B$1000,MATCH($I446,'Product Master'!$A$7:$A$1000,0)))</f>
        <v/>
      </c>
      <c r="K446" t="str">
        <f>IF($I446="","",INDEX('Product Master'!$C$7:$C$1000,MATCH($I446,'Product Master'!$A$7:$A$1000,0)))</f>
        <v/>
      </c>
      <c r="L446" t="str">
        <f>IF($I446="","",INDEX('Product Master'!$M$7:$M$1000,MATCH($I446,'Product Master'!$A$7:$A$1000,0)))</f>
        <v/>
      </c>
      <c r="M446" t="str">
        <f>IF($I446="","",INDEX('Product Master'!$N$7:$N$1000,MATCH($I446,'Product Master'!$A$7:$A$1000,0)))</f>
        <v/>
      </c>
    </row>
    <row r="447" spans="1:13" x14ac:dyDescent="0.3">
      <c r="A447" t="str">
        <f>IFERROR(INDEX('Product Master'!$A$7:$A$1000,_xlfn.AGGREGATE(15,6,(ROW('Product Master'!$A$7:$A$1000)-ROW('Product Master'!$A$7)+1)/(('Product Master'!$A$7:$A$1000&lt;&gt;"")*('Product Master'!$P$7:$P$1000="Low Stock")),ROWS($A$12:A447))),"")</f>
        <v/>
      </c>
      <c r="B447" t="str">
        <f>IF($A447="","",INDEX('Product Master'!$B$7:$B$1000,MATCH($A447,'Product Master'!$A$7:$A$1000,0)))</f>
        <v/>
      </c>
      <c r="C447" t="str">
        <f>IF($A447="","",INDEX('Product Master'!$C$7:$C$1000,MATCH($A447,'Product Master'!$A$7:$A$1000,0)))</f>
        <v/>
      </c>
      <c r="D447" t="str">
        <f>IF($A447="","",INDEX('Product Master'!$M$7:$M$1000,MATCH($A447,'Product Master'!$A$7:$A$1000,0)))</f>
        <v/>
      </c>
      <c r="E447" t="str">
        <f>IF($A447="","",INDEX('Product Master'!$N$7:$N$1000,MATCH($A447,'Product Master'!$A$7:$A$1000,0)))</f>
        <v/>
      </c>
      <c r="F447" t="str">
        <f>IF($A447="","",INDEX('Product Master'!$P$7:$P$1000,MATCH($A447,'Product Master'!$A$7:$A$1000,0)))</f>
        <v/>
      </c>
      <c r="I447" t="str">
        <f>IFERROR(INDEX('Product Master'!$A$7:$A$1000,_xlfn.AGGREGATE(15,6,(ROW('Product Master'!$A$7:$A$1000)-ROW('Product Master'!$A$7)+1)/(('Product Master'!$A$7:$A$1000&lt;&gt;"")*('Product Master'!$P$7:$P$1000="Out of Stock")),ROWS($I$12:I447))),"")</f>
        <v/>
      </c>
      <c r="J447" t="str">
        <f>IF($I447="","",INDEX('Product Master'!$B$7:$B$1000,MATCH($I447,'Product Master'!$A$7:$A$1000,0)))</f>
        <v/>
      </c>
      <c r="K447" t="str">
        <f>IF($I447="","",INDEX('Product Master'!$C$7:$C$1000,MATCH($I447,'Product Master'!$A$7:$A$1000,0)))</f>
        <v/>
      </c>
      <c r="L447" t="str">
        <f>IF($I447="","",INDEX('Product Master'!$M$7:$M$1000,MATCH($I447,'Product Master'!$A$7:$A$1000,0)))</f>
        <v/>
      </c>
      <c r="M447" t="str">
        <f>IF($I447="","",INDEX('Product Master'!$N$7:$N$1000,MATCH($I447,'Product Master'!$A$7:$A$1000,0)))</f>
        <v/>
      </c>
    </row>
    <row r="448" spans="1:13" x14ac:dyDescent="0.3">
      <c r="A448" t="str">
        <f>IFERROR(INDEX('Product Master'!$A$7:$A$1000,_xlfn.AGGREGATE(15,6,(ROW('Product Master'!$A$7:$A$1000)-ROW('Product Master'!$A$7)+1)/(('Product Master'!$A$7:$A$1000&lt;&gt;"")*('Product Master'!$P$7:$P$1000="Low Stock")),ROWS($A$12:A448))),"")</f>
        <v/>
      </c>
      <c r="B448" t="str">
        <f>IF($A448="","",INDEX('Product Master'!$B$7:$B$1000,MATCH($A448,'Product Master'!$A$7:$A$1000,0)))</f>
        <v/>
      </c>
      <c r="C448" t="str">
        <f>IF($A448="","",INDEX('Product Master'!$C$7:$C$1000,MATCH($A448,'Product Master'!$A$7:$A$1000,0)))</f>
        <v/>
      </c>
      <c r="D448" t="str">
        <f>IF($A448="","",INDEX('Product Master'!$M$7:$M$1000,MATCH($A448,'Product Master'!$A$7:$A$1000,0)))</f>
        <v/>
      </c>
      <c r="E448" t="str">
        <f>IF($A448="","",INDEX('Product Master'!$N$7:$N$1000,MATCH($A448,'Product Master'!$A$7:$A$1000,0)))</f>
        <v/>
      </c>
      <c r="F448" t="str">
        <f>IF($A448="","",INDEX('Product Master'!$P$7:$P$1000,MATCH($A448,'Product Master'!$A$7:$A$1000,0)))</f>
        <v/>
      </c>
      <c r="I448" t="str">
        <f>IFERROR(INDEX('Product Master'!$A$7:$A$1000,_xlfn.AGGREGATE(15,6,(ROW('Product Master'!$A$7:$A$1000)-ROW('Product Master'!$A$7)+1)/(('Product Master'!$A$7:$A$1000&lt;&gt;"")*('Product Master'!$P$7:$P$1000="Out of Stock")),ROWS($I$12:I448))),"")</f>
        <v/>
      </c>
      <c r="J448" t="str">
        <f>IF($I448="","",INDEX('Product Master'!$B$7:$B$1000,MATCH($I448,'Product Master'!$A$7:$A$1000,0)))</f>
        <v/>
      </c>
      <c r="K448" t="str">
        <f>IF($I448="","",INDEX('Product Master'!$C$7:$C$1000,MATCH($I448,'Product Master'!$A$7:$A$1000,0)))</f>
        <v/>
      </c>
      <c r="L448" t="str">
        <f>IF($I448="","",INDEX('Product Master'!$M$7:$M$1000,MATCH($I448,'Product Master'!$A$7:$A$1000,0)))</f>
        <v/>
      </c>
      <c r="M448" t="str">
        <f>IF($I448="","",INDEX('Product Master'!$N$7:$N$1000,MATCH($I448,'Product Master'!$A$7:$A$1000,0)))</f>
        <v/>
      </c>
    </row>
    <row r="449" spans="1:13" x14ac:dyDescent="0.3">
      <c r="A449" t="str">
        <f>IFERROR(INDEX('Product Master'!$A$7:$A$1000,_xlfn.AGGREGATE(15,6,(ROW('Product Master'!$A$7:$A$1000)-ROW('Product Master'!$A$7)+1)/(('Product Master'!$A$7:$A$1000&lt;&gt;"")*('Product Master'!$P$7:$P$1000="Low Stock")),ROWS($A$12:A449))),"")</f>
        <v/>
      </c>
      <c r="B449" t="str">
        <f>IF($A449="","",INDEX('Product Master'!$B$7:$B$1000,MATCH($A449,'Product Master'!$A$7:$A$1000,0)))</f>
        <v/>
      </c>
      <c r="C449" t="str">
        <f>IF($A449="","",INDEX('Product Master'!$C$7:$C$1000,MATCH($A449,'Product Master'!$A$7:$A$1000,0)))</f>
        <v/>
      </c>
      <c r="D449" t="str">
        <f>IF($A449="","",INDEX('Product Master'!$M$7:$M$1000,MATCH($A449,'Product Master'!$A$7:$A$1000,0)))</f>
        <v/>
      </c>
      <c r="E449" t="str">
        <f>IF($A449="","",INDEX('Product Master'!$N$7:$N$1000,MATCH($A449,'Product Master'!$A$7:$A$1000,0)))</f>
        <v/>
      </c>
      <c r="F449" t="str">
        <f>IF($A449="","",INDEX('Product Master'!$P$7:$P$1000,MATCH($A449,'Product Master'!$A$7:$A$1000,0)))</f>
        <v/>
      </c>
      <c r="I449" t="str">
        <f>IFERROR(INDEX('Product Master'!$A$7:$A$1000,_xlfn.AGGREGATE(15,6,(ROW('Product Master'!$A$7:$A$1000)-ROW('Product Master'!$A$7)+1)/(('Product Master'!$A$7:$A$1000&lt;&gt;"")*('Product Master'!$P$7:$P$1000="Out of Stock")),ROWS($I$12:I449))),"")</f>
        <v/>
      </c>
      <c r="J449" t="str">
        <f>IF($I449="","",INDEX('Product Master'!$B$7:$B$1000,MATCH($I449,'Product Master'!$A$7:$A$1000,0)))</f>
        <v/>
      </c>
      <c r="K449" t="str">
        <f>IF($I449="","",INDEX('Product Master'!$C$7:$C$1000,MATCH($I449,'Product Master'!$A$7:$A$1000,0)))</f>
        <v/>
      </c>
      <c r="L449" t="str">
        <f>IF($I449="","",INDEX('Product Master'!$M$7:$M$1000,MATCH($I449,'Product Master'!$A$7:$A$1000,0)))</f>
        <v/>
      </c>
      <c r="M449" t="str">
        <f>IF($I449="","",INDEX('Product Master'!$N$7:$N$1000,MATCH($I449,'Product Master'!$A$7:$A$1000,0)))</f>
        <v/>
      </c>
    </row>
    <row r="450" spans="1:13" x14ac:dyDescent="0.3">
      <c r="A450" t="str">
        <f>IFERROR(INDEX('Product Master'!$A$7:$A$1000,_xlfn.AGGREGATE(15,6,(ROW('Product Master'!$A$7:$A$1000)-ROW('Product Master'!$A$7)+1)/(('Product Master'!$A$7:$A$1000&lt;&gt;"")*('Product Master'!$P$7:$P$1000="Low Stock")),ROWS($A$12:A450))),"")</f>
        <v/>
      </c>
      <c r="B450" t="str">
        <f>IF($A450="","",INDEX('Product Master'!$B$7:$B$1000,MATCH($A450,'Product Master'!$A$7:$A$1000,0)))</f>
        <v/>
      </c>
      <c r="C450" t="str">
        <f>IF($A450="","",INDEX('Product Master'!$C$7:$C$1000,MATCH($A450,'Product Master'!$A$7:$A$1000,0)))</f>
        <v/>
      </c>
      <c r="D450" t="str">
        <f>IF($A450="","",INDEX('Product Master'!$M$7:$M$1000,MATCH($A450,'Product Master'!$A$7:$A$1000,0)))</f>
        <v/>
      </c>
      <c r="E450" t="str">
        <f>IF($A450="","",INDEX('Product Master'!$N$7:$N$1000,MATCH($A450,'Product Master'!$A$7:$A$1000,0)))</f>
        <v/>
      </c>
      <c r="F450" t="str">
        <f>IF($A450="","",INDEX('Product Master'!$P$7:$P$1000,MATCH($A450,'Product Master'!$A$7:$A$1000,0)))</f>
        <v/>
      </c>
      <c r="I450" t="str">
        <f>IFERROR(INDEX('Product Master'!$A$7:$A$1000,_xlfn.AGGREGATE(15,6,(ROW('Product Master'!$A$7:$A$1000)-ROW('Product Master'!$A$7)+1)/(('Product Master'!$A$7:$A$1000&lt;&gt;"")*('Product Master'!$P$7:$P$1000="Out of Stock")),ROWS($I$12:I450))),"")</f>
        <v/>
      </c>
      <c r="J450" t="str">
        <f>IF($I450="","",INDEX('Product Master'!$B$7:$B$1000,MATCH($I450,'Product Master'!$A$7:$A$1000,0)))</f>
        <v/>
      </c>
      <c r="K450" t="str">
        <f>IF($I450="","",INDEX('Product Master'!$C$7:$C$1000,MATCH($I450,'Product Master'!$A$7:$A$1000,0)))</f>
        <v/>
      </c>
      <c r="L450" t="str">
        <f>IF($I450="","",INDEX('Product Master'!$M$7:$M$1000,MATCH($I450,'Product Master'!$A$7:$A$1000,0)))</f>
        <v/>
      </c>
      <c r="M450" t="str">
        <f>IF($I450="","",INDEX('Product Master'!$N$7:$N$1000,MATCH($I450,'Product Master'!$A$7:$A$1000,0)))</f>
        <v/>
      </c>
    </row>
    <row r="451" spans="1:13" x14ac:dyDescent="0.3">
      <c r="A451" t="str">
        <f>IFERROR(INDEX('Product Master'!$A$7:$A$1000,_xlfn.AGGREGATE(15,6,(ROW('Product Master'!$A$7:$A$1000)-ROW('Product Master'!$A$7)+1)/(('Product Master'!$A$7:$A$1000&lt;&gt;"")*('Product Master'!$P$7:$P$1000="Low Stock")),ROWS($A$12:A451))),"")</f>
        <v/>
      </c>
      <c r="B451" t="str">
        <f>IF($A451="","",INDEX('Product Master'!$B$7:$B$1000,MATCH($A451,'Product Master'!$A$7:$A$1000,0)))</f>
        <v/>
      </c>
      <c r="C451" t="str">
        <f>IF($A451="","",INDEX('Product Master'!$C$7:$C$1000,MATCH($A451,'Product Master'!$A$7:$A$1000,0)))</f>
        <v/>
      </c>
      <c r="D451" t="str">
        <f>IF($A451="","",INDEX('Product Master'!$M$7:$M$1000,MATCH($A451,'Product Master'!$A$7:$A$1000,0)))</f>
        <v/>
      </c>
      <c r="E451" t="str">
        <f>IF($A451="","",INDEX('Product Master'!$N$7:$N$1000,MATCH($A451,'Product Master'!$A$7:$A$1000,0)))</f>
        <v/>
      </c>
      <c r="F451" t="str">
        <f>IF($A451="","",INDEX('Product Master'!$P$7:$P$1000,MATCH($A451,'Product Master'!$A$7:$A$1000,0)))</f>
        <v/>
      </c>
      <c r="I451" t="str">
        <f>IFERROR(INDEX('Product Master'!$A$7:$A$1000,_xlfn.AGGREGATE(15,6,(ROW('Product Master'!$A$7:$A$1000)-ROW('Product Master'!$A$7)+1)/(('Product Master'!$A$7:$A$1000&lt;&gt;"")*('Product Master'!$P$7:$P$1000="Out of Stock")),ROWS($I$12:I451))),"")</f>
        <v/>
      </c>
      <c r="J451" t="str">
        <f>IF($I451="","",INDEX('Product Master'!$B$7:$B$1000,MATCH($I451,'Product Master'!$A$7:$A$1000,0)))</f>
        <v/>
      </c>
      <c r="K451" t="str">
        <f>IF($I451="","",INDEX('Product Master'!$C$7:$C$1000,MATCH($I451,'Product Master'!$A$7:$A$1000,0)))</f>
        <v/>
      </c>
      <c r="L451" t="str">
        <f>IF($I451="","",INDEX('Product Master'!$M$7:$M$1000,MATCH($I451,'Product Master'!$A$7:$A$1000,0)))</f>
        <v/>
      </c>
      <c r="M451" t="str">
        <f>IF($I451="","",INDEX('Product Master'!$N$7:$N$1000,MATCH($I451,'Product Master'!$A$7:$A$1000,0)))</f>
        <v/>
      </c>
    </row>
    <row r="452" spans="1:13" x14ac:dyDescent="0.3">
      <c r="A452" t="str">
        <f>IFERROR(INDEX('Product Master'!$A$7:$A$1000,_xlfn.AGGREGATE(15,6,(ROW('Product Master'!$A$7:$A$1000)-ROW('Product Master'!$A$7)+1)/(('Product Master'!$A$7:$A$1000&lt;&gt;"")*('Product Master'!$P$7:$P$1000="Low Stock")),ROWS($A$12:A452))),"")</f>
        <v/>
      </c>
      <c r="B452" t="str">
        <f>IF($A452="","",INDEX('Product Master'!$B$7:$B$1000,MATCH($A452,'Product Master'!$A$7:$A$1000,0)))</f>
        <v/>
      </c>
      <c r="C452" t="str">
        <f>IF($A452="","",INDEX('Product Master'!$C$7:$C$1000,MATCH($A452,'Product Master'!$A$7:$A$1000,0)))</f>
        <v/>
      </c>
      <c r="D452" t="str">
        <f>IF($A452="","",INDEX('Product Master'!$M$7:$M$1000,MATCH($A452,'Product Master'!$A$7:$A$1000,0)))</f>
        <v/>
      </c>
      <c r="E452" t="str">
        <f>IF($A452="","",INDEX('Product Master'!$N$7:$N$1000,MATCH($A452,'Product Master'!$A$7:$A$1000,0)))</f>
        <v/>
      </c>
      <c r="F452" t="str">
        <f>IF($A452="","",INDEX('Product Master'!$P$7:$P$1000,MATCH($A452,'Product Master'!$A$7:$A$1000,0)))</f>
        <v/>
      </c>
      <c r="I452" t="str">
        <f>IFERROR(INDEX('Product Master'!$A$7:$A$1000,_xlfn.AGGREGATE(15,6,(ROW('Product Master'!$A$7:$A$1000)-ROW('Product Master'!$A$7)+1)/(('Product Master'!$A$7:$A$1000&lt;&gt;"")*('Product Master'!$P$7:$P$1000="Out of Stock")),ROWS($I$12:I452))),"")</f>
        <v/>
      </c>
      <c r="J452" t="str">
        <f>IF($I452="","",INDEX('Product Master'!$B$7:$B$1000,MATCH($I452,'Product Master'!$A$7:$A$1000,0)))</f>
        <v/>
      </c>
      <c r="K452" t="str">
        <f>IF($I452="","",INDEX('Product Master'!$C$7:$C$1000,MATCH($I452,'Product Master'!$A$7:$A$1000,0)))</f>
        <v/>
      </c>
      <c r="L452" t="str">
        <f>IF($I452="","",INDEX('Product Master'!$M$7:$M$1000,MATCH($I452,'Product Master'!$A$7:$A$1000,0)))</f>
        <v/>
      </c>
      <c r="M452" t="str">
        <f>IF($I452="","",INDEX('Product Master'!$N$7:$N$1000,MATCH($I452,'Product Master'!$A$7:$A$1000,0)))</f>
        <v/>
      </c>
    </row>
    <row r="453" spans="1:13" x14ac:dyDescent="0.3">
      <c r="A453" t="str">
        <f>IFERROR(INDEX('Product Master'!$A$7:$A$1000,_xlfn.AGGREGATE(15,6,(ROW('Product Master'!$A$7:$A$1000)-ROW('Product Master'!$A$7)+1)/(('Product Master'!$A$7:$A$1000&lt;&gt;"")*('Product Master'!$P$7:$P$1000="Low Stock")),ROWS($A$12:A453))),"")</f>
        <v/>
      </c>
      <c r="B453" t="str">
        <f>IF($A453="","",INDEX('Product Master'!$B$7:$B$1000,MATCH($A453,'Product Master'!$A$7:$A$1000,0)))</f>
        <v/>
      </c>
      <c r="C453" t="str">
        <f>IF($A453="","",INDEX('Product Master'!$C$7:$C$1000,MATCH($A453,'Product Master'!$A$7:$A$1000,0)))</f>
        <v/>
      </c>
      <c r="D453" t="str">
        <f>IF($A453="","",INDEX('Product Master'!$M$7:$M$1000,MATCH($A453,'Product Master'!$A$7:$A$1000,0)))</f>
        <v/>
      </c>
      <c r="E453" t="str">
        <f>IF($A453="","",INDEX('Product Master'!$N$7:$N$1000,MATCH($A453,'Product Master'!$A$7:$A$1000,0)))</f>
        <v/>
      </c>
      <c r="F453" t="str">
        <f>IF($A453="","",INDEX('Product Master'!$P$7:$P$1000,MATCH($A453,'Product Master'!$A$7:$A$1000,0)))</f>
        <v/>
      </c>
      <c r="I453" t="str">
        <f>IFERROR(INDEX('Product Master'!$A$7:$A$1000,_xlfn.AGGREGATE(15,6,(ROW('Product Master'!$A$7:$A$1000)-ROW('Product Master'!$A$7)+1)/(('Product Master'!$A$7:$A$1000&lt;&gt;"")*('Product Master'!$P$7:$P$1000="Out of Stock")),ROWS($I$12:I453))),"")</f>
        <v/>
      </c>
      <c r="J453" t="str">
        <f>IF($I453="","",INDEX('Product Master'!$B$7:$B$1000,MATCH($I453,'Product Master'!$A$7:$A$1000,0)))</f>
        <v/>
      </c>
      <c r="K453" t="str">
        <f>IF($I453="","",INDEX('Product Master'!$C$7:$C$1000,MATCH($I453,'Product Master'!$A$7:$A$1000,0)))</f>
        <v/>
      </c>
      <c r="L453" t="str">
        <f>IF($I453="","",INDEX('Product Master'!$M$7:$M$1000,MATCH($I453,'Product Master'!$A$7:$A$1000,0)))</f>
        <v/>
      </c>
      <c r="M453" t="str">
        <f>IF($I453="","",INDEX('Product Master'!$N$7:$N$1000,MATCH($I453,'Product Master'!$A$7:$A$1000,0)))</f>
        <v/>
      </c>
    </row>
    <row r="454" spans="1:13" x14ac:dyDescent="0.3">
      <c r="A454" t="str">
        <f>IFERROR(INDEX('Product Master'!$A$7:$A$1000,_xlfn.AGGREGATE(15,6,(ROW('Product Master'!$A$7:$A$1000)-ROW('Product Master'!$A$7)+1)/(('Product Master'!$A$7:$A$1000&lt;&gt;"")*('Product Master'!$P$7:$P$1000="Low Stock")),ROWS($A$12:A454))),"")</f>
        <v/>
      </c>
      <c r="B454" t="str">
        <f>IF($A454="","",INDEX('Product Master'!$B$7:$B$1000,MATCH($A454,'Product Master'!$A$7:$A$1000,0)))</f>
        <v/>
      </c>
      <c r="C454" t="str">
        <f>IF($A454="","",INDEX('Product Master'!$C$7:$C$1000,MATCH($A454,'Product Master'!$A$7:$A$1000,0)))</f>
        <v/>
      </c>
      <c r="D454" t="str">
        <f>IF($A454="","",INDEX('Product Master'!$M$7:$M$1000,MATCH($A454,'Product Master'!$A$7:$A$1000,0)))</f>
        <v/>
      </c>
      <c r="E454" t="str">
        <f>IF($A454="","",INDEX('Product Master'!$N$7:$N$1000,MATCH($A454,'Product Master'!$A$7:$A$1000,0)))</f>
        <v/>
      </c>
      <c r="F454" t="str">
        <f>IF($A454="","",INDEX('Product Master'!$P$7:$P$1000,MATCH($A454,'Product Master'!$A$7:$A$1000,0)))</f>
        <v/>
      </c>
      <c r="I454" t="str">
        <f>IFERROR(INDEX('Product Master'!$A$7:$A$1000,_xlfn.AGGREGATE(15,6,(ROW('Product Master'!$A$7:$A$1000)-ROW('Product Master'!$A$7)+1)/(('Product Master'!$A$7:$A$1000&lt;&gt;"")*('Product Master'!$P$7:$P$1000="Out of Stock")),ROWS($I$12:I454))),"")</f>
        <v/>
      </c>
      <c r="J454" t="str">
        <f>IF($I454="","",INDEX('Product Master'!$B$7:$B$1000,MATCH($I454,'Product Master'!$A$7:$A$1000,0)))</f>
        <v/>
      </c>
      <c r="K454" t="str">
        <f>IF($I454="","",INDEX('Product Master'!$C$7:$C$1000,MATCH($I454,'Product Master'!$A$7:$A$1000,0)))</f>
        <v/>
      </c>
      <c r="L454" t="str">
        <f>IF($I454="","",INDEX('Product Master'!$M$7:$M$1000,MATCH($I454,'Product Master'!$A$7:$A$1000,0)))</f>
        <v/>
      </c>
      <c r="M454" t="str">
        <f>IF($I454="","",INDEX('Product Master'!$N$7:$N$1000,MATCH($I454,'Product Master'!$A$7:$A$1000,0)))</f>
        <v/>
      </c>
    </row>
    <row r="455" spans="1:13" x14ac:dyDescent="0.3">
      <c r="A455" t="str">
        <f>IFERROR(INDEX('Product Master'!$A$7:$A$1000,_xlfn.AGGREGATE(15,6,(ROW('Product Master'!$A$7:$A$1000)-ROW('Product Master'!$A$7)+1)/(('Product Master'!$A$7:$A$1000&lt;&gt;"")*('Product Master'!$P$7:$P$1000="Low Stock")),ROWS($A$12:A455))),"")</f>
        <v/>
      </c>
      <c r="B455" t="str">
        <f>IF($A455="","",INDEX('Product Master'!$B$7:$B$1000,MATCH($A455,'Product Master'!$A$7:$A$1000,0)))</f>
        <v/>
      </c>
      <c r="C455" t="str">
        <f>IF($A455="","",INDEX('Product Master'!$C$7:$C$1000,MATCH($A455,'Product Master'!$A$7:$A$1000,0)))</f>
        <v/>
      </c>
      <c r="D455" t="str">
        <f>IF($A455="","",INDEX('Product Master'!$M$7:$M$1000,MATCH($A455,'Product Master'!$A$7:$A$1000,0)))</f>
        <v/>
      </c>
      <c r="E455" t="str">
        <f>IF($A455="","",INDEX('Product Master'!$N$7:$N$1000,MATCH($A455,'Product Master'!$A$7:$A$1000,0)))</f>
        <v/>
      </c>
      <c r="F455" t="str">
        <f>IF($A455="","",INDEX('Product Master'!$P$7:$P$1000,MATCH($A455,'Product Master'!$A$7:$A$1000,0)))</f>
        <v/>
      </c>
      <c r="I455" t="str">
        <f>IFERROR(INDEX('Product Master'!$A$7:$A$1000,_xlfn.AGGREGATE(15,6,(ROW('Product Master'!$A$7:$A$1000)-ROW('Product Master'!$A$7)+1)/(('Product Master'!$A$7:$A$1000&lt;&gt;"")*('Product Master'!$P$7:$P$1000="Out of Stock")),ROWS($I$12:I455))),"")</f>
        <v/>
      </c>
      <c r="J455" t="str">
        <f>IF($I455="","",INDEX('Product Master'!$B$7:$B$1000,MATCH($I455,'Product Master'!$A$7:$A$1000,0)))</f>
        <v/>
      </c>
      <c r="K455" t="str">
        <f>IF($I455="","",INDEX('Product Master'!$C$7:$C$1000,MATCH($I455,'Product Master'!$A$7:$A$1000,0)))</f>
        <v/>
      </c>
      <c r="L455" t="str">
        <f>IF($I455="","",INDEX('Product Master'!$M$7:$M$1000,MATCH($I455,'Product Master'!$A$7:$A$1000,0)))</f>
        <v/>
      </c>
      <c r="M455" t="str">
        <f>IF($I455="","",INDEX('Product Master'!$N$7:$N$1000,MATCH($I455,'Product Master'!$A$7:$A$1000,0)))</f>
        <v/>
      </c>
    </row>
    <row r="456" spans="1:13" x14ac:dyDescent="0.3">
      <c r="A456" t="str">
        <f>IFERROR(INDEX('Product Master'!$A$7:$A$1000,_xlfn.AGGREGATE(15,6,(ROW('Product Master'!$A$7:$A$1000)-ROW('Product Master'!$A$7)+1)/(('Product Master'!$A$7:$A$1000&lt;&gt;"")*('Product Master'!$P$7:$P$1000="Low Stock")),ROWS($A$12:A456))),"")</f>
        <v/>
      </c>
      <c r="B456" t="str">
        <f>IF($A456="","",INDEX('Product Master'!$B$7:$B$1000,MATCH($A456,'Product Master'!$A$7:$A$1000,0)))</f>
        <v/>
      </c>
      <c r="C456" t="str">
        <f>IF($A456="","",INDEX('Product Master'!$C$7:$C$1000,MATCH($A456,'Product Master'!$A$7:$A$1000,0)))</f>
        <v/>
      </c>
      <c r="D456" t="str">
        <f>IF($A456="","",INDEX('Product Master'!$M$7:$M$1000,MATCH($A456,'Product Master'!$A$7:$A$1000,0)))</f>
        <v/>
      </c>
      <c r="E456" t="str">
        <f>IF($A456="","",INDEX('Product Master'!$N$7:$N$1000,MATCH($A456,'Product Master'!$A$7:$A$1000,0)))</f>
        <v/>
      </c>
      <c r="F456" t="str">
        <f>IF($A456="","",INDEX('Product Master'!$P$7:$P$1000,MATCH($A456,'Product Master'!$A$7:$A$1000,0)))</f>
        <v/>
      </c>
      <c r="I456" t="str">
        <f>IFERROR(INDEX('Product Master'!$A$7:$A$1000,_xlfn.AGGREGATE(15,6,(ROW('Product Master'!$A$7:$A$1000)-ROW('Product Master'!$A$7)+1)/(('Product Master'!$A$7:$A$1000&lt;&gt;"")*('Product Master'!$P$7:$P$1000="Out of Stock")),ROWS($I$12:I456))),"")</f>
        <v/>
      </c>
      <c r="J456" t="str">
        <f>IF($I456="","",INDEX('Product Master'!$B$7:$B$1000,MATCH($I456,'Product Master'!$A$7:$A$1000,0)))</f>
        <v/>
      </c>
      <c r="K456" t="str">
        <f>IF($I456="","",INDEX('Product Master'!$C$7:$C$1000,MATCH($I456,'Product Master'!$A$7:$A$1000,0)))</f>
        <v/>
      </c>
      <c r="L456" t="str">
        <f>IF($I456="","",INDEX('Product Master'!$M$7:$M$1000,MATCH($I456,'Product Master'!$A$7:$A$1000,0)))</f>
        <v/>
      </c>
      <c r="M456" t="str">
        <f>IF($I456="","",INDEX('Product Master'!$N$7:$N$1000,MATCH($I456,'Product Master'!$A$7:$A$1000,0)))</f>
        <v/>
      </c>
    </row>
    <row r="457" spans="1:13" x14ac:dyDescent="0.3">
      <c r="A457" t="str">
        <f>IFERROR(INDEX('Product Master'!$A$7:$A$1000,_xlfn.AGGREGATE(15,6,(ROW('Product Master'!$A$7:$A$1000)-ROW('Product Master'!$A$7)+1)/(('Product Master'!$A$7:$A$1000&lt;&gt;"")*('Product Master'!$P$7:$P$1000="Low Stock")),ROWS($A$12:A457))),"")</f>
        <v/>
      </c>
      <c r="B457" t="str">
        <f>IF($A457="","",INDEX('Product Master'!$B$7:$B$1000,MATCH($A457,'Product Master'!$A$7:$A$1000,0)))</f>
        <v/>
      </c>
      <c r="C457" t="str">
        <f>IF($A457="","",INDEX('Product Master'!$C$7:$C$1000,MATCH($A457,'Product Master'!$A$7:$A$1000,0)))</f>
        <v/>
      </c>
      <c r="D457" t="str">
        <f>IF($A457="","",INDEX('Product Master'!$M$7:$M$1000,MATCH($A457,'Product Master'!$A$7:$A$1000,0)))</f>
        <v/>
      </c>
      <c r="E457" t="str">
        <f>IF($A457="","",INDEX('Product Master'!$N$7:$N$1000,MATCH($A457,'Product Master'!$A$7:$A$1000,0)))</f>
        <v/>
      </c>
      <c r="F457" t="str">
        <f>IF($A457="","",INDEX('Product Master'!$P$7:$P$1000,MATCH($A457,'Product Master'!$A$7:$A$1000,0)))</f>
        <v/>
      </c>
      <c r="I457" t="str">
        <f>IFERROR(INDEX('Product Master'!$A$7:$A$1000,_xlfn.AGGREGATE(15,6,(ROW('Product Master'!$A$7:$A$1000)-ROW('Product Master'!$A$7)+1)/(('Product Master'!$A$7:$A$1000&lt;&gt;"")*('Product Master'!$P$7:$P$1000="Out of Stock")),ROWS($I$12:I457))),"")</f>
        <v/>
      </c>
      <c r="J457" t="str">
        <f>IF($I457="","",INDEX('Product Master'!$B$7:$B$1000,MATCH($I457,'Product Master'!$A$7:$A$1000,0)))</f>
        <v/>
      </c>
      <c r="K457" t="str">
        <f>IF($I457="","",INDEX('Product Master'!$C$7:$C$1000,MATCH($I457,'Product Master'!$A$7:$A$1000,0)))</f>
        <v/>
      </c>
      <c r="L457" t="str">
        <f>IF($I457="","",INDEX('Product Master'!$M$7:$M$1000,MATCH($I457,'Product Master'!$A$7:$A$1000,0)))</f>
        <v/>
      </c>
      <c r="M457" t="str">
        <f>IF($I457="","",INDEX('Product Master'!$N$7:$N$1000,MATCH($I457,'Product Master'!$A$7:$A$1000,0)))</f>
        <v/>
      </c>
    </row>
    <row r="458" spans="1:13" x14ac:dyDescent="0.3">
      <c r="A458" t="str">
        <f>IFERROR(INDEX('Product Master'!$A$7:$A$1000,_xlfn.AGGREGATE(15,6,(ROW('Product Master'!$A$7:$A$1000)-ROW('Product Master'!$A$7)+1)/(('Product Master'!$A$7:$A$1000&lt;&gt;"")*('Product Master'!$P$7:$P$1000="Low Stock")),ROWS($A$12:A458))),"")</f>
        <v/>
      </c>
      <c r="B458" t="str">
        <f>IF($A458="","",INDEX('Product Master'!$B$7:$B$1000,MATCH($A458,'Product Master'!$A$7:$A$1000,0)))</f>
        <v/>
      </c>
      <c r="C458" t="str">
        <f>IF($A458="","",INDEX('Product Master'!$C$7:$C$1000,MATCH($A458,'Product Master'!$A$7:$A$1000,0)))</f>
        <v/>
      </c>
      <c r="D458" t="str">
        <f>IF($A458="","",INDEX('Product Master'!$M$7:$M$1000,MATCH($A458,'Product Master'!$A$7:$A$1000,0)))</f>
        <v/>
      </c>
      <c r="E458" t="str">
        <f>IF($A458="","",INDEX('Product Master'!$N$7:$N$1000,MATCH($A458,'Product Master'!$A$7:$A$1000,0)))</f>
        <v/>
      </c>
      <c r="F458" t="str">
        <f>IF($A458="","",INDEX('Product Master'!$P$7:$P$1000,MATCH($A458,'Product Master'!$A$7:$A$1000,0)))</f>
        <v/>
      </c>
      <c r="I458" t="str">
        <f>IFERROR(INDEX('Product Master'!$A$7:$A$1000,_xlfn.AGGREGATE(15,6,(ROW('Product Master'!$A$7:$A$1000)-ROW('Product Master'!$A$7)+1)/(('Product Master'!$A$7:$A$1000&lt;&gt;"")*('Product Master'!$P$7:$P$1000="Out of Stock")),ROWS($I$12:I458))),"")</f>
        <v/>
      </c>
      <c r="J458" t="str">
        <f>IF($I458="","",INDEX('Product Master'!$B$7:$B$1000,MATCH($I458,'Product Master'!$A$7:$A$1000,0)))</f>
        <v/>
      </c>
      <c r="K458" t="str">
        <f>IF($I458="","",INDEX('Product Master'!$C$7:$C$1000,MATCH($I458,'Product Master'!$A$7:$A$1000,0)))</f>
        <v/>
      </c>
      <c r="L458" t="str">
        <f>IF($I458="","",INDEX('Product Master'!$M$7:$M$1000,MATCH($I458,'Product Master'!$A$7:$A$1000,0)))</f>
        <v/>
      </c>
      <c r="M458" t="str">
        <f>IF($I458="","",INDEX('Product Master'!$N$7:$N$1000,MATCH($I458,'Product Master'!$A$7:$A$1000,0)))</f>
        <v/>
      </c>
    </row>
    <row r="459" spans="1:13" x14ac:dyDescent="0.3">
      <c r="A459" t="str">
        <f>IFERROR(INDEX('Product Master'!$A$7:$A$1000,_xlfn.AGGREGATE(15,6,(ROW('Product Master'!$A$7:$A$1000)-ROW('Product Master'!$A$7)+1)/(('Product Master'!$A$7:$A$1000&lt;&gt;"")*('Product Master'!$P$7:$P$1000="Low Stock")),ROWS($A$12:A459))),"")</f>
        <v/>
      </c>
      <c r="B459" t="str">
        <f>IF($A459="","",INDEX('Product Master'!$B$7:$B$1000,MATCH($A459,'Product Master'!$A$7:$A$1000,0)))</f>
        <v/>
      </c>
      <c r="C459" t="str">
        <f>IF($A459="","",INDEX('Product Master'!$C$7:$C$1000,MATCH($A459,'Product Master'!$A$7:$A$1000,0)))</f>
        <v/>
      </c>
      <c r="D459" t="str">
        <f>IF($A459="","",INDEX('Product Master'!$M$7:$M$1000,MATCH($A459,'Product Master'!$A$7:$A$1000,0)))</f>
        <v/>
      </c>
      <c r="E459" t="str">
        <f>IF($A459="","",INDEX('Product Master'!$N$7:$N$1000,MATCH($A459,'Product Master'!$A$7:$A$1000,0)))</f>
        <v/>
      </c>
      <c r="F459" t="str">
        <f>IF($A459="","",INDEX('Product Master'!$P$7:$P$1000,MATCH($A459,'Product Master'!$A$7:$A$1000,0)))</f>
        <v/>
      </c>
      <c r="I459" t="str">
        <f>IFERROR(INDEX('Product Master'!$A$7:$A$1000,_xlfn.AGGREGATE(15,6,(ROW('Product Master'!$A$7:$A$1000)-ROW('Product Master'!$A$7)+1)/(('Product Master'!$A$7:$A$1000&lt;&gt;"")*('Product Master'!$P$7:$P$1000="Out of Stock")),ROWS($I$12:I459))),"")</f>
        <v/>
      </c>
      <c r="J459" t="str">
        <f>IF($I459="","",INDEX('Product Master'!$B$7:$B$1000,MATCH($I459,'Product Master'!$A$7:$A$1000,0)))</f>
        <v/>
      </c>
      <c r="K459" t="str">
        <f>IF($I459="","",INDEX('Product Master'!$C$7:$C$1000,MATCH($I459,'Product Master'!$A$7:$A$1000,0)))</f>
        <v/>
      </c>
      <c r="L459" t="str">
        <f>IF($I459="","",INDEX('Product Master'!$M$7:$M$1000,MATCH($I459,'Product Master'!$A$7:$A$1000,0)))</f>
        <v/>
      </c>
      <c r="M459" t="str">
        <f>IF($I459="","",INDEX('Product Master'!$N$7:$N$1000,MATCH($I459,'Product Master'!$A$7:$A$1000,0)))</f>
        <v/>
      </c>
    </row>
    <row r="460" spans="1:13" x14ac:dyDescent="0.3">
      <c r="A460" t="str">
        <f>IFERROR(INDEX('Product Master'!$A$7:$A$1000,_xlfn.AGGREGATE(15,6,(ROW('Product Master'!$A$7:$A$1000)-ROW('Product Master'!$A$7)+1)/(('Product Master'!$A$7:$A$1000&lt;&gt;"")*('Product Master'!$P$7:$P$1000="Low Stock")),ROWS($A$12:A460))),"")</f>
        <v/>
      </c>
      <c r="B460" t="str">
        <f>IF($A460="","",INDEX('Product Master'!$B$7:$B$1000,MATCH($A460,'Product Master'!$A$7:$A$1000,0)))</f>
        <v/>
      </c>
      <c r="C460" t="str">
        <f>IF($A460="","",INDEX('Product Master'!$C$7:$C$1000,MATCH($A460,'Product Master'!$A$7:$A$1000,0)))</f>
        <v/>
      </c>
      <c r="D460" t="str">
        <f>IF($A460="","",INDEX('Product Master'!$M$7:$M$1000,MATCH($A460,'Product Master'!$A$7:$A$1000,0)))</f>
        <v/>
      </c>
      <c r="E460" t="str">
        <f>IF($A460="","",INDEX('Product Master'!$N$7:$N$1000,MATCH($A460,'Product Master'!$A$7:$A$1000,0)))</f>
        <v/>
      </c>
      <c r="F460" t="str">
        <f>IF($A460="","",INDEX('Product Master'!$P$7:$P$1000,MATCH($A460,'Product Master'!$A$7:$A$1000,0)))</f>
        <v/>
      </c>
      <c r="I460" t="str">
        <f>IFERROR(INDEX('Product Master'!$A$7:$A$1000,_xlfn.AGGREGATE(15,6,(ROW('Product Master'!$A$7:$A$1000)-ROW('Product Master'!$A$7)+1)/(('Product Master'!$A$7:$A$1000&lt;&gt;"")*('Product Master'!$P$7:$P$1000="Out of Stock")),ROWS($I$12:I460))),"")</f>
        <v/>
      </c>
      <c r="J460" t="str">
        <f>IF($I460="","",INDEX('Product Master'!$B$7:$B$1000,MATCH($I460,'Product Master'!$A$7:$A$1000,0)))</f>
        <v/>
      </c>
      <c r="K460" t="str">
        <f>IF($I460="","",INDEX('Product Master'!$C$7:$C$1000,MATCH($I460,'Product Master'!$A$7:$A$1000,0)))</f>
        <v/>
      </c>
      <c r="L460" t="str">
        <f>IF($I460="","",INDEX('Product Master'!$M$7:$M$1000,MATCH($I460,'Product Master'!$A$7:$A$1000,0)))</f>
        <v/>
      </c>
      <c r="M460" t="str">
        <f>IF($I460="","",INDEX('Product Master'!$N$7:$N$1000,MATCH($I460,'Product Master'!$A$7:$A$1000,0)))</f>
        <v/>
      </c>
    </row>
    <row r="461" spans="1:13" x14ac:dyDescent="0.3">
      <c r="A461" t="str">
        <f>IFERROR(INDEX('Product Master'!$A$7:$A$1000,_xlfn.AGGREGATE(15,6,(ROW('Product Master'!$A$7:$A$1000)-ROW('Product Master'!$A$7)+1)/(('Product Master'!$A$7:$A$1000&lt;&gt;"")*('Product Master'!$P$7:$P$1000="Low Stock")),ROWS($A$12:A461))),"")</f>
        <v/>
      </c>
      <c r="B461" t="str">
        <f>IF($A461="","",INDEX('Product Master'!$B$7:$B$1000,MATCH($A461,'Product Master'!$A$7:$A$1000,0)))</f>
        <v/>
      </c>
      <c r="C461" t="str">
        <f>IF($A461="","",INDEX('Product Master'!$C$7:$C$1000,MATCH($A461,'Product Master'!$A$7:$A$1000,0)))</f>
        <v/>
      </c>
      <c r="D461" t="str">
        <f>IF($A461="","",INDEX('Product Master'!$M$7:$M$1000,MATCH($A461,'Product Master'!$A$7:$A$1000,0)))</f>
        <v/>
      </c>
      <c r="E461" t="str">
        <f>IF($A461="","",INDEX('Product Master'!$N$7:$N$1000,MATCH($A461,'Product Master'!$A$7:$A$1000,0)))</f>
        <v/>
      </c>
      <c r="F461" t="str">
        <f>IF($A461="","",INDEX('Product Master'!$P$7:$P$1000,MATCH($A461,'Product Master'!$A$7:$A$1000,0)))</f>
        <v/>
      </c>
      <c r="I461" t="str">
        <f>IFERROR(INDEX('Product Master'!$A$7:$A$1000,_xlfn.AGGREGATE(15,6,(ROW('Product Master'!$A$7:$A$1000)-ROW('Product Master'!$A$7)+1)/(('Product Master'!$A$7:$A$1000&lt;&gt;"")*('Product Master'!$P$7:$P$1000="Out of Stock")),ROWS($I$12:I461))),"")</f>
        <v/>
      </c>
      <c r="J461" t="str">
        <f>IF($I461="","",INDEX('Product Master'!$B$7:$B$1000,MATCH($I461,'Product Master'!$A$7:$A$1000,0)))</f>
        <v/>
      </c>
      <c r="K461" t="str">
        <f>IF($I461="","",INDEX('Product Master'!$C$7:$C$1000,MATCH($I461,'Product Master'!$A$7:$A$1000,0)))</f>
        <v/>
      </c>
      <c r="L461" t="str">
        <f>IF($I461="","",INDEX('Product Master'!$M$7:$M$1000,MATCH($I461,'Product Master'!$A$7:$A$1000,0)))</f>
        <v/>
      </c>
      <c r="M461" t="str">
        <f>IF($I461="","",INDEX('Product Master'!$N$7:$N$1000,MATCH($I461,'Product Master'!$A$7:$A$1000,0)))</f>
        <v/>
      </c>
    </row>
    <row r="462" spans="1:13" x14ac:dyDescent="0.3">
      <c r="A462" t="str">
        <f>IFERROR(INDEX('Product Master'!$A$7:$A$1000,_xlfn.AGGREGATE(15,6,(ROW('Product Master'!$A$7:$A$1000)-ROW('Product Master'!$A$7)+1)/(('Product Master'!$A$7:$A$1000&lt;&gt;"")*('Product Master'!$P$7:$P$1000="Low Stock")),ROWS($A$12:A462))),"")</f>
        <v/>
      </c>
      <c r="B462" t="str">
        <f>IF($A462="","",INDEX('Product Master'!$B$7:$B$1000,MATCH($A462,'Product Master'!$A$7:$A$1000,0)))</f>
        <v/>
      </c>
      <c r="C462" t="str">
        <f>IF($A462="","",INDEX('Product Master'!$C$7:$C$1000,MATCH($A462,'Product Master'!$A$7:$A$1000,0)))</f>
        <v/>
      </c>
      <c r="D462" t="str">
        <f>IF($A462="","",INDEX('Product Master'!$M$7:$M$1000,MATCH($A462,'Product Master'!$A$7:$A$1000,0)))</f>
        <v/>
      </c>
      <c r="E462" t="str">
        <f>IF($A462="","",INDEX('Product Master'!$N$7:$N$1000,MATCH($A462,'Product Master'!$A$7:$A$1000,0)))</f>
        <v/>
      </c>
      <c r="F462" t="str">
        <f>IF($A462="","",INDEX('Product Master'!$P$7:$P$1000,MATCH($A462,'Product Master'!$A$7:$A$1000,0)))</f>
        <v/>
      </c>
      <c r="I462" t="str">
        <f>IFERROR(INDEX('Product Master'!$A$7:$A$1000,_xlfn.AGGREGATE(15,6,(ROW('Product Master'!$A$7:$A$1000)-ROW('Product Master'!$A$7)+1)/(('Product Master'!$A$7:$A$1000&lt;&gt;"")*('Product Master'!$P$7:$P$1000="Out of Stock")),ROWS($I$12:I462))),"")</f>
        <v/>
      </c>
      <c r="J462" t="str">
        <f>IF($I462="","",INDEX('Product Master'!$B$7:$B$1000,MATCH($I462,'Product Master'!$A$7:$A$1000,0)))</f>
        <v/>
      </c>
      <c r="K462" t="str">
        <f>IF($I462="","",INDEX('Product Master'!$C$7:$C$1000,MATCH($I462,'Product Master'!$A$7:$A$1000,0)))</f>
        <v/>
      </c>
      <c r="L462" t="str">
        <f>IF($I462="","",INDEX('Product Master'!$M$7:$M$1000,MATCH($I462,'Product Master'!$A$7:$A$1000,0)))</f>
        <v/>
      </c>
      <c r="M462" t="str">
        <f>IF($I462="","",INDEX('Product Master'!$N$7:$N$1000,MATCH($I462,'Product Master'!$A$7:$A$1000,0)))</f>
        <v/>
      </c>
    </row>
    <row r="463" spans="1:13" x14ac:dyDescent="0.3">
      <c r="A463" t="str">
        <f>IFERROR(INDEX('Product Master'!$A$7:$A$1000,_xlfn.AGGREGATE(15,6,(ROW('Product Master'!$A$7:$A$1000)-ROW('Product Master'!$A$7)+1)/(('Product Master'!$A$7:$A$1000&lt;&gt;"")*('Product Master'!$P$7:$P$1000="Low Stock")),ROWS($A$12:A463))),"")</f>
        <v/>
      </c>
      <c r="B463" t="str">
        <f>IF($A463="","",INDEX('Product Master'!$B$7:$B$1000,MATCH($A463,'Product Master'!$A$7:$A$1000,0)))</f>
        <v/>
      </c>
      <c r="C463" t="str">
        <f>IF($A463="","",INDEX('Product Master'!$C$7:$C$1000,MATCH($A463,'Product Master'!$A$7:$A$1000,0)))</f>
        <v/>
      </c>
      <c r="D463" t="str">
        <f>IF($A463="","",INDEX('Product Master'!$M$7:$M$1000,MATCH($A463,'Product Master'!$A$7:$A$1000,0)))</f>
        <v/>
      </c>
      <c r="E463" t="str">
        <f>IF($A463="","",INDEX('Product Master'!$N$7:$N$1000,MATCH($A463,'Product Master'!$A$7:$A$1000,0)))</f>
        <v/>
      </c>
      <c r="F463" t="str">
        <f>IF($A463="","",INDEX('Product Master'!$P$7:$P$1000,MATCH($A463,'Product Master'!$A$7:$A$1000,0)))</f>
        <v/>
      </c>
      <c r="I463" t="str">
        <f>IFERROR(INDEX('Product Master'!$A$7:$A$1000,_xlfn.AGGREGATE(15,6,(ROW('Product Master'!$A$7:$A$1000)-ROW('Product Master'!$A$7)+1)/(('Product Master'!$A$7:$A$1000&lt;&gt;"")*('Product Master'!$P$7:$P$1000="Out of Stock")),ROWS($I$12:I463))),"")</f>
        <v/>
      </c>
      <c r="J463" t="str">
        <f>IF($I463="","",INDEX('Product Master'!$B$7:$B$1000,MATCH($I463,'Product Master'!$A$7:$A$1000,0)))</f>
        <v/>
      </c>
      <c r="K463" t="str">
        <f>IF($I463="","",INDEX('Product Master'!$C$7:$C$1000,MATCH($I463,'Product Master'!$A$7:$A$1000,0)))</f>
        <v/>
      </c>
      <c r="L463" t="str">
        <f>IF($I463="","",INDEX('Product Master'!$M$7:$M$1000,MATCH($I463,'Product Master'!$A$7:$A$1000,0)))</f>
        <v/>
      </c>
      <c r="M463" t="str">
        <f>IF($I463="","",INDEX('Product Master'!$N$7:$N$1000,MATCH($I463,'Product Master'!$A$7:$A$1000,0)))</f>
        <v/>
      </c>
    </row>
    <row r="464" spans="1:13" x14ac:dyDescent="0.3">
      <c r="A464" t="str">
        <f>IFERROR(INDEX('Product Master'!$A$7:$A$1000,_xlfn.AGGREGATE(15,6,(ROW('Product Master'!$A$7:$A$1000)-ROW('Product Master'!$A$7)+1)/(('Product Master'!$A$7:$A$1000&lt;&gt;"")*('Product Master'!$P$7:$P$1000="Low Stock")),ROWS($A$12:A464))),"")</f>
        <v/>
      </c>
      <c r="B464" t="str">
        <f>IF($A464="","",INDEX('Product Master'!$B$7:$B$1000,MATCH($A464,'Product Master'!$A$7:$A$1000,0)))</f>
        <v/>
      </c>
      <c r="C464" t="str">
        <f>IF($A464="","",INDEX('Product Master'!$C$7:$C$1000,MATCH($A464,'Product Master'!$A$7:$A$1000,0)))</f>
        <v/>
      </c>
      <c r="D464" t="str">
        <f>IF($A464="","",INDEX('Product Master'!$M$7:$M$1000,MATCH($A464,'Product Master'!$A$7:$A$1000,0)))</f>
        <v/>
      </c>
      <c r="E464" t="str">
        <f>IF($A464="","",INDEX('Product Master'!$N$7:$N$1000,MATCH($A464,'Product Master'!$A$7:$A$1000,0)))</f>
        <v/>
      </c>
      <c r="F464" t="str">
        <f>IF($A464="","",INDEX('Product Master'!$P$7:$P$1000,MATCH($A464,'Product Master'!$A$7:$A$1000,0)))</f>
        <v/>
      </c>
      <c r="I464" t="str">
        <f>IFERROR(INDEX('Product Master'!$A$7:$A$1000,_xlfn.AGGREGATE(15,6,(ROW('Product Master'!$A$7:$A$1000)-ROW('Product Master'!$A$7)+1)/(('Product Master'!$A$7:$A$1000&lt;&gt;"")*('Product Master'!$P$7:$P$1000="Out of Stock")),ROWS($I$12:I464))),"")</f>
        <v/>
      </c>
      <c r="J464" t="str">
        <f>IF($I464="","",INDEX('Product Master'!$B$7:$B$1000,MATCH($I464,'Product Master'!$A$7:$A$1000,0)))</f>
        <v/>
      </c>
      <c r="K464" t="str">
        <f>IF($I464="","",INDEX('Product Master'!$C$7:$C$1000,MATCH($I464,'Product Master'!$A$7:$A$1000,0)))</f>
        <v/>
      </c>
      <c r="L464" t="str">
        <f>IF($I464="","",INDEX('Product Master'!$M$7:$M$1000,MATCH($I464,'Product Master'!$A$7:$A$1000,0)))</f>
        <v/>
      </c>
      <c r="M464" t="str">
        <f>IF($I464="","",INDEX('Product Master'!$N$7:$N$1000,MATCH($I464,'Product Master'!$A$7:$A$1000,0)))</f>
        <v/>
      </c>
    </row>
    <row r="465" spans="1:13" x14ac:dyDescent="0.3">
      <c r="A465" t="str">
        <f>IFERROR(INDEX('Product Master'!$A$7:$A$1000,_xlfn.AGGREGATE(15,6,(ROW('Product Master'!$A$7:$A$1000)-ROW('Product Master'!$A$7)+1)/(('Product Master'!$A$7:$A$1000&lt;&gt;"")*('Product Master'!$P$7:$P$1000="Low Stock")),ROWS($A$12:A465))),"")</f>
        <v/>
      </c>
      <c r="B465" t="str">
        <f>IF($A465="","",INDEX('Product Master'!$B$7:$B$1000,MATCH($A465,'Product Master'!$A$7:$A$1000,0)))</f>
        <v/>
      </c>
      <c r="C465" t="str">
        <f>IF($A465="","",INDEX('Product Master'!$C$7:$C$1000,MATCH($A465,'Product Master'!$A$7:$A$1000,0)))</f>
        <v/>
      </c>
      <c r="D465" t="str">
        <f>IF($A465="","",INDEX('Product Master'!$M$7:$M$1000,MATCH($A465,'Product Master'!$A$7:$A$1000,0)))</f>
        <v/>
      </c>
      <c r="E465" t="str">
        <f>IF($A465="","",INDEX('Product Master'!$N$7:$N$1000,MATCH($A465,'Product Master'!$A$7:$A$1000,0)))</f>
        <v/>
      </c>
      <c r="F465" t="str">
        <f>IF($A465="","",INDEX('Product Master'!$P$7:$P$1000,MATCH($A465,'Product Master'!$A$7:$A$1000,0)))</f>
        <v/>
      </c>
      <c r="I465" t="str">
        <f>IFERROR(INDEX('Product Master'!$A$7:$A$1000,_xlfn.AGGREGATE(15,6,(ROW('Product Master'!$A$7:$A$1000)-ROW('Product Master'!$A$7)+1)/(('Product Master'!$A$7:$A$1000&lt;&gt;"")*('Product Master'!$P$7:$P$1000="Out of Stock")),ROWS($I$12:I465))),"")</f>
        <v/>
      </c>
      <c r="J465" t="str">
        <f>IF($I465="","",INDEX('Product Master'!$B$7:$B$1000,MATCH($I465,'Product Master'!$A$7:$A$1000,0)))</f>
        <v/>
      </c>
      <c r="K465" t="str">
        <f>IF($I465="","",INDEX('Product Master'!$C$7:$C$1000,MATCH($I465,'Product Master'!$A$7:$A$1000,0)))</f>
        <v/>
      </c>
      <c r="L465" t="str">
        <f>IF($I465="","",INDEX('Product Master'!$M$7:$M$1000,MATCH($I465,'Product Master'!$A$7:$A$1000,0)))</f>
        <v/>
      </c>
      <c r="M465" t="str">
        <f>IF($I465="","",INDEX('Product Master'!$N$7:$N$1000,MATCH($I465,'Product Master'!$A$7:$A$1000,0)))</f>
        <v/>
      </c>
    </row>
    <row r="466" spans="1:13" x14ac:dyDescent="0.3">
      <c r="A466" t="str">
        <f>IFERROR(INDEX('Product Master'!$A$7:$A$1000,_xlfn.AGGREGATE(15,6,(ROW('Product Master'!$A$7:$A$1000)-ROW('Product Master'!$A$7)+1)/(('Product Master'!$A$7:$A$1000&lt;&gt;"")*('Product Master'!$P$7:$P$1000="Low Stock")),ROWS($A$12:A466))),"")</f>
        <v/>
      </c>
      <c r="B466" t="str">
        <f>IF($A466="","",INDEX('Product Master'!$B$7:$B$1000,MATCH($A466,'Product Master'!$A$7:$A$1000,0)))</f>
        <v/>
      </c>
      <c r="C466" t="str">
        <f>IF($A466="","",INDEX('Product Master'!$C$7:$C$1000,MATCH($A466,'Product Master'!$A$7:$A$1000,0)))</f>
        <v/>
      </c>
      <c r="D466" t="str">
        <f>IF($A466="","",INDEX('Product Master'!$M$7:$M$1000,MATCH($A466,'Product Master'!$A$7:$A$1000,0)))</f>
        <v/>
      </c>
      <c r="E466" t="str">
        <f>IF($A466="","",INDEX('Product Master'!$N$7:$N$1000,MATCH($A466,'Product Master'!$A$7:$A$1000,0)))</f>
        <v/>
      </c>
      <c r="F466" t="str">
        <f>IF($A466="","",INDEX('Product Master'!$P$7:$P$1000,MATCH($A466,'Product Master'!$A$7:$A$1000,0)))</f>
        <v/>
      </c>
      <c r="I466" t="str">
        <f>IFERROR(INDEX('Product Master'!$A$7:$A$1000,_xlfn.AGGREGATE(15,6,(ROW('Product Master'!$A$7:$A$1000)-ROW('Product Master'!$A$7)+1)/(('Product Master'!$A$7:$A$1000&lt;&gt;"")*('Product Master'!$P$7:$P$1000="Out of Stock")),ROWS($I$12:I466))),"")</f>
        <v/>
      </c>
      <c r="J466" t="str">
        <f>IF($I466="","",INDEX('Product Master'!$B$7:$B$1000,MATCH($I466,'Product Master'!$A$7:$A$1000,0)))</f>
        <v/>
      </c>
      <c r="K466" t="str">
        <f>IF($I466="","",INDEX('Product Master'!$C$7:$C$1000,MATCH($I466,'Product Master'!$A$7:$A$1000,0)))</f>
        <v/>
      </c>
      <c r="L466" t="str">
        <f>IF($I466="","",INDEX('Product Master'!$M$7:$M$1000,MATCH($I466,'Product Master'!$A$7:$A$1000,0)))</f>
        <v/>
      </c>
      <c r="M466" t="str">
        <f>IF($I466="","",INDEX('Product Master'!$N$7:$N$1000,MATCH($I466,'Product Master'!$A$7:$A$1000,0)))</f>
        <v/>
      </c>
    </row>
    <row r="467" spans="1:13" x14ac:dyDescent="0.3">
      <c r="A467" t="str">
        <f>IFERROR(INDEX('Product Master'!$A$7:$A$1000,_xlfn.AGGREGATE(15,6,(ROW('Product Master'!$A$7:$A$1000)-ROW('Product Master'!$A$7)+1)/(('Product Master'!$A$7:$A$1000&lt;&gt;"")*('Product Master'!$P$7:$P$1000="Low Stock")),ROWS($A$12:A467))),"")</f>
        <v/>
      </c>
      <c r="B467" t="str">
        <f>IF($A467="","",INDEX('Product Master'!$B$7:$B$1000,MATCH($A467,'Product Master'!$A$7:$A$1000,0)))</f>
        <v/>
      </c>
      <c r="C467" t="str">
        <f>IF($A467="","",INDEX('Product Master'!$C$7:$C$1000,MATCH($A467,'Product Master'!$A$7:$A$1000,0)))</f>
        <v/>
      </c>
      <c r="D467" t="str">
        <f>IF($A467="","",INDEX('Product Master'!$M$7:$M$1000,MATCH($A467,'Product Master'!$A$7:$A$1000,0)))</f>
        <v/>
      </c>
      <c r="E467" t="str">
        <f>IF($A467="","",INDEX('Product Master'!$N$7:$N$1000,MATCH($A467,'Product Master'!$A$7:$A$1000,0)))</f>
        <v/>
      </c>
      <c r="F467" t="str">
        <f>IF($A467="","",INDEX('Product Master'!$P$7:$P$1000,MATCH($A467,'Product Master'!$A$7:$A$1000,0)))</f>
        <v/>
      </c>
      <c r="I467" t="str">
        <f>IFERROR(INDEX('Product Master'!$A$7:$A$1000,_xlfn.AGGREGATE(15,6,(ROW('Product Master'!$A$7:$A$1000)-ROW('Product Master'!$A$7)+1)/(('Product Master'!$A$7:$A$1000&lt;&gt;"")*('Product Master'!$P$7:$P$1000="Out of Stock")),ROWS($I$12:I467))),"")</f>
        <v/>
      </c>
      <c r="J467" t="str">
        <f>IF($I467="","",INDEX('Product Master'!$B$7:$B$1000,MATCH($I467,'Product Master'!$A$7:$A$1000,0)))</f>
        <v/>
      </c>
      <c r="K467" t="str">
        <f>IF($I467="","",INDEX('Product Master'!$C$7:$C$1000,MATCH($I467,'Product Master'!$A$7:$A$1000,0)))</f>
        <v/>
      </c>
      <c r="L467" t="str">
        <f>IF($I467="","",INDEX('Product Master'!$M$7:$M$1000,MATCH($I467,'Product Master'!$A$7:$A$1000,0)))</f>
        <v/>
      </c>
      <c r="M467" t="str">
        <f>IF($I467="","",INDEX('Product Master'!$N$7:$N$1000,MATCH($I467,'Product Master'!$A$7:$A$1000,0)))</f>
        <v/>
      </c>
    </row>
    <row r="468" spans="1:13" x14ac:dyDescent="0.3">
      <c r="A468" t="str">
        <f>IFERROR(INDEX('Product Master'!$A$7:$A$1000,_xlfn.AGGREGATE(15,6,(ROW('Product Master'!$A$7:$A$1000)-ROW('Product Master'!$A$7)+1)/(('Product Master'!$A$7:$A$1000&lt;&gt;"")*('Product Master'!$P$7:$P$1000="Low Stock")),ROWS($A$12:A468))),"")</f>
        <v/>
      </c>
      <c r="B468" t="str">
        <f>IF($A468="","",INDEX('Product Master'!$B$7:$B$1000,MATCH($A468,'Product Master'!$A$7:$A$1000,0)))</f>
        <v/>
      </c>
      <c r="C468" t="str">
        <f>IF($A468="","",INDEX('Product Master'!$C$7:$C$1000,MATCH($A468,'Product Master'!$A$7:$A$1000,0)))</f>
        <v/>
      </c>
      <c r="D468" t="str">
        <f>IF($A468="","",INDEX('Product Master'!$M$7:$M$1000,MATCH($A468,'Product Master'!$A$7:$A$1000,0)))</f>
        <v/>
      </c>
      <c r="E468" t="str">
        <f>IF($A468="","",INDEX('Product Master'!$N$7:$N$1000,MATCH($A468,'Product Master'!$A$7:$A$1000,0)))</f>
        <v/>
      </c>
      <c r="F468" t="str">
        <f>IF($A468="","",INDEX('Product Master'!$P$7:$P$1000,MATCH($A468,'Product Master'!$A$7:$A$1000,0)))</f>
        <v/>
      </c>
      <c r="I468" t="str">
        <f>IFERROR(INDEX('Product Master'!$A$7:$A$1000,_xlfn.AGGREGATE(15,6,(ROW('Product Master'!$A$7:$A$1000)-ROW('Product Master'!$A$7)+1)/(('Product Master'!$A$7:$A$1000&lt;&gt;"")*('Product Master'!$P$7:$P$1000="Out of Stock")),ROWS($I$12:I468))),"")</f>
        <v/>
      </c>
      <c r="J468" t="str">
        <f>IF($I468="","",INDEX('Product Master'!$B$7:$B$1000,MATCH($I468,'Product Master'!$A$7:$A$1000,0)))</f>
        <v/>
      </c>
      <c r="K468" t="str">
        <f>IF($I468="","",INDEX('Product Master'!$C$7:$C$1000,MATCH($I468,'Product Master'!$A$7:$A$1000,0)))</f>
        <v/>
      </c>
      <c r="L468" t="str">
        <f>IF($I468="","",INDEX('Product Master'!$M$7:$M$1000,MATCH($I468,'Product Master'!$A$7:$A$1000,0)))</f>
        <v/>
      </c>
      <c r="M468" t="str">
        <f>IF($I468="","",INDEX('Product Master'!$N$7:$N$1000,MATCH($I468,'Product Master'!$A$7:$A$1000,0)))</f>
        <v/>
      </c>
    </row>
    <row r="469" spans="1:13" x14ac:dyDescent="0.3">
      <c r="A469" t="str">
        <f>IFERROR(INDEX('Product Master'!$A$7:$A$1000,_xlfn.AGGREGATE(15,6,(ROW('Product Master'!$A$7:$A$1000)-ROW('Product Master'!$A$7)+1)/(('Product Master'!$A$7:$A$1000&lt;&gt;"")*('Product Master'!$P$7:$P$1000="Low Stock")),ROWS($A$12:A469))),"")</f>
        <v/>
      </c>
      <c r="B469" t="str">
        <f>IF($A469="","",INDEX('Product Master'!$B$7:$B$1000,MATCH($A469,'Product Master'!$A$7:$A$1000,0)))</f>
        <v/>
      </c>
      <c r="C469" t="str">
        <f>IF($A469="","",INDEX('Product Master'!$C$7:$C$1000,MATCH($A469,'Product Master'!$A$7:$A$1000,0)))</f>
        <v/>
      </c>
      <c r="D469" t="str">
        <f>IF($A469="","",INDEX('Product Master'!$M$7:$M$1000,MATCH($A469,'Product Master'!$A$7:$A$1000,0)))</f>
        <v/>
      </c>
      <c r="E469" t="str">
        <f>IF($A469="","",INDEX('Product Master'!$N$7:$N$1000,MATCH($A469,'Product Master'!$A$7:$A$1000,0)))</f>
        <v/>
      </c>
      <c r="F469" t="str">
        <f>IF($A469="","",INDEX('Product Master'!$P$7:$P$1000,MATCH($A469,'Product Master'!$A$7:$A$1000,0)))</f>
        <v/>
      </c>
      <c r="I469" t="str">
        <f>IFERROR(INDEX('Product Master'!$A$7:$A$1000,_xlfn.AGGREGATE(15,6,(ROW('Product Master'!$A$7:$A$1000)-ROW('Product Master'!$A$7)+1)/(('Product Master'!$A$7:$A$1000&lt;&gt;"")*('Product Master'!$P$7:$P$1000="Out of Stock")),ROWS($I$12:I469))),"")</f>
        <v/>
      </c>
      <c r="J469" t="str">
        <f>IF($I469="","",INDEX('Product Master'!$B$7:$B$1000,MATCH($I469,'Product Master'!$A$7:$A$1000,0)))</f>
        <v/>
      </c>
      <c r="K469" t="str">
        <f>IF($I469="","",INDEX('Product Master'!$C$7:$C$1000,MATCH($I469,'Product Master'!$A$7:$A$1000,0)))</f>
        <v/>
      </c>
      <c r="L469" t="str">
        <f>IF($I469="","",INDEX('Product Master'!$M$7:$M$1000,MATCH($I469,'Product Master'!$A$7:$A$1000,0)))</f>
        <v/>
      </c>
      <c r="M469" t="str">
        <f>IF($I469="","",INDEX('Product Master'!$N$7:$N$1000,MATCH($I469,'Product Master'!$A$7:$A$1000,0)))</f>
        <v/>
      </c>
    </row>
    <row r="470" spans="1:13" x14ac:dyDescent="0.3">
      <c r="A470" t="str">
        <f>IFERROR(INDEX('Product Master'!$A$7:$A$1000,_xlfn.AGGREGATE(15,6,(ROW('Product Master'!$A$7:$A$1000)-ROW('Product Master'!$A$7)+1)/(('Product Master'!$A$7:$A$1000&lt;&gt;"")*('Product Master'!$P$7:$P$1000="Low Stock")),ROWS($A$12:A470))),"")</f>
        <v/>
      </c>
      <c r="B470" t="str">
        <f>IF($A470="","",INDEX('Product Master'!$B$7:$B$1000,MATCH($A470,'Product Master'!$A$7:$A$1000,0)))</f>
        <v/>
      </c>
      <c r="C470" t="str">
        <f>IF($A470="","",INDEX('Product Master'!$C$7:$C$1000,MATCH($A470,'Product Master'!$A$7:$A$1000,0)))</f>
        <v/>
      </c>
      <c r="D470" t="str">
        <f>IF($A470="","",INDEX('Product Master'!$M$7:$M$1000,MATCH($A470,'Product Master'!$A$7:$A$1000,0)))</f>
        <v/>
      </c>
      <c r="E470" t="str">
        <f>IF($A470="","",INDEX('Product Master'!$N$7:$N$1000,MATCH($A470,'Product Master'!$A$7:$A$1000,0)))</f>
        <v/>
      </c>
      <c r="F470" t="str">
        <f>IF($A470="","",INDEX('Product Master'!$P$7:$P$1000,MATCH($A470,'Product Master'!$A$7:$A$1000,0)))</f>
        <v/>
      </c>
      <c r="I470" t="str">
        <f>IFERROR(INDEX('Product Master'!$A$7:$A$1000,_xlfn.AGGREGATE(15,6,(ROW('Product Master'!$A$7:$A$1000)-ROW('Product Master'!$A$7)+1)/(('Product Master'!$A$7:$A$1000&lt;&gt;"")*('Product Master'!$P$7:$P$1000="Out of Stock")),ROWS($I$12:I470))),"")</f>
        <v/>
      </c>
      <c r="J470" t="str">
        <f>IF($I470="","",INDEX('Product Master'!$B$7:$B$1000,MATCH($I470,'Product Master'!$A$7:$A$1000,0)))</f>
        <v/>
      </c>
      <c r="K470" t="str">
        <f>IF($I470="","",INDEX('Product Master'!$C$7:$C$1000,MATCH($I470,'Product Master'!$A$7:$A$1000,0)))</f>
        <v/>
      </c>
      <c r="L470" t="str">
        <f>IF($I470="","",INDEX('Product Master'!$M$7:$M$1000,MATCH($I470,'Product Master'!$A$7:$A$1000,0)))</f>
        <v/>
      </c>
      <c r="M470" t="str">
        <f>IF($I470="","",INDEX('Product Master'!$N$7:$N$1000,MATCH($I470,'Product Master'!$A$7:$A$1000,0)))</f>
        <v/>
      </c>
    </row>
    <row r="471" spans="1:13" x14ac:dyDescent="0.3">
      <c r="A471" t="str">
        <f>IFERROR(INDEX('Product Master'!$A$7:$A$1000,_xlfn.AGGREGATE(15,6,(ROW('Product Master'!$A$7:$A$1000)-ROW('Product Master'!$A$7)+1)/(('Product Master'!$A$7:$A$1000&lt;&gt;"")*('Product Master'!$P$7:$P$1000="Low Stock")),ROWS($A$12:A471))),"")</f>
        <v/>
      </c>
      <c r="B471" t="str">
        <f>IF($A471="","",INDEX('Product Master'!$B$7:$B$1000,MATCH($A471,'Product Master'!$A$7:$A$1000,0)))</f>
        <v/>
      </c>
      <c r="C471" t="str">
        <f>IF($A471="","",INDEX('Product Master'!$C$7:$C$1000,MATCH($A471,'Product Master'!$A$7:$A$1000,0)))</f>
        <v/>
      </c>
      <c r="D471" t="str">
        <f>IF($A471="","",INDEX('Product Master'!$M$7:$M$1000,MATCH($A471,'Product Master'!$A$7:$A$1000,0)))</f>
        <v/>
      </c>
      <c r="E471" t="str">
        <f>IF($A471="","",INDEX('Product Master'!$N$7:$N$1000,MATCH($A471,'Product Master'!$A$7:$A$1000,0)))</f>
        <v/>
      </c>
      <c r="F471" t="str">
        <f>IF($A471="","",INDEX('Product Master'!$P$7:$P$1000,MATCH($A471,'Product Master'!$A$7:$A$1000,0)))</f>
        <v/>
      </c>
      <c r="I471" t="str">
        <f>IFERROR(INDEX('Product Master'!$A$7:$A$1000,_xlfn.AGGREGATE(15,6,(ROW('Product Master'!$A$7:$A$1000)-ROW('Product Master'!$A$7)+1)/(('Product Master'!$A$7:$A$1000&lt;&gt;"")*('Product Master'!$P$7:$P$1000="Out of Stock")),ROWS($I$12:I471))),"")</f>
        <v/>
      </c>
      <c r="J471" t="str">
        <f>IF($I471="","",INDEX('Product Master'!$B$7:$B$1000,MATCH($I471,'Product Master'!$A$7:$A$1000,0)))</f>
        <v/>
      </c>
      <c r="K471" t="str">
        <f>IF($I471="","",INDEX('Product Master'!$C$7:$C$1000,MATCH($I471,'Product Master'!$A$7:$A$1000,0)))</f>
        <v/>
      </c>
      <c r="L471" t="str">
        <f>IF($I471="","",INDEX('Product Master'!$M$7:$M$1000,MATCH($I471,'Product Master'!$A$7:$A$1000,0)))</f>
        <v/>
      </c>
      <c r="M471" t="str">
        <f>IF($I471="","",INDEX('Product Master'!$N$7:$N$1000,MATCH($I471,'Product Master'!$A$7:$A$1000,0)))</f>
        <v/>
      </c>
    </row>
    <row r="472" spans="1:13" x14ac:dyDescent="0.3">
      <c r="A472" t="str">
        <f>IFERROR(INDEX('Product Master'!$A$7:$A$1000,_xlfn.AGGREGATE(15,6,(ROW('Product Master'!$A$7:$A$1000)-ROW('Product Master'!$A$7)+1)/(('Product Master'!$A$7:$A$1000&lt;&gt;"")*('Product Master'!$P$7:$P$1000="Low Stock")),ROWS($A$12:A472))),"")</f>
        <v/>
      </c>
      <c r="B472" t="str">
        <f>IF($A472="","",INDEX('Product Master'!$B$7:$B$1000,MATCH($A472,'Product Master'!$A$7:$A$1000,0)))</f>
        <v/>
      </c>
      <c r="C472" t="str">
        <f>IF($A472="","",INDEX('Product Master'!$C$7:$C$1000,MATCH($A472,'Product Master'!$A$7:$A$1000,0)))</f>
        <v/>
      </c>
      <c r="D472" t="str">
        <f>IF($A472="","",INDEX('Product Master'!$M$7:$M$1000,MATCH($A472,'Product Master'!$A$7:$A$1000,0)))</f>
        <v/>
      </c>
      <c r="E472" t="str">
        <f>IF($A472="","",INDEX('Product Master'!$N$7:$N$1000,MATCH($A472,'Product Master'!$A$7:$A$1000,0)))</f>
        <v/>
      </c>
      <c r="F472" t="str">
        <f>IF($A472="","",INDEX('Product Master'!$P$7:$P$1000,MATCH($A472,'Product Master'!$A$7:$A$1000,0)))</f>
        <v/>
      </c>
      <c r="I472" t="str">
        <f>IFERROR(INDEX('Product Master'!$A$7:$A$1000,_xlfn.AGGREGATE(15,6,(ROW('Product Master'!$A$7:$A$1000)-ROW('Product Master'!$A$7)+1)/(('Product Master'!$A$7:$A$1000&lt;&gt;"")*('Product Master'!$P$7:$P$1000="Out of Stock")),ROWS($I$12:I472))),"")</f>
        <v/>
      </c>
      <c r="J472" t="str">
        <f>IF($I472="","",INDEX('Product Master'!$B$7:$B$1000,MATCH($I472,'Product Master'!$A$7:$A$1000,0)))</f>
        <v/>
      </c>
      <c r="K472" t="str">
        <f>IF($I472="","",INDEX('Product Master'!$C$7:$C$1000,MATCH($I472,'Product Master'!$A$7:$A$1000,0)))</f>
        <v/>
      </c>
      <c r="L472" t="str">
        <f>IF($I472="","",INDEX('Product Master'!$M$7:$M$1000,MATCH($I472,'Product Master'!$A$7:$A$1000,0)))</f>
        <v/>
      </c>
      <c r="M472" t="str">
        <f>IF($I472="","",INDEX('Product Master'!$N$7:$N$1000,MATCH($I472,'Product Master'!$A$7:$A$1000,0)))</f>
        <v/>
      </c>
    </row>
    <row r="473" spans="1:13" x14ac:dyDescent="0.3">
      <c r="A473" t="str">
        <f>IFERROR(INDEX('Product Master'!$A$7:$A$1000,_xlfn.AGGREGATE(15,6,(ROW('Product Master'!$A$7:$A$1000)-ROW('Product Master'!$A$7)+1)/(('Product Master'!$A$7:$A$1000&lt;&gt;"")*('Product Master'!$P$7:$P$1000="Low Stock")),ROWS($A$12:A473))),"")</f>
        <v/>
      </c>
      <c r="B473" t="str">
        <f>IF($A473="","",INDEX('Product Master'!$B$7:$B$1000,MATCH($A473,'Product Master'!$A$7:$A$1000,0)))</f>
        <v/>
      </c>
      <c r="C473" t="str">
        <f>IF($A473="","",INDEX('Product Master'!$C$7:$C$1000,MATCH($A473,'Product Master'!$A$7:$A$1000,0)))</f>
        <v/>
      </c>
      <c r="D473" t="str">
        <f>IF($A473="","",INDEX('Product Master'!$M$7:$M$1000,MATCH($A473,'Product Master'!$A$7:$A$1000,0)))</f>
        <v/>
      </c>
      <c r="E473" t="str">
        <f>IF($A473="","",INDEX('Product Master'!$N$7:$N$1000,MATCH($A473,'Product Master'!$A$7:$A$1000,0)))</f>
        <v/>
      </c>
      <c r="F473" t="str">
        <f>IF($A473="","",INDEX('Product Master'!$P$7:$P$1000,MATCH($A473,'Product Master'!$A$7:$A$1000,0)))</f>
        <v/>
      </c>
      <c r="I473" t="str">
        <f>IFERROR(INDEX('Product Master'!$A$7:$A$1000,_xlfn.AGGREGATE(15,6,(ROW('Product Master'!$A$7:$A$1000)-ROW('Product Master'!$A$7)+1)/(('Product Master'!$A$7:$A$1000&lt;&gt;"")*('Product Master'!$P$7:$P$1000="Out of Stock")),ROWS($I$12:I473))),"")</f>
        <v/>
      </c>
      <c r="J473" t="str">
        <f>IF($I473="","",INDEX('Product Master'!$B$7:$B$1000,MATCH($I473,'Product Master'!$A$7:$A$1000,0)))</f>
        <v/>
      </c>
      <c r="K473" t="str">
        <f>IF($I473="","",INDEX('Product Master'!$C$7:$C$1000,MATCH($I473,'Product Master'!$A$7:$A$1000,0)))</f>
        <v/>
      </c>
      <c r="L473" t="str">
        <f>IF($I473="","",INDEX('Product Master'!$M$7:$M$1000,MATCH($I473,'Product Master'!$A$7:$A$1000,0)))</f>
        <v/>
      </c>
      <c r="M473" t="str">
        <f>IF($I473="","",INDEX('Product Master'!$N$7:$N$1000,MATCH($I473,'Product Master'!$A$7:$A$1000,0)))</f>
        <v/>
      </c>
    </row>
    <row r="474" spans="1:13" x14ac:dyDescent="0.3">
      <c r="A474" t="str">
        <f>IFERROR(INDEX('Product Master'!$A$7:$A$1000,_xlfn.AGGREGATE(15,6,(ROW('Product Master'!$A$7:$A$1000)-ROW('Product Master'!$A$7)+1)/(('Product Master'!$A$7:$A$1000&lt;&gt;"")*('Product Master'!$P$7:$P$1000="Low Stock")),ROWS($A$12:A474))),"")</f>
        <v/>
      </c>
      <c r="B474" t="str">
        <f>IF($A474="","",INDEX('Product Master'!$B$7:$B$1000,MATCH($A474,'Product Master'!$A$7:$A$1000,0)))</f>
        <v/>
      </c>
      <c r="C474" t="str">
        <f>IF($A474="","",INDEX('Product Master'!$C$7:$C$1000,MATCH($A474,'Product Master'!$A$7:$A$1000,0)))</f>
        <v/>
      </c>
      <c r="D474" t="str">
        <f>IF($A474="","",INDEX('Product Master'!$M$7:$M$1000,MATCH($A474,'Product Master'!$A$7:$A$1000,0)))</f>
        <v/>
      </c>
      <c r="E474" t="str">
        <f>IF($A474="","",INDEX('Product Master'!$N$7:$N$1000,MATCH($A474,'Product Master'!$A$7:$A$1000,0)))</f>
        <v/>
      </c>
      <c r="F474" t="str">
        <f>IF($A474="","",INDEX('Product Master'!$P$7:$P$1000,MATCH($A474,'Product Master'!$A$7:$A$1000,0)))</f>
        <v/>
      </c>
      <c r="I474" t="str">
        <f>IFERROR(INDEX('Product Master'!$A$7:$A$1000,_xlfn.AGGREGATE(15,6,(ROW('Product Master'!$A$7:$A$1000)-ROW('Product Master'!$A$7)+1)/(('Product Master'!$A$7:$A$1000&lt;&gt;"")*('Product Master'!$P$7:$P$1000="Out of Stock")),ROWS($I$12:I474))),"")</f>
        <v/>
      </c>
      <c r="J474" t="str">
        <f>IF($I474="","",INDEX('Product Master'!$B$7:$B$1000,MATCH($I474,'Product Master'!$A$7:$A$1000,0)))</f>
        <v/>
      </c>
      <c r="K474" t="str">
        <f>IF($I474="","",INDEX('Product Master'!$C$7:$C$1000,MATCH($I474,'Product Master'!$A$7:$A$1000,0)))</f>
        <v/>
      </c>
      <c r="L474" t="str">
        <f>IF($I474="","",INDEX('Product Master'!$M$7:$M$1000,MATCH($I474,'Product Master'!$A$7:$A$1000,0)))</f>
        <v/>
      </c>
      <c r="M474" t="str">
        <f>IF($I474="","",INDEX('Product Master'!$N$7:$N$1000,MATCH($I474,'Product Master'!$A$7:$A$1000,0)))</f>
        <v/>
      </c>
    </row>
    <row r="475" spans="1:13" x14ac:dyDescent="0.3">
      <c r="A475" t="str">
        <f>IFERROR(INDEX('Product Master'!$A$7:$A$1000,_xlfn.AGGREGATE(15,6,(ROW('Product Master'!$A$7:$A$1000)-ROW('Product Master'!$A$7)+1)/(('Product Master'!$A$7:$A$1000&lt;&gt;"")*('Product Master'!$P$7:$P$1000="Low Stock")),ROWS($A$12:A475))),"")</f>
        <v/>
      </c>
      <c r="B475" t="str">
        <f>IF($A475="","",INDEX('Product Master'!$B$7:$B$1000,MATCH($A475,'Product Master'!$A$7:$A$1000,0)))</f>
        <v/>
      </c>
      <c r="C475" t="str">
        <f>IF($A475="","",INDEX('Product Master'!$C$7:$C$1000,MATCH($A475,'Product Master'!$A$7:$A$1000,0)))</f>
        <v/>
      </c>
      <c r="D475" t="str">
        <f>IF($A475="","",INDEX('Product Master'!$M$7:$M$1000,MATCH($A475,'Product Master'!$A$7:$A$1000,0)))</f>
        <v/>
      </c>
      <c r="E475" t="str">
        <f>IF($A475="","",INDEX('Product Master'!$N$7:$N$1000,MATCH($A475,'Product Master'!$A$7:$A$1000,0)))</f>
        <v/>
      </c>
      <c r="F475" t="str">
        <f>IF($A475="","",INDEX('Product Master'!$P$7:$P$1000,MATCH($A475,'Product Master'!$A$7:$A$1000,0)))</f>
        <v/>
      </c>
      <c r="I475" t="str">
        <f>IFERROR(INDEX('Product Master'!$A$7:$A$1000,_xlfn.AGGREGATE(15,6,(ROW('Product Master'!$A$7:$A$1000)-ROW('Product Master'!$A$7)+1)/(('Product Master'!$A$7:$A$1000&lt;&gt;"")*('Product Master'!$P$7:$P$1000="Out of Stock")),ROWS($I$12:I475))),"")</f>
        <v/>
      </c>
      <c r="J475" t="str">
        <f>IF($I475="","",INDEX('Product Master'!$B$7:$B$1000,MATCH($I475,'Product Master'!$A$7:$A$1000,0)))</f>
        <v/>
      </c>
      <c r="K475" t="str">
        <f>IF($I475="","",INDEX('Product Master'!$C$7:$C$1000,MATCH($I475,'Product Master'!$A$7:$A$1000,0)))</f>
        <v/>
      </c>
      <c r="L475" t="str">
        <f>IF($I475="","",INDEX('Product Master'!$M$7:$M$1000,MATCH($I475,'Product Master'!$A$7:$A$1000,0)))</f>
        <v/>
      </c>
      <c r="M475" t="str">
        <f>IF($I475="","",INDEX('Product Master'!$N$7:$N$1000,MATCH($I475,'Product Master'!$A$7:$A$1000,0)))</f>
        <v/>
      </c>
    </row>
    <row r="476" spans="1:13" x14ac:dyDescent="0.3">
      <c r="A476" t="str">
        <f>IFERROR(INDEX('Product Master'!$A$7:$A$1000,_xlfn.AGGREGATE(15,6,(ROW('Product Master'!$A$7:$A$1000)-ROW('Product Master'!$A$7)+1)/(('Product Master'!$A$7:$A$1000&lt;&gt;"")*('Product Master'!$P$7:$P$1000="Low Stock")),ROWS($A$12:A476))),"")</f>
        <v/>
      </c>
      <c r="B476" t="str">
        <f>IF($A476="","",INDEX('Product Master'!$B$7:$B$1000,MATCH($A476,'Product Master'!$A$7:$A$1000,0)))</f>
        <v/>
      </c>
      <c r="C476" t="str">
        <f>IF($A476="","",INDEX('Product Master'!$C$7:$C$1000,MATCH($A476,'Product Master'!$A$7:$A$1000,0)))</f>
        <v/>
      </c>
      <c r="D476" t="str">
        <f>IF($A476="","",INDEX('Product Master'!$M$7:$M$1000,MATCH($A476,'Product Master'!$A$7:$A$1000,0)))</f>
        <v/>
      </c>
      <c r="E476" t="str">
        <f>IF($A476="","",INDEX('Product Master'!$N$7:$N$1000,MATCH($A476,'Product Master'!$A$7:$A$1000,0)))</f>
        <v/>
      </c>
      <c r="F476" t="str">
        <f>IF($A476="","",INDEX('Product Master'!$P$7:$P$1000,MATCH($A476,'Product Master'!$A$7:$A$1000,0)))</f>
        <v/>
      </c>
      <c r="I476" t="str">
        <f>IFERROR(INDEX('Product Master'!$A$7:$A$1000,_xlfn.AGGREGATE(15,6,(ROW('Product Master'!$A$7:$A$1000)-ROW('Product Master'!$A$7)+1)/(('Product Master'!$A$7:$A$1000&lt;&gt;"")*('Product Master'!$P$7:$P$1000="Out of Stock")),ROWS($I$12:I476))),"")</f>
        <v/>
      </c>
      <c r="J476" t="str">
        <f>IF($I476="","",INDEX('Product Master'!$B$7:$B$1000,MATCH($I476,'Product Master'!$A$7:$A$1000,0)))</f>
        <v/>
      </c>
      <c r="K476" t="str">
        <f>IF($I476="","",INDEX('Product Master'!$C$7:$C$1000,MATCH($I476,'Product Master'!$A$7:$A$1000,0)))</f>
        <v/>
      </c>
      <c r="L476" t="str">
        <f>IF($I476="","",INDEX('Product Master'!$M$7:$M$1000,MATCH($I476,'Product Master'!$A$7:$A$1000,0)))</f>
        <v/>
      </c>
      <c r="M476" t="str">
        <f>IF($I476="","",INDEX('Product Master'!$N$7:$N$1000,MATCH($I476,'Product Master'!$A$7:$A$1000,0)))</f>
        <v/>
      </c>
    </row>
    <row r="477" spans="1:13" x14ac:dyDescent="0.3">
      <c r="A477" t="str">
        <f>IFERROR(INDEX('Product Master'!$A$7:$A$1000,_xlfn.AGGREGATE(15,6,(ROW('Product Master'!$A$7:$A$1000)-ROW('Product Master'!$A$7)+1)/(('Product Master'!$A$7:$A$1000&lt;&gt;"")*('Product Master'!$P$7:$P$1000="Low Stock")),ROWS($A$12:A477))),"")</f>
        <v/>
      </c>
      <c r="B477" t="str">
        <f>IF($A477="","",INDEX('Product Master'!$B$7:$B$1000,MATCH($A477,'Product Master'!$A$7:$A$1000,0)))</f>
        <v/>
      </c>
      <c r="C477" t="str">
        <f>IF($A477="","",INDEX('Product Master'!$C$7:$C$1000,MATCH($A477,'Product Master'!$A$7:$A$1000,0)))</f>
        <v/>
      </c>
      <c r="D477" t="str">
        <f>IF($A477="","",INDEX('Product Master'!$M$7:$M$1000,MATCH($A477,'Product Master'!$A$7:$A$1000,0)))</f>
        <v/>
      </c>
      <c r="E477" t="str">
        <f>IF($A477="","",INDEX('Product Master'!$N$7:$N$1000,MATCH($A477,'Product Master'!$A$7:$A$1000,0)))</f>
        <v/>
      </c>
      <c r="F477" t="str">
        <f>IF($A477="","",INDEX('Product Master'!$P$7:$P$1000,MATCH($A477,'Product Master'!$A$7:$A$1000,0)))</f>
        <v/>
      </c>
      <c r="I477" t="str">
        <f>IFERROR(INDEX('Product Master'!$A$7:$A$1000,_xlfn.AGGREGATE(15,6,(ROW('Product Master'!$A$7:$A$1000)-ROW('Product Master'!$A$7)+1)/(('Product Master'!$A$7:$A$1000&lt;&gt;"")*('Product Master'!$P$7:$P$1000="Out of Stock")),ROWS($I$12:I477))),"")</f>
        <v/>
      </c>
      <c r="J477" t="str">
        <f>IF($I477="","",INDEX('Product Master'!$B$7:$B$1000,MATCH($I477,'Product Master'!$A$7:$A$1000,0)))</f>
        <v/>
      </c>
      <c r="K477" t="str">
        <f>IF($I477="","",INDEX('Product Master'!$C$7:$C$1000,MATCH($I477,'Product Master'!$A$7:$A$1000,0)))</f>
        <v/>
      </c>
      <c r="L477" t="str">
        <f>IF($I477="","",INDEX('Product Master'!$M$7:$M$1000,MATCH($I477,'Product Master'!$A$7:$A$1000,0)))</f>
        <v/>
      </c>
      <c r="M477" t="str">
        <f>IF($I477="","",INDEX('Product Master'!$N$7:$N$1000,MATCH($I477,'Product Master'!$A$7:$A$1000,0)))</f>
        <v/>
      </c>
    </row>
    <row r="478" spans="1:13" x14ac:dyDescent="0.3">
      <c r="A478" t="str">
        <f>IFERROR(INDEX('Product Master'!$A$7:$A$1000,_xlfn.AGGREGATE(15,6,(ROW('Product Master'!$A$7:$A$1000)-ROW('Product Master'!$A$7)+1)/(('Product Master'!$A$7:$A$1000&lt;&gt;"")*('Product Master'!$P$7:$P$1000="Low Stock")),ROWS($A$12:A478))),"")</f>
        <v/>
      </c>
      <c r="B478" t="str">
        <f>IF($A478="","",INDEX('Product Master'!$B$7:$B$1000,MATCH($A478,'Product Master'!$A$7:$A$1000,0)))</f>
        <v/>
      </c>
      <c r="C478" t="str">
        <f>IF($A478="","",INDEX('Product Master'!$C$7:$C$1000,MATCH($A478,'Product Master'!$A$7:$A$1000,0)))</f>
        <v/>
      </c>
      <c r="D478" t="str">
        <f>IF($A478="","",INDEX('Product Master'!$M$7:$M$1000,MATCH($A478,'Product Master'!$A$7:$A$1000,0)))</f>
        <v/>
      </c>
      <c r="E478" t="str">
        <f>IF($A478="","",INDEX('Product Master'!$N$7:$N$1000,MATCH($A478,'Product Master'!$A$7:$A$1000,0)))</f>
        <v/>
      </c>
      <c r="F478" t="str">
        <f>IF($A478="","",INDEX('Product Master'!$P$7:$P$1000,MATCH($A478,'Product Master'!$A$7:$A$1000,0)))</f>
        <v/>
      </c>
      <c r="I478" t="str">
        <f>IFERROR(INDEX('Product Master'!$A$7:$A$1000,_xlfn.AGGREGATE(15,6,(ROW('Product Master'!$A$7:$A$1000)-ROW('Product Master'!$A$7)+1)/(('Product Master'!$A$7:$A$1000&lt;&gt;"")*('Product Master'!$P$7:$P$1000="Out of Stock")),ROWS($I$12:I478))),"")</f>
        <v/>
      </c>
      <c r="J478" t="str">
        <f>IF($I478="","",INDEX('Product Master'!$B$7:$B$1000,MATCH($I478,'Product Master'!$A$7:$A$1000,0)))</f>
        <v/>
      </c>
      <c r="K478" t="str">
        <f>IF($I478="","",INDEX('Product Master'!$C$7:$C$1000,MATCH($I478,'Product Master'!$A$7:$A$1000,0)))</f>
        <v/>
      </c>
      <c r="L478" t="str">
        <f>IF($I478="","",INDEX('Product Master'!$M$7:$M$1000,MATCH($I478,'Product Master'!$A$7:$A$1000,0)))</f>
        <v/>
      </c>
      <c r="M478" t="str">
        <f>IF($I478="","",INDEX('Product Master'!$N$7:$N$1000,MATCH($I478,'Product Master'!$A$7:$A$1000,0)))</f>
        <v/>
      </c>
    </row>
    <row r="479" spans="1:13" x14ac:dyDescent="0.3">
      <c r="A479" t="str">
        <f>IFERROR(INDEX('Product Master'!$A$7:$A$1000,_xlfn.AGGREGATE(15,6,(ROW('Product Master'!$A$7:$A$1000)-ROW('Product Master'!$A$7)+1)/(('Product Master'!$A$7:$A$1000&lt;&gt;"")*('Product Master'!$P$7:$P$1000="Low Stock")),ROWS($A$12:A479))),"")</f>
        <v/>
      </c>
      <c r="B479" t="str">
        <f>IF($A479="","",INDEX('Product Master'!$B$7:$B$1000,MATCH($A479,'Product Master'!$A$7:$A$1000,0)))</f>
        <v/>
      </c>
      <c r="C479" t="str">
        <f>IF($A479="","",INDEX('Product Master'!$C$7:$C$1000,MATCH($A479,'Product Master'!$A$7:$A$1000,0)))</f>
        <v/>
      </c>
      <c r="D479" t="str">
        <f>IF($A479="","",INDEX('Product Master'!$M$7:$M$1000,MATCH($A479,'Product Master'!$A$7:$A$1000,0)))</f>
        <v/>
      </c>
      <c r="E479" t="str">
        <f>IF($A479="","",INDEX('Product Master'!$N$7:$N$1000,MATCH($A479,'Product Master'!$A$7:$A$1000,0)))</f>
        <v/>
      </c>
      <c r="F479" t="str">
        <f>IF($A479="","",INDEX('Product Master'!$P$7:$P$1000,MATCH($A479,'Product Master'!$A$7:$A$1000,0)))</f>
        <v/>
      </c>
      <c r="I479" t="str">
        <f>IFERROR(INDEX('Product Master'!$A$7:$A$1000,_xlfn.AGGREGATE(15,6,(ROW('Product Master'!$A$7:$A$1000)-ROW('Product Master'!$A$7)+1)/(('Product Master'!$A$7:$A$1000&lt;&gt;"")*('Product Master'!$P$7:$P$1000="Out of Stock")),ROWS($I$12:I479))),"")</f>
        <v/>
      </c>
      <c r="J479" t="str">
        <f>IF($I479="","",INDEX('Product Master'!$B$7:$B$1000,MATCH($I479,'Product Master'!$A$7:$A$1000,0)))</f>
        <v/>
      </c>
      <c r="K479" t="str">
        <f>IF($I479="","",INDEX('Product Master'!$C$7:$C$1000,MATCH($I479,'Product Master'!$A$7:$A$1000,0)))</f>
        <v/>
      </c>
      <c r="L479" t="str">
        <f>IF($I479="","",INDEX('Product Master'!$M$7:$M$1000,MATCH($I479,'Product Master'!$A$7:$A$1000,0)))</f>
        <v/>
      </c>
      <c r="M479" t="str">
        <f>IF($I479="","",INDEX('Product Master'!$N$7:$N$1000,MATCH($I479,'Product Master'!$A$7:$A$1000,0)))</f>
        <v/>
      </c>
    </row>
    <row r="480" spans="1:13" x14ac:dyDescent="0.3">
      <c r="A480" t="str">
        <f>IFERROR(INDEX('Product Master'!$A$7:$A$1000,_xlfn.AGGREGATE(15,6,(ROW('Product Master'!$A$7:$A$1000)-ROW('Product Master'!$A$7)+1)/(('Product Master'!$A$7:$A$1000&lt;&gt;"")*('Product Master'!$P$7:$P$1000="Low Stock")),ROWS($A$12:A480))),"")</f>
        <v/>
      </c>
      <c r="B480" t="str">
        <f>IF($A480="","",INDEX('Product Master'!$B$7:$B$1000,MATCH($A480,'Product Master'!$A$7:$A$1000,0)))</f>
        <v/>
      </c>
      <c r="C480" t="str">
        <f>IF($A480="","",INDEX('Product Master'!$C$7:$C$1000,MATCH($A480,'Product Master'!$A$7:$A$1000,0)))</f>
        <v/>
      </c>
      <c r="D480" t="str">
        <f>IF($A480="","",INDEX('Product Master'!$M$7:$M$1000,MATCH($A480,'Product Master'!$A$7:$A$1000,0)))</f>
        <v/>
      </c>
      <c r="E480" t="str">
        <f>IF($A480="","",INDEX('Product Master'!$N$7:$N$1000,MATCH($A480,'Product Master'!$A$7:$A$1000,0)))</f>
        <v/>
      </c>
      <c r="F480" t="str">
        <f>IF($A480="","",INDEX('Product Master'!$P$7:$P$1000,MATCH($A480,'Product Master'!$A$7:$A$1000,0)))</f>
        <v/>
      </c>
      <c r="I480" t="str">
        <f>IFERROR(INDEX('Product Master'!$A$7:$A$1000,_xlfn.AGGREGATE(15,6,(ROW('Product Master'!$A$7:$A$1000)-ROW('Product Master'!$A$7)+1)/(('Product Master'!$A$7:$A$1000&lt;&gt;"")*('Product Master'!$P$7:$P$1000="Out of Stock")),ROWS($I$12:I480))),"")</f>
        <v/>
      </c>
      <c r="J480" t="str">
        <f>IF($I480="","",INDEX('Product Master'!$B$7:$B$1000,MATCH($I480,'Product Master'!$A$7:$A$1000,0)))</f>
        <v/>
      </c>
      <c r="K480" t="str">
        <f>IF($I480="","",INDEX('Product Master'!$C$7:$C$1000,MATCH($I480,'Product Master'!$A$7:$A$1000,0)))</f>
        <v/>
      </c>
      <c r="L480" t="str">
        <f>IF($I480="","",INDEX('Product Master'!$M$7:$M$1000,MATCH($I480,'Product Master'!$A$7:$A$1000,0)))</f>
        <v/>
      </c>
      <c r="M480" t="str">
        <f>IF($I480="","",INDEX('Product Master'!$N$7:$N$1000,MATCH($I480,'Product Master'!$A$7:$A$1000,0)))</f>
        <v/>
      </c>
    </row>
    <row r="481" spans="1:13" x14ac:dyDescent="0.3">
      <c r="A481" t="str">
        <f>IFERROR(INDEX('Product Master'!$A$7:$A$1000,_xlfn.AGGREGATE(15,6,(ROW('Product Master'!$A$7:$A$1000)-ROW('Product Master'!$A$7)+1)/(('Product Master'!$A$7:$A$1000&lt;&gt;"")*('Product Master'!$P$7:$P$1000="Low Stock")),ROWS($A$12:A481))),"")</f>
        <v/>
      </c>
      <c r="B481" t="str">
        <f>IF($A481="","",INDEX('Product Master'!$B$7:$B$1000,MATCH($A481,'Product Master'!$A$7:$A$1000,0)))</f>
        <v/>
      </c>
      <c r="C481" t="str">
        <f>IF($A481="","",INDEX('Product Master'!$C$7:$C$1000,MATCH($A481,'Product Master'!$A$7:$A$1000,0)))</f>
        <v/>
      </c>
      <c r="D481" t="str">
        <f>IF($A481="","",INDEX('Product Master'!$M$7:$M$1000,MATCH($A481,'Product Master'!$A$7:$A$1000,0)))</f>
        <v/>
      </c>
      <c r="E481" t="str">
        <f>IF($A481="","",INDEX('Product Master'!$N$7:$N$1000,MATCH($A481,'Product Master'!$A$7:$A$1000,0)))</f>
        <v/>
      </c>
      <c r="F481" t="str">
        <f>IF($A481="","",INDEX('Product Master'!$P$7:$P$1000,MATCH($A481,'Product Master'!$A$7:$A$1000,0)))</f>
        <v/>
      </c>
      <c r="I481" t="str">
        <f>IFERROR(INDEX('Product Master'!$A$7:$A$1000,_xlfn.AGGREGATE(15,6,(ROW('Product Master'!$A$7:$A$1000)-ROW('Product Master'!$A$7)+1)/(('Product Master'!$A$7:$A$1000&lt;&gt;"")*('Product Master'!$P$7:$P$1000="Out of Stock")),ROWS($I$12:I481))),"")</f>
        <v/>
      </c>
      <c r="J481" t="str">
        <f>IF($I481="","",INDEX('Product Master'!$B$7:$B$1000,MATCH($I481,'Product Master'!$A$7:$A$1000,0)))</f>
        <v/>
      </c>
      <c r="K481" t="str">
        <f>IF($I481="","",INDEX('Product Master'!$C$7:$C$1000,MATCH($I481,'Product Master'!$A$7:$A$1000,0)))</f>
        <v/>
      </c>
      <c r="L481" t="str">
        <f>IF($I481="","",INDEX('Product Master'!$M$7:$M$1000,MATCH($I481,'Product Master'!$A$7:$A$1000,0)))</f>
        <v/>
      </c>
      <c r="M481" t="str">
        <f>IF($I481="","",INDEX('Product Master'!$N$7:$N$1000,MATCH($I481,'Product Master'!$A$7:$A$1000,0)))</f>
        <v/>
      </c>
    </row>
    <row r="482" spans="1:13" x14ac:dyDescent="0.3">
      <c r="A482" t="str">
        <f>IFERROR(INDEX('Product Master'!$A$7:$A$1000,_xlfn.AGGREGATE(15,6,(ROW('Product Master'!$A$7:$A$1000)-ROW('Product Master'!$A$7)+1)/(('Product Master'!$A$7:$A$1000&lt;&gt;"")*('Product Master'!$P$7:$P$1000="Low Stock")),ROWS($A$12:A482))),"")</f>
        <v/>
      </c>
      <c r="B482" t="str">
        <f>IF($A482="","",INDEX('Product Master'!$B$7:$B$1000,MATCH($A482,'Product Master'!$A$7:$A$1000,0)))</f>
        <v/>
      </c>
      <c r="C482" t="str">
        <f>IF($A482="","",INDEX('Product Master'!$C$7:$C$1000,MATCH($A482,'Product Master'!$A$7:$A$1000,0)))</f>
        <v/>
      </c>
      <c r="D482" t="str">
        <f>IF($A482="","",INDEX('Product Master'!$M$7:$M$1000,MATCH($A482,'Product Master'!$A$7:$A$1000,0)))</f>
        <v/>
      </c>
      <c r="E482" t="str">
        <f>IF($A482="","",INDEX('Product Master'!$N$7:$N$1000,MATCH($A482,'Product Master'!$A$7:$A$1000,0)))</f>
        <v/>
      </c>
      <c r="F482" t="str">
        <f>IF($A482="","",INDEX('Product Master'!$P$7:$P$1000,MATCH($A482,'Product Master'!$A$7:$A$1000,0)))</f>
        <v/>
      </c>
      <c r="I482" t="str">
        <f>IFERROR(INDEX('Product Master'!$A$7:$A$1000,_xlfn.AGGREGATE(15,6,(ROW('Product Master'!$A$7:$A$1000)-ROW('Product Master'!$A$7)+1)/(('Product Master'!$A$7:$A$1000&lt;&gt;"")*('Product Master'!$P$7:$P$1000="Out of Stock")),ROWS($I$12:I482))),"")</f>
        <v/>
      </c>
      <c r="J482" t="str">
        <f>IF($I482="","",INDEX('Product Master'!$B$7:$B$1000,MATCH($I482,'Product Master'!$A$7:$A$1000,0)))</f>
        <v/>
      </c>
      <c r="K482" t="str">
        <f>IF($I482="","",INDEX('Product Master'!$C$7:$C$1000,MATCH($I482,'Product Master'!$A$7:$A$1000,0)))</f>
        <v/>
      </c>
      <c r="L482" t="str">
        <f>IF($I482="","",INDEX('Product Master'!$M$7:$M$1000,MATCH($I482,'Product Master'!$A$7:$A$1000,0)))</f>
        <v/>
      </c>
      <c r="M482" t="str">
        <f>IF($I482="","",INDEX('Product Master'!$N$7:$N$1000,MATCH($I482,'Product Master'!$A$7:$A$1000,0)))</f>
        <v/>
      </c>
    </row>
    <row r="483" spans="1:13" x14ac:dyDescent="0.3">
      <c r="A483" t="str">
        <f>IFERROR(INDEX('Product Master'!$A$7:$A$1000,_xlfn.AGGREGATE(15,6,(ROW('Product Master'!$A$7:$A$1000)-ROW('Product Master'!$A$7)+1)/(('Product Master'!$A$7:$A$1000&lt;&gt;"")*('Product Master'!$P$7:$P$1000="Low Stock")),ROWS($A$12:A483))),"")</f>
        <v/>
      </c>
      <c r="B483" t="str">
        <f>IF($A483="","",INDEX('Product Master'!$B$7:$B$1000,MATCH($A483,'Product Master'!$A$7:$A$1000,0)))</f>
        <v/>
      </c>
      <c r="C483" t="str">
        <f>IF($A483="","",INDEX('Product Master'!$C$7:$C$1000,MATCH($A483,'Product Master'!$A$7:$A$1000,0)))</f>
        <v/>
      </c>
      <c r="D483" t="str">
        <f>IF($A483="","",INDEX('Product Master'!$M$7:$M$1000,MATCH($A483,'Product Master'!$A$7:$A$1000,0)))</f>
        <v/>
      </c>
      <c r="E483" t="str">
        <f>IF($A483="","",INDEX('Product Master'!$N$7:$N$1000,MATCH($A483,'Product Master'!$A$7:$A$1000,0)))</f>
        <v/>
      </c>
      <c r="F483" t="str">
        <f>IF($A483="","",INDEX('Product Master'!$P$7:$P$1000,MATCH($A483,'Product Master'!$A$7:$A$1000,0)))</f>
        <v/>
      </c>
      <c r="I483" t="str">
        <f>IFERROR(INDEX('Product Master'!$A$7:$A$1000,_xlfn.AGGREGATE(15,6,(ROW('Product Master'!$A$7:$A$1000)-ROW('Product Master'!$A$7)+1)/(('Product Master'!$A$7:$A$1000&lt;&gt;"")*('Product Master'!$P$7:$P$1000="Out of Stock")),ROWS($I$12:I483))),"")</f>
        <v/>
      </c>
      <c r="J483" t="str">
        <f>IF($I483="","",INDEX('Product Master'!$B$7:$B$1000,MATCH($I483,'Product Master'!$A$7:$A$1000,0)))</f>
        <v/>
      </c>
      <c r="K483" t="str">
        <f>IF($I483="","",INDEX('Product Master'!$C$7:$C$1000,MATCH($I483,'Product Master'!$A$7:$A$1000,0)))</f>
        <v/>
      </c>
      <c r="L483" t="str">
        <f>IF($I483="","",INDEX('Product Master'!$M$7:$M$1000,MATCH($I483,'Product Master'!$A$7:$A$1000,0)))</f>
        <v/>
      </c>
      <c r="M483" t="str">
        <f>IF($I483="","",INDEX('Product Master'!$N$7:$N$1000,MATCH($I483,'Product Master'!$A$7:$A$1000,0)))</f>
        <v/>
      </c>
    </row>
    <row r="484" spans="1:13" x14ac:dyDescent="0.3">
      <c r="A484" t="str">
        <f>IFERROR(INDEX('Product Master'!$A$7:$A$1000,_xlfn.AGGREGATE(15,6,(ROW('Product Master'!$A$7:$A$1000)-ROW('Product Master'!$A$7)+1)/(('Product Master'!$A$7:$A$1000&lt;&gt;"")*('Product Master'!$P$7:$P$1000="Low Stock")),ROWS($A$12:A484))),"")</f>
        <v/>
      </c>
      <c r="B484" t="str">
        <f>IF($A484="","",INDEX('Product Master'!$B$7:$B$1000,MATCH($A484,'Product Master'!$A$7:$A$1000,0)))</f>
        <v/>
      </c>
      <c r="C484" t="str">
        <f>IF($A484="","",INDEX('Product Master'!$C$7:$C$1000,MATCH($A484,'Product Master'!$A$7:$A$1000,0)))</f>
        <v/>
      </c>
      <c r="D484" t="str">
        <f>IF($A484="","",INDEX('Product Master'!$M$7:$M$1000,MATCH($A484,'Product Master'!$A$7:$A$1000,0)))</f>
        <v/>
      </c>
      <c r="E484" t="str">
        <f>IF($A484="","",INDEX('Product Master'!$N$7:$N$1000,MATCH($A484,'Product Master'!$A$7:$A$1000,0)))</f>
        <v/>
      </c>
      <c r="F484" t="str">
        <f>IF($A484="","",INDEX('Product Master'!$P$7:$P$1000,MATCH($A484,'Product Master'!$A$7:$A$1000,0)))</f>
        <v/>
      </c>
      <c r="I484" t="str">
        <f>IFERROR(INDEX('Product Master'!$A$7:$A$1000,_xlfn.AGGREGATE(15,6,(ROW('Product Master'!$A$7:$A$1000)-ROW('Product Master'!$A$7)+1)/(('Product Master'!$A$7:$A$1000&lt;&gt;"")*('Product Master'!$P$7:$P$1000="Out of Stock")),ROWS($I$12:I484))),"")</f>
        <v/>
      </c>
      <c r="J484" t="str">
        <f>IF($I484="","",INDEX('Product Master'!$B$7:$B$1000,MATCH($I484,'Product Master'!$A$7:$A$1000,0)))</f>
        <v/>
      </c>
      <c r="K484" t="str">
        <f>IF($I484="","",INDEX('Product Master'!$C$7:$C$1000,MATCH($I484,'Product Master'!$A$7:$A$1000,0)))</f>
        <v/>
      </c>
      <c r="L484" t="str">
        <f>IF($I484="","",INDEX('Product Master'!$M$7:$M$1000,MATCH($I484,'Product Master'!$A$7:$A$1000,0)))</f>
        <v/>
      </c>
      <c r="M484" t="str">
        <f>IF($I484="","",INDEX('Product Master'!$N$7:$N$1000,MATCH($I484,'Product Master'!$A$7:$A$1000,0)))</f>
        <v/>
      </c>
    </row>
    <row r="485" spans="1:13" x14ac:dyDescent="0.3">
      <c r="A485" t="str">
        <f>IFERROR(INDEX('Product Master'!$A$7:$A$1000,_xlfn.AGGREGATE(15,6,(ROW('Product Master'!$A$7:$A$1000)-ROW('Product Master'!$A$7)+1)/(('Product Master'!$A$7:$A$1000&lt;&gt;"")*('Product Master'!$P$7:$P$1000="Low Stock")),ROWS($A$12:A485))),"")</f>
        <v/>
      </c>
      <c r="B485" t="str">
        <f>IF($A485="","",INDEX('Product Master'!$B$7:$B$1000,MATCH($A485,'Product Master'!$A$7:$A$1000,0)))</f>
        <v/>
      </c>
      <c r="C485" t="str">
        <f>IF($A485="","",INDEX('Product Master'!$C$7:$C$1000,MATCH($A485,'Product Master'!$A$7:$A$1000,0)))</f>
        <v/>
      </c>
      <c r="D485" t="str">
        <f>IF($A485="","",INDEX('Product Master'!$M$7:$M$1000,MATCH($A485,'Product Master'!$A$7:$A$1000,0)))</f>
        <v/>
      </c>
      <c r="E485" t="str">
        <f>IF($A485="","",INDEX('Product Master'!$N$7:$N$1000,MATCH($A485,'Product Master'!$A$7:$A$1000,0)))</f>
        <v/>
      </c>
      <c r="F485" t="str">
        <f>IF($A485="","",INDEX('Product Master'!$P$7:$P$1000,MATCH($A485,'Product Master'!$A$7:$A$1000,0)))</f>
        <v/>
      </c>
      <c r="I485" t="str">
        <f>IFERROR(INDEX('Product Master'!$A$7:$A$1000,_xlfn.AGGREGATE(15,6,(ROW('Product Master'!$A$7:$A$1000)-ROW('Product Master'!$A$7)+1)/(('Product Master'!$A$7:$A$1000&lt;&gt;"")*('Product Master'!$P$7:$P$1000="Out of Stock")),ROWS($I$12:I485))),"")</f>
        <v/>
      </c>
      <c r="J485" t="str">
        <f>IF($I485="","",INDEX('Product Master'!$B$7:$B$1000,MATCH($I485,'Product Master'!$A$7:$A$1000,0)))</f>
        <v/>
      </c>
      <c r="K485" t="str">
        <f>IF($I485="","",INDEX('Product Master'!$C$7:$C$1000,MATCH($I485,'Product Master'!$A$7:$A$1000,0)))</f>
        <v/>
      </c>
      <c r="L485" t="str">
        <f>IF($I485="","",INDEX('Product Master'!$M$7:$M$1000,MATCH($I485,'Product Master'!$A$7:$A$1000,0)))</f>
        <v/>
      </c>
      <c r="M485" t="str">
        <f>IF($I485="","",INDEX('Product Master'!$N$7:$N$1000,MATCH($I485,'Product Master'!$A$7:$A$1000,0)))</f>
        <v/>
      </c>
    </row>
    <row r="486" spans="1:13" x14ac:dyDescent="0.3">
      <c r="A486" t="str">
        <f>IFERROR(INDEX('Product Master'!$A$7:$A$1000,_xlfn.AGGREGATE(15,6,(ROW('Product Master'!$A$7:$A$1000)-ROW('Product Master'!$A$7)+1)/(('Product Master'!$A$7:$A$1000&lt;&gt;"")*('Product Master'!$P$7:$P$1000="Low Stock")),ROWS($A$12:A486))),"")</f>
        <v/>
      </c>
      <c r="B486" t="str">
        <f>IF($A486="","",INDEX('Product Master'!$B$7:$B$1000,MATCH($A486,'Product Master'!$A$7:$A$1000,0)))</f>
        <v/>
      </c>
      <c r="C486" t="str">
        <f>IF($A486="","",INDEX('Product Master'!$C$7:$C$1000,MATCH($A486,'Product Master'!$A$7:$A$1000,0)))</f>
        <v/>
      </c>
      <c r="D486" t="str">
        <f>IF($A486="","",INDEX('Product Master'!$M$7:$M$1000,MATCH($A486,'Product Master'!$A$7:$A$1000,0)))</f>
        <v/>
      </c>
      <c r="E486" t="str">
        <f>IF($A486="","",INDEX('Product Master'!$N$7:$N$1000,MATCH($A486,'Product Master'!$A$7:$A$1000,0)))</f>
        <v/>
      </c>
      <c r="F486" t="str">
        <f>IF($A486="","",INDEX('Product Master'!$P$7:$P$1000,MATCH($A486,'Product Master'!$A$7:$A$1000,0)))</f>
        <v/>
      </c>
      <c r="I486" t="str">
        <f>IFERROR(INDEX('Product Master'!$A$7:$A$1000,_xlfn.AGGREGATE(15,6,(ROW('Product Master'!$A$7:$A$1000)-ROW('Product Master'!$A$7)+1)/(('Product Master'!$A$7:$A$1000&lt;&gt;"")*('Product Master'!$P$7:$P$1000="Out of Stock")),ROWS($I$12:I486))),"")</f>
        <v/>
      </c>
      <c r="J486" t="str">
        <f>IF($I486="","",INDEX('Product Master'!$B$7:$B$1000,MATCH($I486,'Product Master'!$A$7:$A$1000,0)))</f>
        <v/>
      </c>
      <c r="K486" t="str">
        <f>IF($I486="","",INDEX('Product Master'!$C$7:$C$1000,MATCH($I486,'Product Master'!$A$7:$A$1000,0)))</f>
        <v/>
      </c>
      <c r="L486" t="str">
        <f>IF($I486="","",INDEX('Product Master'!$M$7:$M$1000,MATCH($I486,'Product Master'!$A$7:$A$1000,0)))</f>
        <v/>
      </c>
      <c r="M486" t="str">
        <f>IF($I486="","",INDEX('Product Master'!$N$7:$N$1000,MATCH($I486,'Product Master'!$A$7:$A$1000,0)))</f>
        <v/>
      </c>
    </row>
    <row r="487" spans="1:13" x14ac:dyDescent="0.3">
      <c r="A487" t="str">
        <f>IFERROR(INDEX('Product Master'!$A$7:$A$1000,_xlfn.AGGREGATE(15,6,(ROW('Product Master'!$A$7:$A$1000)-ROW('Product Master'!$A$7)+1)/(('Product Master'!$A$7:$A$1000&lt;&gt;"")*('Product Master'!$P$7:$P$1000="Low Stock")),ROWS($A$12:A487))),"")</f>
        <v/>
      </c>
      <c r="B487" t="str">
        <f>IF($A487="","",INDEX('Product Master'!$B$7:$B$1000,MATCH($A487,'Product Master'!$A$7:$A$1000,0)))</f>
        <v/>
      </c>
      <c r="C487" t="str">
        <f>IF($A487="","",INDEX('Product Master'!$C$7:$C$1000,MATCH($A487,'Product Master'!$A$7:$A$1000,0)))</f>
        <v/>
      </c>
      <c r="D487" t="str">
        <f>IF($A487="","",INDEX('Product Master'!$M$7:$M$1000,MATCH($A487,'Product Master'!$A$7:$A$1000,0)))</f>
        <v/>
      </c>
      <c r="E487" t="str">
        <f>IF($A487="","",INDEX('Product Master'!$N$7:$N$1000,MATCH($A487,'Product Master'!$A$7:$A$1000,0)))</f>
        <v/>
      </c>
      <c r="F487" t="str">
        <f>IF($A487="","",INDEX('Product Master'!$P$7:$P$1000,MATCH($A487,'Product Master'!$A$7:$A$1000,0)))</f>
        <v/>
      </c>
      <c r="I487" t="str">
        <f>IFERROR(INDEX('Product Master'!$A$7:$A$1000,_xlfn.AGGREGATE(15,6,(ROW('Product Master'!$A$7:$A$1000)-ROW('Product Master'!$A$7)+1)/(('Product Master'!$A$7:$A$1000&lt;&gt;"")*('Product Master'!$P$7:$P$1000="Out of Stock")),ROWS($I$12:I487))),"")</f>
        <v/>
      </c>
      <c r="J487" t="str">
        <f>IF($I487="","",INDEX('Product Master'!$B$7:$B$1000,MATCH($I487,'Product Master'!$A$7:$A$1000,0)))</f>
        <v/>
      </c>
      <c r="K487" t="str">
        <f>IF($I487="","",INDEX('Product Master'!$C$7:$C$1000,MATCH($I487,'Product Master'!$A$7:$A$1000,0)))</f>
        <v/>
      </c>
      <c r="L487" t="str">
        <f>IF($I487="","",INDEX('Product Master'!$M$7:$M$1000,MATCH($I487,'Product Master'!$A$7:$A$1000,0)))</f>
        <v/>
      </c>
      <c r="M487" t="str">
        <f>IF($I487="","",INDEX('Product Master'!$N$7:$N$1000,MATCH($I487,'Product Master'!$A$7:$A$1000,0)))</f>
        <v/>
      </c>
    </row>
    <row r="488" spans="1:13" x14ac:dyDescent="0.3">
      <c r="A488" t="str">
        <f>IFERROR(INDEX('Product Master'!$A$7:$A$1000,_xlfn.AGGREGATE(15,6,(ROW('Product Master'!$A$7:$A$1000)-ROW('Product Master'!$A$7)+1)/(('Product Master'!$A$7:$A$1000&lt;&gt;"")*('Product Master'!$P$7:$P$1000="Low Stock")),ROWS($A$12:A488))),"")</f>
        <v/>
      </c>
      <c r="B488" t="str">
        <f>IF($A488="","",INDEX('Product Master'!$B$7:$B$1000,MATCH($A488,'Product Master'!$A$7:$A$1000,0)))</f>
        <v/>
      </c>
      <c r="C488" t="str">
        <f>IF($A488="","",INDEX('Product Master'!$C$7:$C$1000,MATCH($A488,'Product Master'!$A$7:$A$1000,0)))</f>
        <v/>
      </c>
      <c r="D488" t="str">
        <f>IF($A488="","",INDEX('Product Master'!$M$7:$M$1000,MATCH($A488,'Product Master'!$A$7:$A$1000,0)))</f>
        <v/>
      </c>
      <c r="E488" t="str">
        <f>IF($A488="","",INDEX('Product Master'!$N$7:$N$1000,MATCH($A488,'Product Master'!$A$7:$A$1000,0)))</f>
        <v/>
      </c>
      <c r="F488" t="str">
        <f>IF($A488="","",INDEX('Product Master'!$P$7:$P$1000,MATCH($A488,'Product Master'!$A$7:$A$1000,0)))</f>
        <v/>
      </c>
      <c r="I488" t="str">
        <f>IFERROR(INDEX('Product Master'!$A$7:$A$1000,_xlfn.AGGREGATE(15,6,(ROW('Product Master'!$A$7:$A$1000)-ROW('Product Master'!$A$7)+1)/(('Product Master'!$A$7:$A$1000&lt;&gt;"")*('Product Master'!$P$7:$P$1000="Out of Stock")),ROWS($I$12:I488))),"")</f>
        <v/>
      </c>
      <c r="J488" t="str">
        <f>IF($I488="","",INDEX('Product Master'!$B$7:$B$1000,MATCH($I488,'Product Master'!$A$7:$A$1000,0)))</f>
        <v/>
      </c>
      <c r="K488" t="str">
        <f>IF($I488="","",INDEX('Product Master'!$C$7:$C$1000,MATCH($I488,'Product Master'!$A$7:$A$1000,0)))</f>
        <v/>
      </c>
      <c r="L488" t="str">
        <f>IF($I488="","",INDEX('Product Master'!$M$7:$M$1000,MATCH($I488,'Product Master'!$A$7:$A$1000,0)))</f>
        <v/>
      </c>
      <c r="M488" t="str">
        <f>IF($I488="","",INDEX('Product Master'!$N$7:$N$1000,MATCH($I488,'Product Master'!$A$7:$A$1000,0)))</f>
        <v/>
      </c>
    </row>
    <row r="489" spans="1:13" x14ac:dyDescent="0.3">
      <c r="A489" t="str">
        <f>IFERROR(INDEX('Product Master'!$A$7:$A$1000,_xlfn.AGGREGATE(15,6,(ROW('Product Master'!$A$7:$A$1000)-ROW('Product Master'!$A$7)+1)/(('Product Master'!$A$7:$A$1000&lt;&gt;"")*('Product Master'!$P$7:$P$1000="Low Stock")),ROWS($A$12:A489))),"")</f>
        <v/>
      </c>
      <c r="B489" t="str">
        <f>IF($A489="","",INDEX('Product Master'!$B$7:$B$1000,MATCH($A489,'Product Master'!$A$7:$A$1000,0)))</f>
        <v/>
      </c>
      <c r="C489" t="str">
        <f>IF($A489="","",INDEX('Product Master'!$C$7:$C$1000,MATCH($A489,'Product Master'!$A$7:$A$1000,0)))</f>
        <v/>
      </c>
      <c r="D489" t="str">
        <f>IF($A489="","",INDEX('Product Master'!$M$7:$M$1000,MATCH($A489,'Product Master'!$A$7:$A$1000,0)))</f>
        <v/>
      </c>
      <c r="E489" t="str">
        <f>IF($A489="","",INDEX('Product Master'!$N$7:$N$1000,MATCH($A489,'Product Master'!$A$7:$A$1000,0)))</f>
        <v/>
      </c>
      <c r="F489" t="str">
        <f>IF($A489="","",INDEX('Product Master'!$P$7:$P$1000,MATCH($A489,'Product Master'!$A$7:$A$1000,0)))</f>
        <v/>
      </c>
      <c r="I489" t="str">
        <f>IFERROR(INDEX('Product Master'!$A$7:$A$1000,_xlfn.AGGREGATE(15,6,(ROW('Product Master'!$A$7:$A$1000)-ROW('Product Master'!$A$7)+1)/(('Product Master'!$A$7:$A$1000&lt;&gt;"")*('Product Master'!$P$7:$P$1000="Out of Stock")),ROWS($I$12:I489))),"")</f>
        <v/>
      </c>
      <c r="J489" t="str">
        <f>IF($I489="","",INDEX('Product Master'!$B$7:$B$1000,MATCH($I489,'Product Master'!$A$7:$A$1000,0)))</f>
        <v/>
      </c>
      <c r="K489" t="str">
        <f>IF($I489="","",INDEX('Product Master'!$C$7:$C$1000,MATCH($I489,'Product Master'!$A$7:$A$1000,0)))</f>
        <v/>
      </c>
      <c r="L489" t="str">
        <f>IF($I489="","",INDEX('Product Master'!$M$7:$M$1000,MATCH($I489,'Product Master'!$A$7:$A$1000,0)))</f>
        <v/>
      </c>
      <c r="M489" t="str">
        <f>IF($I489="","",INDEX('Product Master'!$N$7:$N$1000,MATCH($I489,'Product Master'!$A$7:$A$1000,0)))</f>
        <v/>
      </c>
    </row>
    <row r="490" spans="1:13" x14ac:dyDescent="0.3">
      <c r="A490" t="str">
        <f>IFERROR(INDEX('Product Master'!$A$7:$A$1000,_xlfn.AGGREGATE(15,6,(ROW('Product Master'!$A$7:$A$1000)-ROW('Product Master'!$A$7)+1)/(('Product Master'!$A$7:$A$1000&lt;&gt;"")*('Product Master'!$P$7:$P$1000="Low Stock")),ROWS($A$12:A490))),"")</f>
        <v/>
      </c>
      <c r="B490" t="str">
        <f>IF($A490="","",INDEX('Product Master'!$B$7:$B$1000,MATCH($A490,'Product Master'!$A$7:$A$1000,0)))</f>
        <v/>
      </c>
      <c r="C490" t="str">
        <f>IF($A490="","",INDEX('Product Master'!$C$7:$C$1000,MATCH($A490,'Product Master'!$A$7:$A$1000,0)))</f>
        <v/>
      </c>
      <c r="D490" t="str">
        <f>IF($A490="","",INDEX('Product Master'!$M$7:$M$1000,MATCH($A490,'Product Master'!$A$7:$A$1000,0)))</f>
        <v/>
      </c>
      <c r="E490" t="str">
        <f>IF($A490="","",INDEX('Product Master'!$N$7:$N$1000,MATCH($A490,'Product Master'!$A$7:$A$1000,0)))</f>
        <v/>
      </c>
      <c r="F490" t="str">
        <f>IF($A490="","",INDEX('Product Master'!$P$7:$P$1000,MATCH($A490,'Product Master'!$A$7:$A$1000,0)))</f>
        <v/>
      </c>
      <c r="I490" t="str">
        <f>IFERROR(INDEX('Product Master'!$A$7:$A$1000,_xlfn.AGGREGATE(15,6,(ROW('Product Master'!$A$7:$A$1000)-ROW('Product Master'!$A$7)+1)/(('Product Master'!$A$7:$A$1000&lt;&gt;"")*('Product Master'!$P$7:$P$1000="Out of Stock")),ROWS($I$12:I490))),"")</f>
        <v/>
      </c>
      <c r="J490" t="str">
        <f>IF($I490="","",INDEX('Product Master'!$B$7:$B$1000,MATCH($I490,'Product Master'!$A$7:$A$1000,0)))</f>
        <v/>
      </c>
      <c r="K490" t="str">
        <f>IF($I490="","",INDEX('Product Master'!$C$7:$C$1000,MATCH($I490,'Product Master'!$A$7:$A$1000,0)))</f>
        <v/>
      </c>
      <c r="L490" t="str">
        <f>IF($I490="","",INDEX('Product Master'!$M$7:$M$1000,MATCH($I490,'Product Master'!$A$7:$A$1000,0)))</f>
        <v/>
      </c>
      <c r="M490" t="str">
        <f>IF($I490="","",INDEX('Product Master'!$N$7:$N$1000,MATCH($I490,'Product Master'!$A$7:$A$1000,0)))</f>
        <v/>
      </c>
    </row>
    <row r="491" spans="1:13" x14ac:dyDescent="0.3">
      <c r="A491" t="str">
        <f>IFERROR(INDEX('Product Master'!$A$7:$A$1000,_xlfn.AGGREGATE(15,6,(ROW('Product Master'!$A$7:$A$1000)-ROW('Product Master'!$A$7)+1)/(('Product Master'!$A$7:$A$1000&lt;&gt;"")*('Product Master'!$P$7:$P$1000="Low Stock")),ROWS($A$12:A491))),"")</f>
        <v/>
      </c>
      <c r="B491" t="str">
        <f>IF($A491="","",INDEX('Product Master'!$B$7:$B$1000,MATCH($A491,'Product Master'!$A$7:$A$1000,0)))</f>
        <v/>
      </c>
      <c r="C491" t="str">
        <f>IF($A491="","",INDEX('Product Master'!$C$7:$C$1000,MATCH($A491,'Product Master'!$A$7:$A$1000,0)))</f>
        <v/>
      </c>
      <c r="D491" t="str">
        <f>IF($A491="","",INDEX('Product Master'!$M$7:$M$1000,MATCH($A491,'Product Master'!$A$7:$A$1000,0)))</f>
        <v/>
      </c>
      <c r="E491" t="str">
        <f>IF($A491="","",INDEX('Product Master'!$N$7:$N$1000,MATCH($A491,'Product Master'!$A$7:$A$1000,0)))</f>
        <v/>
      </c>
      <c r="F491" t="str">
        <f>IF($A491="","",INDEX('Product Master'!$P$7:$P$1000,MATCH($A491,'Product Master'!$A$7:$A$1000,0)))</f>
        <v/>
      </c>
      <c r="I491" t="str">
        <f>IFERROR(INDEX('Product Master'!$A$7:$A$1000,_xlfn.AGGREGATE(15,6,(ROW('Product Master'!$A$7:$A$1000)-ROW('Product Master'!$A$7)+1)/(('Product Master'!$A$7:$A$1000&lt;&gt;"")*('Product Master'!$P$7:$P$1000="Out of Stock")),ROWS($I$12:I491))),"")</f>
        <v/>
      </c>
      <c r="J491" t="str">
        <f>IF($I491="","",INDEX('Product Master'!$B$7:$B$1000,MATCH($I491,'Product Master'!$A$7:$A$1000,0)))</f>
        <v/>
      </c>
      <c r="K491" t="str">
        <f>IF($I491="","",INDEX('Product Master'!$C$7:$C$1000,MATCH($I491,'Product Master'!$A$7:$A$1000,0)))</f>
        <v/>
      </c>
      <c r="L491" t="str">
        <f>IF($I491="","",INDEX('Product Master'!$M$7:$M$1000,MATCH($I491,'Product Master'!$A$7:$A$1000,0)))</f>
        <v/>
      </c>
      <c r="M491" t="str">
        <f>IF($I491="","",INDEX('Product Master'!$N$7:$N$1000,MATCH($I491,'Product Master'!$A$7:$A$1000,0)))</f>
        <v/>
      </c>
    </row>
    <row r="492" spans="1:13" x14ac:dyDescent="0.3">
      <c r="A492" t="str">
        <f>IFERROR(INDEX('Product Master'!$A$7:$A$1000,_xlfn.AGGREGATE(15,6,(ROW('Product Master'!$A$7:$A$1000)-ROW('Product Master'!$A$7)+1)/(('Product Master'!$A$7:$A$1000&lt;&gt;"")*('Product Master'!$P$7:$P$1000="Low Stock")),ROWS($A$12:A492))),"")</f>
        <v/>
      </c>
      <c r="B492" t="str">
        <f>IF($A492="","",INDEX('Product Master'!$B$7:$B$1000,MATCH($A492,'Product Master'!$A$7:$A$1000,0)))</f>
        <v/>
      </c>
      <c r="C492" t="str">
        <f>IF($A492="","",INDEX('Product Master'!$C$7:$C$1000,MATCH($A492,'Product Master'!$A$7:$A$1000,0)))</f>
        <v/>
      </c>
      <c r="D492" t="str">
        <f>IF($A492="","",INDEX('Product Master'!$M$7:$M$1000,MATCH($A492,'Product Master'!$A$7:$A$1000,0)))</f>
        <v/>
      </c>
      <c r="E492" t="str">
        <f>IF($A492="","",INDEX('Product Master'!$N$7:$N$1000,MATCH($A492,'Product Master'!$A$7:$A$1000,0)))</f>
        <v/>
      </c>
      <c r="F492" t="str">
        <f>IF($A492="","",INDEX('Product Master'!$P$7:$P$1000,MATCH($A492,'Product Master'!$A$7:$A$1000,0)))</f>
        <v/>
      </c>
      <c r="I492" t="str">
        <f>IFERROR(INDEX('Product Master'!$A$7:$A$1000,_xlfn.AGGREGATE(15,6,(ROW('Product Master'!$A$7:$A$1000)-ROW('Product Master'!$A$7)+1)/(('Product Master'!$A$7:$A$1000&lt;&gt;"")*('Product Master'!$P$7:$P$1000="Out of Stock")),ROWS($I$12:I492))),"")</f>
        <v/>
      </c>
      <c r="J492" t="str">
        <f>IF($I492="","",INDEX('Product Master'!$B$7:$B$1000,MATCH($I492,'Product Master'!$A$7:$A$1000,0)))</f>
        <v/>
      </c>
      <c r="K492" t="str">
        <f>IF($I492="","",INDEX('Product Master'!$C$7:$C$1000,MATCH($I492,'Product Master'!$A$7:$A$1000,0)))</f>
        <v/>
      </c>
      <c r="L492" t="str">
        <f>IF($I492="","",INDEX('Product Master'!$M$7:$M$1000,MATCH($I492,'Product Master'!$A$7:$A$1000,0)))</f>
        <v/>
      </c>
      <c r="M492" t="str">
        <f>IF($I492="","",INDEX('Product Master'!$N$7:$N$1000,MATCH($I492,'Product Master'!$A$7:$A$1000,0)))</f>
        <v/>
      </c>
    </row>
    <row r="493" spans="1:13" x14ac:dyDescent="0.3">
      <c r="A493" t="str">
        <f>IFERROR(INDEX('Product Master'!$A$7:$A$1000,_xlfn.AGGREGATE(15,6,(ROW('Product Master'!$A$7:$A$1000)-ROW('Product Master'!$A$7)+1)/(('Product Master'!$A$7:$A$1000&lt;&gt;"")*('Product Master'!$P$7:$P$1000="Low Stock")),ROWS($A$12:A493))),"")</f>
        <v/>
      </c>
      <c r="B493" t="str">
        <f>IF($A493="","",INDEX('Product Master'!$B$7:$B$1000,MATCH($A493,'Product Master'!$A$7:$A$1000,0)))</f>
        <v/>
      </c>
      <c r="C493" t="str">
        <f>IF($A493="","",INDEX('Product Master'!$C$7:$C$1000,MATCH($A493,'Product Master'!$A$7:$A$1000,0)))</f>
        <v/>
      </c>
      <c r="D493" t="str">
        <f>IF($A493="","",INDEX('Product Master'!$M$7:$M$1000,MATCH($A493,'Product Master'!$A$7:$A$1000,0)))</f>
        <v/>
      </c>
      <c r="E493" t="str">
        <f>IF($A493="","",INDEX('Product Master'!$N$7:$N$1000,MATCH($A493,'Product Master'!$A$7:$A$1000,0)))</f>
        <v/>
      </c>
      <c r="F493" t="str">
        <f>IF($A493="","",INDEX('Product Master'!$P$7:$P$1000,MATCH($A493,'Product Master'!$A$7:$A$1000,0)))</f>
        <v/>
      </c>
      <c r="I493" t="str">
        <f>IFERROR(INDEX('Product Master'!$A$7:$A$1000,_xlfn.AGGREGATE(15,6,(ROW('Product Master'!$A$7:$A$1000)-ROW('Product Master'!$A$7)+1)/(('Product Master'!$A$7:$A$1000&lt;&gt;"")*('Product Master'!$P$7:$P$1000="Out of Stock")),ROWS($I$12:I493))),"")</f>
        <v/>
      </c>
      <c r="J493" t="str">
        <f>IF($I493="","",INDEX('Product Master'!$B$7:$B$1000,MATCH($I493,'Product Master'!$A$7:$A$1000,0)))</f>
        <v/>
      </c>
      <c r="K493" t="str">
        <f>IF($I493="","",INDEX('Product Master'!$C$7:$C$1000,MATCH($I493,'Product Master'!$A$7:$A$1000,0)))</f>
        <v/>
      </c>
      <c r="L493" t="str">
        <f>IF($I493="","",INDEX('Product Master'!$M$7:$M$1000,MATCH($I493,'Product Master'!$A$7:$A$1000,0)))</f>
        <v/>
      </c>
      <c r="M493" t="str">
        <f>IF($I493="","",INDEX('Product Master'!$N$7:$N$1000,MATCH($I493,'Product Master'!$A$7:$A$1000,0)))</f>
        <v/>
      </c>
    </row>
    <row r="494" spans="1:13" x14ac:dyDescent="0.3">
      <c r="A494" t="str">
        <f>IFERROR(INDEX('Product Master'!$A$7:$A$1000,_xlfn.AGGREGATE(15,6,(ROW('Product Master'!$A$7:$A$1000)-ROW('Product Master'!$A$7)+1)/(('Product Master'!$A$7:$A$1000&lt;&gt;"")*('Product Master'!$P$7:$P$1000="Low Stock")),ROWS($A$12:A494))),"")</f>
        <v/>
      </c>
      <c r="B494" t="str">
        <f>IF($A494="","",INDEX('Product Master'!$B$7:$B$1000,MATCH($A494,'Product Master'!$A$7:$A$1000,0)))</f>
        <v/>
      </c>
      <c r="C494" t="str">
        <f>IF($A494="","",INDEX('Product Master'!$C$7:$C$1000,MATCH($A494,'Product Master'!$A$7:$A$1000,0)))</f>
        <v/>
      </c>
      <c r="D494" t="str">
        <f>IF($A494="","",INDEX('Product Master'!$M$7:$M$1000,MATCH($A494,'Product Master'!$A$7:$A$1000,0)))</f>
        <v/>
      </c>
      <c r="E494" t="str">
        <f>IF($A494="","",INDEX('Product Master'!$N$7:$N$1000,MATCH($A494,'Product Master'!$A$7:$A$1000,0)))</f>
        <v/>
      </c>
      <c r="F494" t="str">
        <f>IF($A494="","",INDEX('Product Master'!$P$7:$P$1000,MATCH($A494,'Product Master'!$A$7:$A$1000,0)))</f>
        <v/>
      </c>
      <c r="I494" t="str">
        <f>IFERROR(INDEX('Product Master'!$A$7:$A$1000,_xlfn.AGGREGATE(15,6,(ROW('Product Master'!$A$7:$A$1000)-ROW('Product Master'!$A$7)+1)/(('Product Master'!$A$7:$A$1000&lt;&gt;"")*('Product Master'!$P$7:$P$1000="Out of Stock")),ROWS($I$12:I494))),"")</f>
        <v/>
      </c>
      <c r="J494" t="str">
        <f>IF($I494="","",INDEX('Product Master'!$B$7:$B$1000,MATCH($I494,'Product Master'!$A$7:$A$1000,0)))</f>
        <v/>
      </c>
      <c r="K494" t="str">
        <f>IF($I494="","",INDEX('Product Master'!$C$7:$C$1000,MATCH($I494,'Product Master'!$A$7:$A$1000,0)))</f>
        <v/>
      </c>
      <c r="L494" t="str">
        <f>IF($I494="","",INDEX('Product Master'!$M$7:$M$1000,MATCH($I494,'Product Master'!$A$7:$A$1000,0)))</f>
        <v/>
      </c>
      <c r="M494" t="str">
        <f>IF($I494="","",INDEX('Product Master'!$N$7:$N$1000,MATCH($I494,'Product Master'!$A$7:$A$1000,0)))</f>
        <v/>
      </c>
    </row>
    <row r="495" spans="1:13" x14ac:dyDescent="0.3">
      <c r="A495" t="str">
        <f>IFERROR(INDEX('Product Master'!$A$7:$A$1000,_xlfn.AGGREGATE(15,6,(ROW('Product Master'!$A$7:$A$1000)-ROW('Product Master'!$A$7)+1)/(('Product Master'!$A$7:$A$1000&lt;&gt;"")*('Product Master'!$P$7:$P$1000="Low Stock")),ROWS($A$12:A495))),"")</f>
        <v/>
      </c>
      <c r="B495" t="str">
        <f>IF($A495="","",INDEX('Product Master'!$B$7:$B$1000,MATCH($A495,'Product Master'!$A$7:$A$1000,0)))</f>
        <v/>
      </c>
      <c r="C495" t="str">
        <f>IF($A495="","",INDEX('Product Master'!$C$7:$C$1000,MATCH($A495,'Product Master'!$A$7:$A$1000,0)))</f>
        <v/>
      </c>
      <c r="D495" t="str">
        <f>IF($A495="","",INDEX('Product Master'!$M$7:$M$1000,MATCH($A495,'Product Master'!$A$7:$A$1000,0)))</f>
        <v/>
      </c>
      <c r="E495" t="str">
        <f>IF($A495="","",INDEX('Product Master'!$N$7:$N$1000,MATCH($A495,'Product Master'!$A$7:$A$1000,0)))</f>
        <v/>
      </c>
      <c r="F495" t="str">
        <f>IF($A495="","",INDEX('Product Master'!$P$7:$P$1000,MATCH($A495,'Product Master'!$A$7:$A$1000,0)))</f>
        <v/>
      </c>
      <c r="I495" t="str">
        <f>IFERROR(INDEX('Product Master'!$A$7:$A$1000,_xlfn.AGGREGATE(15,6,(ROW('Product Master'!$A$7:$A$1000)-ROW('Product Master'!$A$7)+1)/(('Product Master'!$A$7:$A$1000&lt;&gt;"")*('Product Master'!$P$7:$P$1000="Out of Stock")),ROWS($I$12:I495))),"")</f>
        <v/>
      </c>
      <c r="J495" t="str">
        <f>IF($I495="","",INDEX('Product Master'!$B$7:$B$1000,MATCH($I495,'Product Master'!$A$7:$A$1000,0)))</f>
        <v/>
      </c>
      <c r="K495" t="str">
        <f>IF($I495="","",INDEX('Product Master'!$C$7:$C$1000,MATCH($I495,'Product Master'!$A$7:$A$1000,0)))</f>
        <v/>
      </c>
      <c r="L495" t="str">
        <f>IF($I495="","",INDEX('Product Master'!$M$7:$M$1000,MATCH($I495,'Product Master'!$A$7:$A$1000,0)))</f>
        <v/>
      </c>
      <c r="M495" t="str">
        <f>IF($I495="","",INDEX('Product Master'!$N$7:$N$1000,MATCH($I495,'Product Master'!$A$7:$A$1000,0)))</f>
        <v/>
      </c>
    </row>
    <row r="496" spans="1:13" x14ac:dyDescent="0.3">
      <c r="A496" t="str">
        <f>IFERROR(INDEX('Product Master'!$A$7:$A$1000,_xlfn.AGGREGATE(15,6,(ROW('Product Master'!$A$7:$A$1000)-ROW('Product Master'!$A$7)+1)/(('Product Master'!$A$7:$A$1000&lt;&gt;"")*('Product Master'!$P$7:$P$1000="Low Stock")),ROWS($A$12:A496))),"")</f>
        <v/>
      </c>
      <c r="B496" t="str">
        <f>IF($A496="","",INDEX('Product Master'!$B$7:$B$1000,MATCH($A496,'Product Master'!$A$7:$A$1000,0)))</f>
        <v/>
      </c>
      <c r="C496" t="str">
        <f>IF($A496="","",INDEX('Product Master'!$C$7:$C$1000,MATCH($A496,'Product Master'!$A$7:$A$1000,0)))</f>
        <v/>
      </c>
      <c r="D496" t="str">
        <f>IF($A496="","",INDEX('Product Master'!$M$7:$M$1000,MATCH($A496,'Product Master'!$A$7:$A$1000,0)))</f>
        <v/>
      </c>
      <c r="E496" t="str">
        <f>IF($A496="","",INDEX('Product Master'!$N$7:$N$1000,MATCH($A496,'Product Master'!$A$7:$A$1000,0)))</f>
        <v/>
      </c>
      <c r="F496" t="str">
        <f>IF($A496="","",INDEX('Product Master'!$P$7:$P$1000,MATCH($A496,'Product Master'!$A$7:$A$1000,0)))</f>
        <v/>
      </c>
      <c r="I496" t="str">
        <f>IFERROR(INDEX('Product Master'!$A$7:$A$1000,_xlfn.AGGREGATE(15,6,(ROW('Product Master'!$A$7:$A$1000)-ROW('Product Master'!$A$7)+1)/(('Product Master'!$A$7:$A$1000&lt;&gt;"")*('Product Master'!$P$7:$P$1000="Out of Stock")),ROWS($I$12:I496))),"")</f>
        <v/>
      </c>
      <c r="J496" t="str">
        <f>IF($I496="","",INDEX('Product Master'!$B$7:$B$1000,MATCH($I496,'Product Master'!$A$7:$A$1000,0)))</f>
        <v/>
      </c>
      <c r="K496" t="str">
        <f>IF($I496="","",INDEX('Product Master'!$C$7:$C$1000,MATCH($I496,'Product Master'!$A$7:$A$1000,0)))</f>
        <v/>
      </c>
      <c r="L496" t="str">
        <f>IF($I496="","",INDEX('Product Master'!$M$7:$M$1000,MATCH($I496,'Product Master'!$A$7:$A$1000,0)))</f>
        <v/>
      </c>
      <c r="M496" t="str">
        <f>IF($I496="","",INDEX('Product Master'!$N$7:$N$1000,MATCH($I496,'Product Master'!$A$7:$A$1000,0)))</f>
        <v/>
      </c>
    </row>
    <row r="497" spans="1:13" x14ac:dyDescent="0.3">
      <c r="A497" t="str">
        <f>IFERROR(INDEX('Product Master'!$A$7:$A$1000,_xlfn.AGGREGATE(15,6,(ROW('Product Master'!$A$7:$A$1000)-ROW('Product Master'!$A$7)+1)/(('Product Master'!$A$7:$A$1000&lt;&gt;"")*('Product Master'!$P$7:$P$1000="Low Stock")),ROWS($A$12:A497))),"")</f>
        <v/>
      </c>
      <c r="B497" t="str">
        <f>IF($A497="","",INDEX('Product Master'!$B$7:$B$1000,MATCH($A497,'Product Master'!$A$7:$A$1000,0)))</f>
        <v/>
      </c>
      <c r="C497" t="str">
        <f>IF($A497="","",INDEX('Product Master'!$C$7:$C$1000,MATCH($A497,'Product Master'!$A$7:$A$1000,0)))</f>
        <v/>
      </c>
      <c r="D497" t="str">
        <f>IF($A497="","",INDEX('Product Master'!$M$7:$M$1000,MATCH($A497,'Product Master'!$A$7:$A$1000,0)))</f>
        <v/>
      </c>
      <c r="E497" t="str">
        <f>IF($A497="","",INDEX('Product Master'!$N$7:$N$1000,MATCH($A497,'Product Master'!$A$7:$A$1000,0)))</f>
        <v/>
      </c>
      <c r="F497" t="str">
        <f>IF($A497="","",INDEX('Product Master'!$P$7:$P$1000,MATCH($A497,'Product Master'!$A$7:$A$1000,0)))</f>
        <v/>
      </c>
      <c r="I497" t="str">
        <f>IFERROR(INDEX('Product Master'!$A$7:$A$1000,_xlfn.AGGREGATE(15,6,(ROW('Product Master'!$A$7:$A$1000)-ROW('Product Master'!$A$7)+1)/(('Product Master'!$A$7:$A$1000&lt;&gt;"")*('Product Master'!$P$7:$P$1000="Out of Stock")),ROWS($I$12:I497))),"")</f>
        <v/>
      </c>
      <c r="J497" t="str">
        <f>IF($I497="","",INDEX('Product Master'!$B$7:$B$1000,MATCH($I497,'Product Master'!$A$7:$A$1000,0)))</f>
        <v/>
      </c>
      <c r="K497" t="str">
        <f>IF($I497="","",INDEX('Product Master'!$C$7:$C$1000,MATCH($I497,'Product Master'!$A$7:$A$1000,0)))</f>
        <v/>
      </c>
      <c r="L497" t="str">
        <f>IF($I497="","",INDEX('Product Master'!$M$7:$M$1000,MATCH($I497,'Product Master'!$A$7:$A$1000,0)))</f>
        <v/>
      </c>
      <c r="M497" t="str">
        <f>IF($I497="","",INDEX('Product Master'!$N$7:$N$1000,MATCH($I497,'Product Master'!$A$7:$A$1000,0)))</f>
        <v/>
      </c>
    </row>
    <row r="498" spans="1:13" x14ac:dyDescent="0.3">
      <c r="A498" t="str">
        <f>IFERROR(INDEX('Product Master'!$A$7:$A$1000,_xlfn.AGGREGATE(15,6,(ROW('Product Master'!$A$7:$A$1000)-ROW('Product Master'!$A$7)+1)/(('Product Master'!$A$7:$A$1000&lt;&gt;"")*('Product Master'!$P$7:$P$1000="Low Stock")),ROWS($A$12:A498))),"")</f>
        <v/>
      </c>
      <c r="B498" t="str">
        <f>IF($A498="","",INDEX('Product Master'!$B$7:$B$1000,MATCH($A498,'Product Master'!$A$7:$A$1000,0)))</f>
        <v/>
      </c>
      <c r="C498" t="str">
        <f>IF($A498="","",INDEX('Product Master'!$C$7:$C$1000,MATCH($A498,'Product Master'!$A$7:$A$1000,0)))</f>
        <v/>
      </c>
      <c r="D498" t="str">
        <f>IF($A498="","",INDEX('Product Master'!$M$7:$M$1000,MATCH($A498,'Product Master'!$A$7:$A$1000,0)))</f>
        <v/>
      </c>
      <c r="E498" t="str">
        <f>IF($A498="","",INDEX('Product Master'!$N$7:$N$1000,MATCH($A498,'Product Master'!$A$7:$A$1000,0)))</f>
        <v/>
      </c>
      <c r="F498" t="str">
        <f>IF($A498="","",INDEX('Product Master'!$P$7:$P$1000,MATCH($A498,'Product Master'!$A$7:$A$1000,0)))</f>
        <v/>
      </c>
      <c r="I498" t="str">
        <f>IFERROR(INDEX('Product Master'!$A$7:$A$1000,_xlfn.AGGREGATE(15,6,(ROW('Product Master'!$A$7:$A$1000)-ROW('Product Master'!$A$7)+1)/(('Product Master'!$A$7:$A$1000&lt;&gt;"")*('Product Master'!$P$7:$P$1000="Out of Stock")),ROWS($I$12:I498))),"")</f>
        <v/>
      </c>
      <c r="J498" t="str">
        <f>IF($I498="","",INDEX('Product Master'!$B$7:$B$1000,MATCH($I498,'Product Master'!$A$7:$A$1000,0)))</f>
        <v/>
      </c>
      <c r="K498" t="str">
        <f>IF($I498="","",INDEX('Product Master'!$C$7:$C$1000,MATCH($I498,'Product Master'!$A$7:$A$1000,0)))</f>
        <v/>
      </c>
      <c r="L498" t="str">
        <f>IF($I498="","",INDEX('Product Master'!$M$7:$M$1000,MATCH($I498,'Product Master'!$A$7:$A$1000,0)))</f>
        <v/>
      </c>
      <c r="M498" t="str">
        <f>IF($I498="","",INDEX('Product Master'!$N$7:$N$1000,MATCH($I498,'Product Master'!$A$7:$A$1000,0)))</f>
        <v/>
      </c>
    </row>
    <row r="499" spans="1:13" x14ac:dyDescent="0.3">
      <c r="A499" t="str">
        <f>IFERROR(INDEX('Product Master'!$A$7:$A$1000,_xlfn.AGGREGATE(15,6,(ROW('Product Master'!$A$7:$A$1000)-ROW('Product Master'!$A$7)+1)/(('Product Master'!$A$7:$A$1000&lt;&gt;"")*('Product Master'!$P$7:$P$1000="Low Stock")),ROWS($A$12:A499))),"")</f>
        <v/>
      </c>
      <c r="B499" t="str">
        <f>IF($A499="","",INDEX('Product Master'!$B$7:$B$1000,MATCH($A499,'Product Master'!$A$7:$A$1000,0)))</f>
        <v/>
      </c>
      <c r="C499" t="str">
        <f>IF($A499="","",INDEX('Product Master'!$C$7:$C$1000,MATCH($A499,'Product Master'!$A$7:$A$1000,0)))</f>
        <v/>
      </c>
      <c r="D499" t="str">
        <f>IF($A499="","",INDEX('Product Master'!$M$7:$M$1000,MATCH($A499,'Product Master'!$A$7:$A$1000,0)))</f>
        <v/>
      </c>
      <c r="E499" t="str">
        <f>IF($A499="","",INDEX('Product Master'!$N$7:$N$1000,MATCH($A499,'Product Master'!$A$7:$A$1000,0)))</f>
        <v/>
      </c>
      <c r="F499" t="str">
        <f>IF($A499="","",INDEX('Product Master'!$P$7:$P$1000,MATCH($A499,'Product Master'!$A$7:$A$1000,0)))</f>
        <v/>
      </c>
      <c r="I499" t="str">
        <f>IFERROR(INDEX('Product Master'!$A$7:$A$1000,_xlfn.AGGREGATE(15,6,(ROW('Product Master'!$A$7:$A$1000)-ROW('Product Master'!$A$7)+1)/(('Product Master'!$A$7:$A$1000&lt;&gt;"")*('Product Master'!$P$7:$P$1000="Out of Stock")),ROWS($I$12:I499))),"")</f>
        <v/>
      </c>
      <c r="J499" t="str">
        <f>IF($I499="","",INDEX('Product Master'!$B$7:$B$1000,MATCH($I499,'Product Master'!$A$7:$A$1000,0)))</f>
        <v/>
      </c>
      <c r="K499" t="str">
        <f>IF($I499="","",INDEX('Product Master'!$C$7:$C$1000,MATCH($I499,'Product Master'!$A$7:$A$1000,0)))</f>
        <v/>
      </c>
      <c r="L499" t="str">
        <f>IF($I499="","",INDEX('Product Master'!$M$7:$M$1000,MATCH($I499,'Product Master'!$A$7:$A$1000,0)))</f>
        <v/>
      </c>
      <c r="M499" t="str">
        <f>IF($I499="","",INDEX('Product Master'!$N$7:$N$1000,MATCH($I499,'Product Master'!$A$7:$A$1000,0)))</f>
        <v/>
      </c>
    </row>
    <row r="500" spans="1:13" x14ac:dyDescent="0.3">
      <c r="A500" t="str">
        <f>IFERROR(INDEX('Product Master'!$A$7:$A$1000,_xlfn.AGGREGATE(15,6,(ROW('Product Master'!$A$7:$A$1000)-ROW('Product Master'!$A$7)+1)/(('Product Master'!$A$7:$A$1000&lt;&gt;"")*('Product Master'!$P$7:$P$1000="Low Stock")),ROWS($A$12:A500))),"")</f>
        <v/>
      </c>
      <c r="B500" t="str">
        <f>IF($A500="","",INDEX('Product Master'!$B$7:$B$1000,MATCH($A500,'Product Master'!$A$7:$A$1000,0)))</f>
        <v/>
      </c>
      <c r="C500" t="str">
        <f>IF($A500="","",INDEX('Product Master'!$C$7:$C$1000,MATCH($A500,'Product Master'!$A$7:$A$1000,0)))</f>
        <v/>
      </c>
      <c r="D500" t="str">
        <f>IF($A500="","",INDEX('Product Master'!$M$7:$M$1000,MATCH($A500,'Product Master'!$A$7:$A$1000,0)))</f>
        <v/>
      </c>
      <c r="E500" t="str">
        <f>IF($A500="","",INDEX('Product Master'!$N$7:$N$1000,MATCH($A500,'Product Master'!$A$7:$A$1000,0)))</f>
        <v/>
      </c>
      <c r="F500" t="str">
        <f>IF($A500="","",INDEX('Product Master'!$P$7:$P$1000,MATCH($A500,'Product Master'!$A$7:$A$1000,0)))</f>
        <v/>
      </c>
      <c r="I500" t="str">
        <f>IFERROR(INDEX('Product Master'!$A$7:$A$1000,_xlfn.AGGREGATE(15,6,(ROW('Product Master'!$A$7:$A$1000)-ROW('Product Master'!$A$7)+1)/(('Product Master'!$A$7:$A$1000&lt;&gt;"")*('Product Master'!$P$7:$P$1000="Out of Stock")),ROWS($I$12:I500))),"")</f>
        <v/>
      </c>
      <c r="J500" t="str">
        <f>IF($I500="","",INDEX('Product Master'!$B$7:$B$1000,MATCH($I500,'Product Master'!$A$7:$A$1000,0)))</f>
        <v/>
      </c>
      <c r="K500" t="str">
        <f>IF($I500="","",INDEX('Product Master'!$C$7:$C$1000,MATCH($I500,'Product Master'!$A$7:$A$1000,0)))</f>
        <v/>
      </c>
      <c r="L500" t="str">
        <f>IF($I500="","",INDEX('Product Master'!$M$7:$M$1000,MATCH($I500,'Product Master'!$A$7:$A$1000,0)))</f>
        <v/>
      </c>
      <c r="M500" t="str">
        <f>IF($I500="","",INDEX('Product Master'!$N$7:$N$1000,MATCH($I500,'Product Master'!$A$7:$A$1000,0)))</f>
        <v/>
      </c>
    </row>
    <row r="501" spans="1:13" x14ac:dyDescent="0.3">
      <c r="A501" t="str">
        <f>IFERROR(INDEX('Product Master'!$A$7:$A$1000,_xlfn.AGGREGATE(15,6,(ROW('Product Master'!$A$7:$A$1000)-ROW('Product Master'!$A$7)+1)/(('Product Master'!$A$7:$A$1000&lt;&gt;"")*('Product Master'!$P$7:$P$1000="Low Stock")),ROWS($A$12:A501))),"")</f>
        <v/>
      </c>
      <c r="B501" t="str">
        <f>IF($A501="","",INDEX('Product Master'!$B$7:$B$1000,MATCH($A501,'Product Master'!$A$7:$A$1000,0)))</f>
        <v/>
      </c>
      <c r="C501" t="str">
        <f>IF($A501="","",INDEX('Product Master'!$C$7:$C$1000,MATCH($A501,'Product Master'!$A$7:$A$1000,0)))</f>
        <v/>
      </c>
      <c r="D501" t="str">
        <f>IF($A501="","",INDEX('Product Master'!$M$7:$M$1000,MATCH($A501,'Product Master'!$A$7:$A$1000,0)))</f>
        <v/>
      </c>
      <c r="E501" t="str">
        <f>IF($A501="","",INDEX('Product Master'!$N$7:$N$1000,MATCH($A501,'Product Master'!$A$7:$A$1000,0)))</f>
        <v/>
      </c>
      <c r="F501" t="str">
        <f>IF($A501="","",INDEX('Product Master'!$P$7:$P$1000,MATCH($A501,'Product Master'!$A$7:$A$1000,0)))</f>
        <v/>
      </c>
      <c r="I501" t="str">
        <f>IFERROR(INDEX('Product Master'!$A$7:$A$1000,_xlfn.AGGREGATE(15,6,(ROW('Product Master'!$A$7:$A$1000)-ROW('Product Master'!$A$7)+1)/(('Product Master'!$A$7:$A$1000&lt;&gt;"")*('Product Master'!$P$7:$P$1000="Out of Stock")),ROWS($I$12:I501))),"")</f>
        <v/>
      </c>
      <c r="J501" t="str">
        <f>IF($I501="","",INDEX('Product Master'!$B$7:$B$1000,MATCH($I501,'Product Master'!$A$7:$A$1000,0)))</f>
        <v/>
      </c>
      <c r="K501" t="str">
        <f>IF($I501="","",INDEX('Product Master'!$C$7:$C$1000,MATCH($I501,'Product Master'!$A$7:$A$1000,0)))</f>
        <v/>
      </c>
      <c r="L501" t="str">
        <f>IF($I501="","",INDEX('Product Master'!$M$7:$M$1000,MATCH($I501,'Product Master'!$A$7:$A$1000,0)))</f>
        <v/>
      </c>
      <c r="M501" t="str">
        <f>IF($I501="","",INDEX('Product Master'!$N$7:$N$1000,MATCH($I501,'Product Master'!$A$7:$A$1000,0)))</f>
        <v/>
      </c>
    </row>
    <row r="502" spans="1:13" x14ac:dyDescent="0.3">
      <c r="A502" t="str">
        <f>IFERROR(INDEX('Product Master'!$A$7:$A$1000,_xlfn.AGGREGATE(15,6,(ROW('Product Master'!$A$7:$A$1000)-ROW('Product Master'!$A$7)+1)/(('Product Master'!$A$7:$A$1000&lt;&gt;"")*('Product Master'!$P$7:$P$1000="Low Stock")),ROWS($A$12:A502))),"")</f>
        <v/>
      </c>
      <c r="B502" t="str">
        <f>IF($A502="","",INDEX('Product Master'!$B$7:$B$1000,MATCH($A502,'Product Master'!$A$7:$A$1000,0)))</f>
        <v/>
      </c>
      <c r="C502" t="str">
        <f>IF($A502="","",INDEX('Product Master'!$C$7:$C$1000,MATCH($A502,'Product Master'!$A$7:$A$1000,0)))</f>
        <v/>
      </c>
      <c r="D502" t="str">
        <f>IF($A502="","",INDEX('Product Master'!$M$7:$M$1000,MATCH($A502,'Product Master'!$A$7:$A$1000,0)))</f>
        <v/>
      </c>
      <c r="E502" t="str">
        <f>IF($A502="","",INDEX('Product Master'!$N$7:$N$1000,MATCH($A502,'Product Master'!$A$7:$A$1000,0)))</f>
        <v/>
      </c>
      <c r="F502" t="str">
        <f>IF($A502="","",INDEX('Product Master'!$P$7:$P$1000,MATCH($A502,'Product Master'!$A$7:$A$1000,0)))</f>
        <v/>
      </c>
      <c r="I502" t="str">
        <f>IFERROR(INDEX('Product Master'!$A$7:$A$1000,_xlfn.AGGREGATE(15,6,(ROW('Product Master'!$A$7:$A$1000)-ROW('Product Master'!$A$7)+1)/(('Product Master'!$A$7:$A$1000&lt;&gt;"")*('Product Master'!$P$7:$P$1000="Out of Stock")),ROWS($I$12:I502))),"")</f>
        <v/>
      </c>
      <c r="J502" t="str">
        <f>IF($I502="","",INDEX('Product Master'!$B$7:$B$1000,MATCH($I502,'Product Master'!$A$7:$A$1000,0)))</f>
        <v/>
      </c>
      <c r="K502" t="str">
        <f>IF($I502="","",INDEX('Product Master'!$C$7:$C$1000,MATCH($I502,'Product Master'!$A$7:$A$1000,0)))</f>
        <v/>
      </c>
      <c r="L502" t="str">
        <f>IF($I502="","",INDEX('Product Master'!$M$7:$M$1000,MATCH($I502,'Product Master'!$A$7:$A$1000,0)))</f>
        <v/>
      </c>
      <c r="M502" t="str">
        <f>IF($I502="","",INDEX('Product Master'!$N$7:$N$1000,MATCH($I502,'Product Master'!$A$7:$A$1000,0)))</f>
        <v/>
      </c>
    </row>
    <row r="503" spans="1:13" x14ac:dyDescent="0.3">
      <c r="A503" t="str">
        <f>IFERROR(INDEX('Product Master'!$A$7:$A$1000,_xlfn.AGGREGATE(15,6,(ROW('Product Master'!$A$7:$A$1000)-ROW('Product Master'!$A$7)+1)/(('Product Master'!$A$7:$A$1000&lt;&gt;"")*('Product Master'!$P$7:$P$1000="Low Stock")),ROWS($A$12:A503))),"")</f>
        <v/>
      </c>
      <c r="B503" t="str">
        <f>IF($A503="","",INDEX('Product Master'!$B$7:$B$1000,MATCH($A503,'Product Master'!$A$7:$A$1000,0)))</f>
        <v/>
      </c>
      <c r="C503" t="str">
        <f>IF($A503="","",INDEX('Product Master'!$C$7:$C$1000,MATCH($A503,'Product Master'!$A$7:$A$1000,0)))</f>
        <v/>
      </c>
      <c r="D503" t="str">
        <f>IF($A503="","",INDEX('Product Master'!$M$7:$M$1000,MATCH($A503,'Product Master'!$A$7:$A$1000,0)))</f>
        <v/>
      </c>
      <c r="E503" t="str">
        <f>IF($A503="","",INDEX('Product Master'!$N$7:$N$1000,MATCH($A503,'Product Master'!$A$7:$A$1000,0)))</f>
        <v/>
      </c>
      <c r="F503" t="str">
        <f>IF($A503="","",INDEX('Product Master'!$P$7:$P$1000,MATCH($A503,'Product Master'!$A$7:$A$1000,0)))</f>
        <v/>
      </c>
      <c r="I503" t="str">
        <f>IFERROR(INDEX('Product Master'!$A$7:$A$1000,_xlfn.AGGREGATE(15,6,(ROW('Product Master'!$A$7:$A$1000)-ROW('Product Master'!$A$7)+1)/(('Product Master'!$A$7:$A$1000&lt;&gt;"")*('Product Master'!$P$7:$P$1000="Out of Stock")),ROWS($I$12:I503))),"")</f>
        <v/>
      </c>
      <c r="J503" t="str">
        <f>IF($I503="","",INDEX('Product Master'!$B$7:$B$1000,MATCH($I503,'Product Master'!$A$7:$A$1000,0)))</f>
        <v/>
      </c>
      <c r="K503" t="str">
        <f>IF($I503="","",INDEX('Product Master'!$C$7:$C$1000,MATCH($I503,'Product Master'!$A$7:$A$1000,0)))</f>
        <v/>
      </c>
      <c r="L503" t="str">
        <f>IF($I503="","",INDEX('Product Master'!$M$7:$M$1000,MATCH($I503,'Product Master'!$A$7:$A$1000,0)))</f>
        <v/>
      </c>
      <c r="M503" t="str">
        <f>IF($I503="","",INDEX('Product Master'!$N$7:$N$1000,MATCH($I503,'Product Master'!$A$7:$A$1000,0)))</f>
        <v/>
      </c>
    </row>
    <row r="504" spans="1:13" x14ac:dyDescent="0.3">
      <c r="A504" t="str">
        <f>IFERROR(INDEX('Product Master'!$A$7:$A$1000,_xlfn.AGGREGATE(15,6,(ROW('Product Master'!$A$7:$A$1000)-ROW('Product Master'!$A$7)+1)/(('Product Master'!$A$7:$A$1000&lt;&gt;"")*('Product Master'!$P$7:$P$1000="Low Stock")),ROWS($A$12:A504))),"")</f>
        <v/>
      </c>
      <c r="B504" t="str">
        <f>IF($A504="","",INDEX('Product Master'!$B$7:$B$1000,MATCH($A504,'Product Master'!$A$7:$A$1000,0)))</f>
        <v/>
      </c>
      <c r="C504" t="str">
        <f>IF($A504="","",INDEX('Product Master'!$C$7:$C$1000,MATCH($A504,'Product Master'!$A$7:$A$1000,0)))</f>
        <v/>
      </c>
      <c r="D504" t="str">
        <f>IF($A504="","",INDEX('Product Master'!$M$7:$M$1000,MATCH($A504,'Product Master'!$A$7:$A$1000,0)))</f>
        <v/>
      </c>
      <c r="E504" t="str">
        <f>IF($A504="","",INDEX('Product Master'!$N$7:$N$1000,MATCH($A504,'Product Master'!$A$7:$A$1000,0)))</f>
        <v/>
      </c>
      <c r="F504" t="str">
        <f>IF($A504="","",INDEX('Product Master'!$P$7:$P$1000,MATCH($A504,'Product Master'!$A$7:$A$1000,0)))</f>
        <v/>
      </c>
      <c r="I504" t="str">
        <f>IFERROR(INDEX('Product Master'!$A$7:$A$1000,_xlfn.AGGREGATE(15,6,(ROW('Product Master'!$A$7:$A$1000)-ROW('Product Master'!$A$7)+1)/(('Product Master'!$A$7:$A$1000&lt;&gt;"")*('Product Master'!$P$7:$P$1000="Out of Stock")),ROWS($I$12:I504))),"")</f>
        <v/>
      </c>
      <c r="J504" t="str">
        <f>IF($I504="","",INDEX('Product Master'!$B$7:$B$1000,MATCH($I504,'Product Master'!$A$7:$A$1000,0)))</f>
        <v/>
      </c>
      <c r="K504" t="str">
        <f>IF($I504="","",INDEX('Product Master'!$C$7:$C$1000,MATCH($I504,'Product Master'!$A$7:$A$1000,0)))</f>
        <v/>
      </c>
      <c r="L504" t="str">
        <f>IF($I504="","",INDEX('Product Master'!$M$7:$M$1000,MATCH($I504,'Product Master'!$A$7:$A$1000,0)))</f>
        <v/>
      </c>
      <c r="M504" t="str">
        <f>IF($I504="","",INDEX('Product Master'!$N$7:$N$1000,MATCH($I504,'Product Master'!$A$7:$A$1000,0)))</f>
        <v/>
      </c>
    </row>
    <row r="505" spans="1:13" x14ac:dyDescent="0.3">
      <c r="A505" t="str">
        <f>IFERROR(INDEX('Product Master'!$A$7:$A$1000,_xlfn.AGGREGATE(15,6,(ROW('Product Master'!$A$7:$A$1000)-ROW('Product Master'!$A$7)+1)/(('Product Master'!$A$7:$A$1000&lt;&gt;"")*('Product Master'!$P$7:$P$1000="Low Stock")),ROWS($A$12:A505))),"")</f>
        <v/>
      </c>
      <c r="B505" t="str">
        <f>IF($A505="","",INDEX('Product Master'!$B$7:$B$1000,MATCH($A505,'Product Master'!$A$7:$A$1000,0)))</f>
        <v/>
      </c>
      <c r="C505" t="str">
        <f>IF($A505="","",INDEX('Product Master'!$C$7:$C$1000,MATCH($A505,'Product Master'!$A$7:$A$1000,0)))</f>
        <v/>
      </c>
      <c r="D505" t="str">
        <f>IF($A505="","",INDEX('Product Master'!$M$7:$M$1000,MATCH($A505,'Product Master'!$A$7:$A$1000,0)))</f>
        <v/>
      </c>
      <c r="E505" t="str">
        <f>IF($A505="","",INDEX('Product Master'!$N$7:$N$1000,MATCH($A505,'Product Master'!$A$7:$A$1000,0)))</f>
        <v/>
      </c>
      <c r="F505" t="str">
        <f>IF($A505="","",INDEX('Product Master'!$P$7:$P$1000,MATCH($A505,'Product Master'!$A$7:$A$1000,0)))</f>
        <v/>
      </c>
      <c r="I505" t="str">
        <f>IFERROR(INDEX('Product Master'!$A$7:$A$1000,_xlfn.AGGREGATE(15,6,(ROW('Product Master'!$A$7:$A$1000)-ROW('Product Master'!$A$7)+1)/(('Product Master'!$A$7:$A$1000&lt;&gt;"")*('Product Master'!$P$7:$P$1000="Out of Stock")),ROWS($I$12:I505))),"")</f>
        <v/>
      </c>
      <c r="J505" t="str">
        <f>IF($I505="","",INDEX('Product Master'!$B$7:$B$1000,MATCH($I505,'Product Master'!$A$7:$A$1000,0)))</f>
        <v/>
      </c>
      <c r="K505" t="str">
        <f>IF($I505="","",INDEX('Product Master'!$C$7:$C$1000,MATCH($I505,'Product Master'!$A$7:$A$1000,0)))</f>
        <v/>
      </c>
      <c r="L505" t="str">
        <f>IF($I505="","",INDEX('Product Master'!$M$7:$M$1000,MATCH($I505,'Product Master'!$A$7:$A$1000,0)))</f>
        <v/>
      </c>
      <c r="M505" t="str">
        <f>IF($I505="","",INDEX('Product Master'!$N$7:$N$1000,MATCH($I505,'Product Master'!$A$7:$A$1000,0)))</f>
        <v/>
      </c>
    </row>
    <row r="506" spans="1:13" x14ac:dyDescent="0.3">
      <c r="A506" t="str">
        <f>IFERROR(INDEX('Product Master'!$A$7:$A$1000,_xlfn.AGGREGATE(15,6,(ROW('Product Master'!$A$7:$A$1000)-ROW('Product Master'!$A$7)+1)/(('Product Master'!$A$7:$A$1000&lt;&gt;"")*('Product Master'!$P$7:$P$1000="Low Stock")),ROWS($A$12:A506))),"")</f>
        <v/>
      </c>
      <c r="B506" t="str">
        <f>IF($A506="","",INDEX('Product Master'!$B$7:$B$1000,MATCH($A506,'Product Master'!$A$7:$A$1000,0)))</f>
        <v/>
      </c>
      <c r="C506" t="str">
        <f>IF($A506="","",INDEX('Product Master'!$C$7:$C$1000,MATCH($A506,'Product Master'!$A$7:$A$1000,0)))</f>
        <v/>
      </c>
      <c r="D506" t="str">
        <f>IF($A506="","",INDEX('Product Master'!$M$7:$M$1000,MATCH($A506,'Product Master'!$A$7:$A$1000,0)))</f>
        <v/>
      </c>
      <c r="E506" t="str">
        <f>IF($A506="","",INDEX('Product Master'!$N$7:$N$1000,MATCH($A506,'Product Master'!$A$7:$A$1000,0)))</f>
        <v/>
      </c>
      <c r="F506" t="str">
        <f>IF($A506="","",INDEX('Product Master'!$P$7:$P$1000,MATCH($A506,'Product Master'!$A$7:$A$1000,0)))</f>
        <v/>
      </c>
      <c r="I506" t="str">
        <f>IFERROR(INDEX('Product Master'!$A$7:$A$1000,_xlfn.AGGREGATE(15,6,(ROW('Product Master'!$A$7:$A$1000)-ROW('Product Master'!$A$7)+1)/(('Product Master'!$A$7:$A$1000&lt;&gt;"")*('Product Master'!$P$7:$P$1000="Out of Stock")),ROWS($I$12:I506))),"")</f>
        <v/>
      </c>
      <c r="J506" t="str">
        <f>IF($I506="","",INDEX('Product Master'!$B$7:$B$1000,MATCH($I506,'Product Master'!$A$7:$A$1000,0)))</f>
        <v/>
      </c>
      <c r="K506" t="str">
        <f>IF($I506="","",INDEX('Product Master'!$C$7:$C$1000,MATCH($I506,'Product Master'!$A$7:$A$1000,0)))</f>
        <v/>
      </c>
      <c r="L506" t="str">
        <f>IF($I506="","",INDEX('Product Master'!$M$7:$M$1000,MATCH($I506,'Product Master'!$A$7:$A$1000,0)))</f>
        <v/>
      </c>
      <c r="M506" t="str">
        <f>IF($I506="","",INDEX('Product Master'!$N$7:$N$1000,MATCH($I506,'Product Master'!$A$7:$A$1000,0)))</f>
        <v/>
      </c>
    </row>
    <row r="507" spans="1:13" x14ac:dyDescent="0.3">
      <c r="A507" t="str">
        <f>IFERROR(INDEX('Product Master'!$A$7:$A$1000,_xlfn.AGGREGATE(15,6,(ROW('Product Master'!$A$7:$A$1000)-ROW('Product Master'!$A$7)+1)/(('Product Master'!$A$7:$A$1000&lt;&gt;"")*('Product Master'!$P$7:$P$1000="Low Stock")),ROWS($A$12:A507))),"")</f>
        <v/>
      </c>
      <c r="B507" t="str">
        <f>IF($A507="","",INDEX('Product Master'!$B$7:$B$1000,MATCH($A507,'Product Master'!$A$7:$A$1000,0)))</f>
        <v/>
      </c>
      <c r="C507" t="str">
        <f>IF($A507="","",INDEX('Product Master'!$C$7:$C$1000,MATCH($A507,'Product Master'!$A$7:$A$1000,0)))</f>
        <v/>
      </c>
      <c r="D507" t="str">
        <f>IF($A507="","",INDEX('Product Master'!$M$7:$M$1000,MATCH($A507,'Product Master'!$A$7:$A$1000,0)))</f>
        <v/>
      </c>
      <c r="E507" t="str">
        <f>IF($A507="","",INDEX('Product Master'!$N$7:$N$1000,MATCH($A507,'Product Master'!$A$7:$A$1000,0)))</f>
        <v/>
      </c>
      <c r="F507" t="str">
        <f>IF($A507="","",INDEX('Product Master'!$P$7:$P$1000,MATCH($A507,'Product Master'!$A$7:$A$1000,0)))</f>
        <v/>
      </c>
      <c r="I507" t="str">
        <f>IFERROR(INDEX('Product Master'!$A$7:$A$1000,_xlfn.AGGREGATE(15,6,(ROW('Product Master'!$A$7:$A$1000)-ROW('Product Master'!$A$7)+1)/(('Product Master'!$A$7:$A$1000&lt;&gt;"")*('Product Master'!$P$7:$P$1000="Out of Stock")),ROWS($I$12:I507))),"")</f>
        <v/>
      </c>
      <c r="J507" t="str">
        <f>IF($I507="","",INDEX('Product Master'!$B$7:$B$1000,MATCH($I507,'Product Master'!$A$7:$A$1000,0)))</f>
        <v/>
      </c>
      <c r="K507" t="str">
        <f>IF($I507="","",INDEX('Product Master'!$C$7:$C$1000,MATCH($I507,'Product Master'!$A$7:$A$1000,0)))</f>
        <v/>
      </c>
      <c r="L507" t="str">
        <f>IF($I507="","",INDEX('Product Master'!$M$7:$M$1000,MATCH($I507,'Product Master'!$A$7:$A$1000,0)))</f>
        <v/>
      </c>
      <c r="M507" t="str">
        <f>IF($I507="","",INDEX('Product Master'!$N$7:$N$1000,MATCH($I507,'Product Master'!$A$7:$A$1000,0)))</f>
        <v/>
      </c>
    </row>
    <row r="508" spans="1:13" x14ac:dyDescent="0.3">
      <c r="A508" t="str">
        <f>IFERROR(INDEX('Product Master'!$A$7:$A$1000,_xlfn.AGGREGATE(15,6,(ROW('Product Master'!$A$7:$A$1000)-ROW('Product Master'!$A$7)+1)/(('Product Master'!$A$7:$A$1000&lt;&gt;"")*('Product Master'!$P$7:$P$1000="Low Stock")),ROWS($A$12:A508))),"")</f>
        <v/>
      </c>
      <c r="B508" t="str">
        <f>IF($A508="","",INDEX('Product Master'!$B$7:$B$1000,MATCH($A508,'Product Master'!$A$7:$A$1000,0)))</f>
        <v/>
      </c>
      <c r="C508" t="str">
        <f>IF($A508="","",INDEX('Product Master'!$C$7:$C$1000,MATCH($A508,'Product Master'!$A$7:$A$1000,0)))</f>
        <v/>
      </c>
      <c r="D508" t="str">
        <f>IF($A508="","",INDEX('Product Master'!$M$7:$M$1000,MATCH($A508,'Product Master'!$A$7:$A$1000,0)))</f>
        <v/>
      </c>
      <c r="E508" t="str">
        <f>IF($A508="","",INDEX('Product Master'!$N$7:$N$1000,MATCH($A508,'Product Master'!$A$7:$A$1000,0)))</f>
        <v/>
      </c>
      <c r="F508" t="str">
        <f>IF($A508="","",INDEX('Product Master'!$P$7:$P$1000,MATCH($A508,'Product Master'!$A$7:$A$1000,0)))</f>
        <v/>
      </c>
      <c r="I508" t="str">
        <f>IFERROR(INDEX('Product Master'!$A$7:$A$1000,_xlfn.AGGREGATE(15,6,(ROW('Product Master'!$A$7:$A$1000)-ROW('Product Master'!$A$7)+1)/(('Product Master'!$A$7:$A$1000&lt;&gt;"")*('Product Master'!$P$7:$P$1000="Out of Stock")),ROWS($I$12:I508))),"")</f>
        <v/>
      </c>
      <c r="J508" t="str">
        <f>IF($I508="","",INDEX('Product Master'!$B$7:$B$1000,MATCH($I508,'Product Master'!$A$7:$A$1000,0)))</f>
        <v/>
      </c>
      <c r="K508" t="str">
        <f>IF($I508="","",INDEX('Product Master'!$C$7:$C$1000,MATCH($I508,'Product Master'!$A$7:$A$1000,0)))</f>
        <v/>
      </c>
      <c r="L508" t="str">
        <f>IF($I508="","",INDEX('Product Master'!$M$7:$M$1000,MATCH($I508,'Product Master'!$A$7:$A$1000,0)))</f>
        <v/>
      </c>
      <c r="M508" t="str">
        <f>IF($I508="","",INDEX('Product Master'!$N$7:$N$1000,MATCH($I508,'Product Master'!$A$7:$A$1000,0)))</f>
        <v/>
      </c>
    </row>
    <row r="509" spans="1:13" x14ac:dyDescent="0.3">
      <c r="A509" t="str">
        <f>IFERROR(INDEX('Product Master'!$A$7:$A$1000,_xlfn.AGGREGATE(15,6,(ROW('Product Master'!$A$7:$A$1000)-ROW('Product Master'!$A$7)+1)/(('Product Master'!$A$7:$A$1000&lt;&gt;"")*('Product Master'!$P$7:$P$1000="Low Stock")),ROWS($A$12:A509))),"")</f>
        <v/>
      </c>
      <c r="B509" t="str">
        <f>IF($A509="","",INDEX('Product Master'!$B$7:$B$1000,MATCH($A509,'Product Master'!$A$7:$A$1000,0)))</f>
        <v/>
      </c>
      <c r="C509" t="str">
        <f>IF($A509="","",INDEX('Product Master'!$C$7:$C$1000,MATCH($A509,'Product Master'!$A$7:$A$1000,0)))</f>
        <v/>
      </c>
      <c r="D509" t="str">
        <f>IF($A509="","",INDEX('Product Master'!$M$7:$M$1000,MATCH($A509,'Product Master'!$A$7:$A$1000,0)))</f>
        <v/>
      </c>
      <c r="E509" t="str">
        <f>IF($A509="","",INDEX('Product Master'!$N$7:$N$1000,MATCH($A509,'Product Master'!$A$7:$A$1000,0)))</f>
        <v/>
      </c>
      <c r="F509" t="str">
        <f>IF($A509="","",INDEX('Product Master'!$P$7:$P$1000,MATCH($A509,'Product Master'!$A$7:$A$1000,0)))</f>
        <v/>
      </c>
      <c r="I509" t="str">
        <f>IFERROR(INDEX('Product Master'!$A$7:$A$1000,_xlfn.AGGREGATE(15,6,(ROW('Product Master'!$A$7:$A$1000)-ROW('Product Master'!$A$7)+1)/(('Product Master'!$A$7:$A$1000&lt;&gt;"")*('Product Master'!$P$7:$P$1000="Out of Stock")),ROWS($I$12:I509))),"")</f>
        <v/>
      </c>
      <c r="J509" t="str">
        <f>IF($I509="","",INDEX('Product Master'!$B$7:$B$1000,MATCH($I509,'Product Master'!$A$7:$A$1000,0)))</f>
        <v/>
      </c>
      <c r="K509" t="str">
        <f>IF($I509="","",INDEX('Product Master'!$C$7:$C$1000,MATCH($I509,'Product Master'!$A$7:$A$1000,0)))</f>
        <v/>
      </c>
      <c r="L509" t="str">
        <f>IF($I509="","",INDEX('Product Master'!$M$7:$M$1000,MATCH($I509,'Product Master'!$A$7:$A$1000,0)))</f>
        <v/>
      </c>
      <c r="M509" t="str">
        <f>IF($I509="","",INDEX('Product Master'!$N$7:$N$1000,MATCH($I509,'Product Master'!$A$7:$A$1000,0)))</f>
        <v/>
      </c>
    </row>
    <row r="510" spans="1:13" x14ac:dyDescent="0.3">
      <c r="A510" t="str">
        <f>IFERROR(INDEX('Product Master'!$A$7:$A$1000,_xlfn.AGGREGATE(15,6,(ROW('Product Master'!$A$7:$A$1000)-ROW('Product Master'!$A$7)+1)/(('Product Master'!$A$7:$A$1000&lt;&gt;"")*('Product Master'!$P$7:$P$1000="Low Stock")),ROWS($A$12:A510))),"")</f>
        <v/>
      </c>
      <c r="B510" t="str">
        <f>IF($A510="","",INDEX('Product Master'!$B$7:$B$1000,MATCH($A510,'Product Master'!$A$7:$A$1000,0)))</f>
        <v/>
      </c>
      <c r="C510" t="str">
        <f>IF($A510="","",INDEX('Product Master'!$C$7:$C$1000,MATCH($A510,'Product Master'!$A$7:$A$1000,0)))</f>
        <v/>
      </c>
      <c r="D510" t="str">
        <f>IF($A510="","",INDEX('Product Master'!$M$7:$M$1000,MATCH($A510,'Product Master'!$A$7:$A$1000,0)))</f>
        <v/>
      </c>
      <c r="E510" t="str">
        <f>IF($A510="","",INDEX('Product Master'!$N$7:$N$1000,MATCH($A510,'Product Master'!$A$7:$A$1000,0)))</f>
        <v/>
      </c>
      <c r="F510" t="str">
        <f>IF($A510="","",INDEX('Product Master'!$P$7:$P$1000,MATCH($A510,'Product Master'!$A$7:$A$1000,0)))</f>
        <v/>
      </c>
      <c r="I510" t="str">
        <f>IFERROR(INDEX('Product Master'!$A$7:$A$1000,_xlfn.AGGREGATE(15,6,(ROW('Product Master'!$A$7:$A$1000)-ROW('Product Master'!$A$7)+1)/(('Product Master'!$A$7:$A$1000&lt;&gt;"")*('Product Master'!$P$7:$P$1000="Out of Stock")),ROWS($I$12:I510))),"")</f>
        <v/>
      </c>
      <c r="J510" t="str">
        <f>IF($I510="","",INDEX('Product Master'!$B$7:$B$1000,MATCH($I510,'Product Master'!$A$7:$A$1000,0)))</f>
        <v/>
      </c>
      <c r="K510" t="str">
        <f>IF($I510="","",INDEX('Product Master'!$C$7:$C$1000,MATCH($I510,'Product Master'!$A$7:$A$1000,0)))</f>
        <v/>
      </c>
      <c r="L510" t="str">
        <f>IF($I510="","",INDEX('Product Master'!$M$7:$M$1000,MATCH($I510,'Product Master'!$A$7:$A$1000,0)))</f>
        <v/>
      </c>
      <c r="M510" t="str">
        <f>IF($I510="","",INDEX('Product Master'!$N$7:$N$1000,MATCH($I510,'Product Master'!$A$7:$A$1000,0)))</f>
        <v/>
      </c>
    </row>
    <row r="511" spans="1:13" x14ac:dyDescent="0.3">
      <c r="A511" t="str">
        <f>IFERROR(INDEX('Product Master'!$A$7:$A$1000,_xlfn.AGGREGATE(15,6,(ROW('Product Master'!$A$7:$A$1000)-ROW('Product Master'!$A$7)+1)/(('Product Master'!$A$7:$A$1000&lt;&gt;"")*('Product Master'!$P$7:$P$1000="Low Stock")),ROWS($A$12:A511))),"")</f>
        <v/>
      </c>
      <c r="B511" t="str">
        <f>IF($A511="","",INDEX('Product Master'!$B$7:$B$1000,MATCH($A511,'Product Master'!$A$7:$A$1000,0)))</f>
        <v/>
      </c>
      <c r="C511" t="str">
        <f>IF($A511="","",INDEX('Product Master'!$C$7:$C$1000,MATCH($A511,'Product Master'!$A$7:$A$1000,0)))</f>
        <v/>
      </c>
      <c r="D511" t="str">
        <f>IF($A511="","",INDEX('Product Master'!$M$7:$M$1000,MATCH($A511,'Product Master'!$A$7:$A$1000,0)))</f>
        <v/>
      </c>
      <c r="E511" t="str">
        <f>IF($A511="","",INDEX('Product Master'!$N$7:$N$1000,MATCH($A511,'Product Master'!$A$7:$A$1000,0)))</f>
        <v/>
      </c>
      <c r="F511" t="str">
        <f>IF($A511="","",INDEX('Product Master'!$P$7:$P$1000,MATCH($A511,'Product Master'!$A$7:$A$1000,0)))</f>
        <v/>
      </c>
      <c r="I511" t="str">
        <f>IFERROR(INDEX('Product Master'!$A$7:$A$1000,_xlfn.AGGREGATE(15,6,(ROW('Product Master'!$A$7:$A$1000)-ROW('Product Master'!$A$7)+1)/(('Product Master'!$A$7:$A$1000&lt;&gt;"")*('Product Master'!$P$7:$P$1000="Out of Stock")),ROWS($I$12:I511))),"")</f>
        <v/>
      </c>
      <c r="J511" t="str">
        <f>IF($I511="","",INDEX('Product Master'!$B$7:$B$1000,MATCH($I511,'Product Master'!$A$7:$A$1000,0)))</f>
        <v/>
      </c>
      <c r="K511" t="str">
        <f>IF($I511="","",INDEX('Product Master'!$C$7:$C$1000,MATCH($I511,'Product Master'!$A$7:$A$1000,0)))</f>
        <v/>
      </c>
      <c r="L511" t="str">
        <f>IF($I511="","",INDEX('Product Master'!$M$7:$M$1000,MATCH($I511,'Product Master'!$A$7:$A$1000,0)))</f>
        <v/>
      </c>
      <c r="M511" t="str">
        <f>IF($I511="","",INDEX('Product Master'!$N$7:$N$1000,MATCH($I511,'Product Master'!$A$7:$A$1000,0)))</f>
        <v/>
      </c>
    </row>
    <row r="512" spans="1:13" x14ac:dyDescent="0.3">
      <c r="A512" t="str">
        <f>IFERROR(INDEX('Product Master'!$A$7:$A$1000,_xlfn.AGGREGATE(15,6,(ROW('Product Master'!$A$7:$A$1000)-ROW('Product Master'!$A$7)+1)/(('Product Master'!$A$7:$A$1000&lt;&gt;"")*('Product Master'!$P$7:$P$1000="Low Stock")),ROWS($A$12:A512))),"")</f>
        <v/>
      </c>
      <c r="B512" t="str">
        <f>IF($A512="","",INDEX('Product Master'!$B$7:$B$1000,MATCH($A512,'Product Master'!$A$7:$A$1000,0)))</f>
        <v/>
      </c>
      <c r="C512" t="str">
        <f>IF($A512="","",INDEX('Product Master'!$C$7:$C$1000,MATCH($A512,'Product Master'!$A$7:$A$1000,0)))</f>
        <v/>
      </c>
      <c r="D512" t="str">
        <f>IF($A512="","",INDEX('Product Master'!$M$7:$M$1000,MATCH($A512,'Product Master'!$A$7:$A$1000,0)))</f>
        <v/>
      </c>
      <c r="E512" t="str">
        <f>IF($A512="","",INDEX('Product Master'!$N$7:$N$1000,MATCH($A512,'Product Master'!$A$7:$A$1000,0)))</f>
        <v/>
      </c>
      <c r="F512" t="str">
        <f>IF($A512="","",INDEX('Product Master'!$P$7:$P$1000,MATCH($A512,'Product Master'!$A$7:$A$1000,0)))</f>
        <v/>
      </c>
      <c r="I512" t="str">
        <f>IFERROR(INDEX('Product Master'!$A$7:$A$1000,_xlfn.AGGREGATE(15,6,(ROW('Product Master'!$A$7:$A$1000)-ROW('Product Master'!$A$7)+1)/(('Product Master'!$A$7:$A$1000&lt;&gt;"")*('Product Master'!$P$7:$P$1000="Out of Stock")),ROWS($I$12:I512))),"")</f>
        <v/>
      </c>
      <c r="J512" t="str">
        <f>IF($I512="","",INDEX('Product Master'!$B$7:$B$1000,MATCH($I512,'Product Master'!$A$7:$A$1000,0)))</f>
        <v/>
      </c>
      <c r="K512" t="str">
        <f>IF($I512="","",INDEX('Product Master'!$C$7:$C$1000,MATCH($I512,'Product Master'!$A$7:$A$1000,0)))</f>
        <v/>
      </c>
      <c r="L512" t="str">
        <f>IF($I512="","",INDEX('Product Master'!$M$7:$M$1000,MATCH($I512,'Product Master'!$A$7:$A$1000,0)))</f>
        <v/>
      </c>
      <c r="M512" t="str">
        <f>IF($I512="","",INDEX('Product Master'!$N$7:$N$1000,MATCH($I512,'Product Master'!$A$7:$A$1000,0)))</f>
        <v/>
      </c>
    </row>
    <row r="513" spans="1:13" x14ac:dyDescent="0.3">
      <c r="A513" t="str">
        <f>IFERROR(INDEX('Product Master'!$A$7:$A$1000,_xlfn.AGGREGATE(15,6,(ROW('Product Master'!$A$7:$A$1000)-ROW('Product Master'!$A$7)+1)/(('Product Master'!$A$7:$A$1000&lt;&gt;"")*('Product Master'!$P$7:$P$1000="Low Stock")),ROWS($A$12:A513))),"")</f>
        <v/>
      </c>
      <c r="B513" t="str">
        <f>IF($A513="","",INDEX('Product Master'!$B$7:$B$1000,MATCH($A513,'Product Master'!$A$7:$A$1000,0)))</f>
        <v/>
      </c>
      <c r="C513" t="str">
        <f>IF($A513="","",INDEX('Product Master'!$C$7:$C$1000,MATCH($A513,'Product Master'!$A$7:$A$1000,0)))</f>
        <v/>
      </c>
      <c r="D513" t="str">
        <f>IF($A513="","",INDEX('Product Master'!$M$7:$M$1000,MATCH($A513,'Product Master'!$A$7:$A$1000,0)))</f>
        <v/>
      </c>
      <c r="E513" t="str">
        <f>IF($A513="","",INDEX('Product Master'!$N$7:$N$1000,MATCH($A513,'Product Master'!$A$7:$A$1000,0)))</f>
        <v/>
      </c>
      <c r="F513" t="str">
        <f>IF($A513="","",INDEX('Product Master'!$P$7:$P$1000,MATCH($A513,'Product Master'!$A$7:$A$1000,0)))</f>
        <v/>
      </c>
      <c r="I513" t="str">
        <f>IFERROR(INDEX('Product Master'!$A$7:$A$1000,_xlfn.AGGREGATE(15,6,(ROW('Product Master'!$A$7:$A$1000)-ROW('Product Master'!$A$7)+1)/(('Product Master'!$A$7:$A$1000&lt;&gt;"")*('Product Master'!$P$7:$P$1000="Out of Stock")),ROWS($I$12:I513))),"")</f>
        <v/>
      </c>
      <c r="J513" t="str">
        <f>IF($I513="","",INDEX('Product Master'!$B$7:$B$1000,MATCH($I513,'Product Master'!$A$7:$A$1000,0)))</f>
        <v/>
      </c>
      <c r="K513" t="str">
        <f>IF($I513="","",INDEX('Product Master'!$C$7:$C$1000,MATCH($I513,'Product Master'!$A$7:$A$1000,0)))</f>
        <v/>
      </c>
      <c r="L513" t="str">
        <f>IF($I513="","",INDEX('Product Master'!$M$7:$M$1000,MATCH($I513,'Product Master'!$A$7:$A$1000,0)))</f>
        <v/>
      </c>
      <c r="M513" t="str">
        <f>IF($I513="","",INDEX('Product Master'!$N$7:$N$1000,MATCH($I513,'Product Master'!$A$7:$A$1000,0)))</f>
        <v/>
      </c>
    </row>
    <row r="514" spans="1:13" x14ac:dyDescent="0.3">
      <c r="A514" t="str">
        <f>IFERROR(INDEX('Product Master'!$A$7:$A$1000,_xlfn.AGGREGATE(15,6,(ROW('Product Master'!$A$7:$A$1000)-ROW('Product Master'!$A$7)+1)/(('Product Master'!$A$7:$A$1000&lt;&gt;"")*('Product Master'!$P$7:$P$1000="Low Stock")),ROWS($A$12:A514))),"")</f>
        <v/>
      </c>
      <c r="B514" t="str">
        <f>IF($A514="","",INDEX('Product Master'!$B$7:$B$1000,MATCH($A514,'Product Master'!$A$7:$A$1000,0)))</f>
        <v/>
      </c>
      <c r="C514" t="str">
        <f>IF($A514="","",INDEX('Product Master'!$C$7:$C$1000,MATCH($A514,'Product Master'!$A$7:$A$1000,0)))</f>
        <v/>
      </c>
      <c r="D514" t="str">
        <f>IF($A514="","",INDEX('Product Master'!$M$7:$M$1000,MATCH($A514,'Product Master'!$A$7:$A$1000,0)))</f>
        <v/>
      </c>
      <c r="E514" t="str">
        <f>IF($A514="","",INDEX('Product Master'!$N$7:$N$1000,MATCH($A514,'Product Master'!$A$7:$A$1000,0)))</f>
        <v/>
      </c>
      <c r="F514" t="str">
        <f>IF($A514="","",INDEX('Product Master'!$P$7:$P$1000,MATCH($A514,'Product Master'!$A$7:$A$1000,0)))</f>
        <v/>
      </c>
      <c r="I514" t="str">
        <f>IFERROR(INDEX('Product Master'!$A$7:$A$1000,_xlfn.AGGREGATE(15,6,(ROW('Product Master'!$A$7:$A$1000)-ROW('Product Master'!$A$7)+1)/(('Product Master'!$A$7:$A$1000&lt;&gt;"")*('Product Master'!$P$7:$P$1000="Out of Stock")),ROWS($I$12:I514))),"")</f>
        <v/>
      </c>
      <c r="J514" t="str">
        <f>IF($I514="","",INDEX('Product Master'!$B$7:$B$1000,MATCH($I514,'Product Master'!$A$7:$A$1000,0)))</f>
        <v/>
      </c>
      <c r="K514" t="str">
        <f>IF($I514="","",INDEX('Product Master'!$C$7:$C$1000,MATCH($I514,'Product Master'!$A$7:$A$1000,0)))</f>
        <v/>
      </c>
      <c r="L514" t="str">
        <f>IF($I514="","",INDEX('Product Master'!$M$7:$M$1000,MATCH($I514,'Product Master'!$A$7:$A$1000,0)))</f>
        <v/>
      </c>
      <c r="M514" t="str">
        <f>IF($I514="","",INDEX('Product Master'!$N$7:$N$1000,MATCH($I514,'Product Master'!$A$7:$A$1000,0)))</f>
        <v/>
      </c>
    </row>
    <row r="515" spans="1:13" x14ac:dyDescent="0.3">
      <c r="A515" t="str">
        <f>IFERROR(INDEX('Product Master'!$A$7:$A$1000,_xlfn.AGGREGATE(15,6,(ROW('Product Master'!$A$7:$A$1000)-ROW('Product Master'!$A$7)+1)/(('Product Master'!$A$7:$A$1000&lt;&gt;"")*('Product Master'!$P$7:$P$1000="Low Stock")),ROWS($A$12:A515))),"")</f>
        <v/>
      </c>
      <c r="B515" t="str">
        <f>IF($A515="","",INDEX('Product Master'!$B$7:$B$1000,MATCH($A515,'Product Master'!$A$7:$A$1000,0)))</f>
        <v/>
      </c>
      <c r="C515" t="str">
        <f>IF($A515="","",INDEX('Product Master'!$C$7:$C$1000,MATCH($A515,'Product Master'!$A$7:$A$1000,0)))</f>
        <v/>
      </c>
      <c r="D515" t="str">
        <f>IF($A515="","",INDEX('Product Master'!$M$7:$M$1000,MATCH($A515,'Product Master'!$A$7:$A$1000,0)))</f>
        <v/>
      </c>
      <c r="E515" t="str">
        <f>IF($A515="","",INDEX('Product Master'!$N$7:$N$1000,MATCH($A515,'Product Master'!$A$7:$A$1000,0)))</f>
        <v/>
      </c>
      <c r="F515" t="str">
        <f>IF($A515="","",INDEX('Product Master'!$P$7:$P$1000,MATCH($A515,'Product Master'!$A$7:$A$1000,0)))</f>
        <v/>
      </c>
      <c r="I515" t="str">
        <f>IFERROR(INDEX('Product Master'!$A$7:$A$1000,_xlfn.AGGREGATE(15,6,(ROW('Product Master'!$A$7:$A$1000)-ROW('Product Master'!$A$7)+1)/(('Product Master'!$A$7:$A$1000&lt;&gt;"")*('Product Master'!$P$7:$P$1000="Out of Stock")),ROWS($I$12:I515))),"")</f>
        <v/>
      </c>
      <c r="J515" t="str">
        <f>IF($I515="","",INDEX('Product Master'!$B$7:$B$1000,MATCH($I515,'Product Master'!$A$7:$A$1000,0)))</f>
        <v/>
      </c>
      <c r="K515" t="str">
        <f>IF($I515="","",INDEX('Product Master'!$C$7:$C$1000,MATCH($I515,'Product Master'!$A$7:$A$1000,0)))</f>
        <v/>
      </c>
      <c r="L515" t="str">
        <f>IF($I515="","",INDEX('Product Master'!$M$7:$M$1000,MATCH($I515,'Product Master'!$A$7:$A$1000,0)))</f>
        <v/>
      </c>
      <c r="M515" t="str">
        <f>IF($I515="","",INDEX('Product Master'!$N$7:$N$1000,MATCH($I515,'Product Master'!$A$7:$A$1000,0)))</f>
        <v/>
      </c>
    </row>
    <row r="516" spans="1:13" x14ac:dyDescent="0.3">
      <c r="A516" t="str">
        <f>IFERROR(INDEX('Product Master'!$A$7:$A$1000,_xlfn.AGGREGATE(15,6,(ROW('Product Master'!$A$7:$A$1000)-ROW('Product Master'!$A$7)+1)/(('Product Master'!$A$7:$A$1000&lt;&gt;"")*('Product Master'!$P$7:$P$1000="Low Stock")),ROWS($A$12:A516))),"")</f>
        <v/>
      </c>
      <c r="B516" t="str">
        <f>IF($A516="","",INDEX('Product Master'!$B$7:$B$1000,MATCH($A516,'Product Master'!$A$7:$A$1000,0)))</f>
        <v/>
      </c>
      <c r="C516" t="str">
        <f>IF($A516="","",INDEX('Product Master'!$C$7:$C$1000,MATCH($A516,'Product Master'!$A$7:$A$1000,0)))</f>
        <v/>
      </c>
      <c r="D516" t="str">
        <f>IF($A516="","",INDEX('Product Master'!$M$7:$M$1000,MATCH($A516,'Product Master'!$A$7:$A$1000,0)))</f>
        <v/>
      </c>
      <c r="E516" t="str">
        <f>IF($A516="","",INDEX('Product Master'!$N$7:$N$1000,MATCH($A516,'Product Master'!$A$7:$A$1000,0)))</f>
        <v/>
      </c>
      <c r="F516" t="str">
        <f>IF($A516="","",INDEX('Product Master'!$P$7:$P$1000,MATCH($A516,'Product Master'!$A$7:$A$1000,0)))</f>
        <v/>
      </c>
      <c r="I516" t="str">
        <f>IFERROR(INDEX('Product Master'!$A$7:$A$1000,_xlfn.AGGREGATE(15,6,(ROW('Product Master'!$A$7:$A$1000)-ROW('Product Master'!$A$7)+1)/(('Product Master'!$A$7:$A$1000&lt;&gt;"")*('Product Master'!$P$7:$P$1000="Out of Stock")),ROWS($I$12:I516))),"")</f>
        <v/>
      </c>
      <c r="J516" t="str">
        <f>IF($I516="","",INDEX('Product Master'!$B$7:$B$1000,MATCH($I516,'Product Master'!$A$7:$A$1000,0)))</f>
        <v/>
      </c>
      <c r="K516" t="str">
        <f>IF($I516="","",INDEX('Product Master'!$C$7:$C$1000,MATCH($I516,'Product Master'!$A$7:$A$1000,0)))</f>
        <v/>
      </c>
      <c r="L516" t="str">
        <f>IF($I516="","",INDEX('Product Master'!$M$7:$M$1000,MATCH($I516,'Product Master'!$A$7:$A$1000,0)))</f>
        <v/>
      </c>
      <c r="M516" t="str">
        <f>IF($I516="","",INDEX('Product Master'!$N$7:$N$1000,MATCH($I516,'Product Master'!$A$7:$A$1000,0)))</f>
        <v/>
      </c>
    </row>
    <row r="517" spans="1:13" x14ac:dyDescent="0.3">
      <c r="A517" t="str">
        <f>IFERROR(INDEX('Product Master'!$A$7:$A$1000,_xlfn.AGGREGATE(15,6,(ROW('Product Master'!$A$7:$A$1000)-ROW('Product Master'!$A$7)+1)/(('Product Master'!$A$7:$A$1000&lt;&gt;"")*('Product Master'!$P$7:$P$1000="Low Stock")),ROWS($A$12:A517))),"")</f>
        <v/>
      </c>
      <c r="B517" t="str">
        <f>IF($A517="","",INDEX('Product Master'!$B$7:$B$1000,MATCH($A517,'Product Master'!$A$7:$A$1000,0)))</f>
        <v/>
      </c>
      <c r="C517" t="str">
        <f>IF($A517="","",INDEX('Product Master'!$C$7:$C$1000,MATCH($A517,'Product Master'!$A$7:$A$1000,0)))</f>
        <v/>
      </c>
      <c r="D517" t="str">
        <f>IF($A517="","",INDEX('Product Master'!$M$7:$M$1000,MATCH($A517,'Product Master'!$A$7:$A$1000,0)))</f>
        <v/>
      </c>
      <c r="E517" t="str">
        <f>IF($A517="","",INDEX('Product Master'!$N$7:$N$1000,MATCH($A517,'Product Master'!$A$7:$A$1000,0)))</f>
        <v/>
      </c>
      <c r="F517" t="str">
        <f>IF($A517="","",INDEX('Product Master'!$P$7:$P$1000,MATCH($A517,'Product Master'!$A$7:$A$1000,0)))</f>
        <v/>
      </c>
      <c r="I517" t="str">
        <f>IFERROR(INDEX('Product Master'!$A$7:$A$1000,_xlfn.AGGREGATE(15,6,(ROW('Product Master'!$A$7:$A$1000)-ROW('Product Master'!$A$7)+1)/(('Product Master'!$A$7:$A$1000&lt;&gt;"")*('Product Master'!$P$7:$P$1000="Out of Stock")),ROWS($I$12:I517))),"")</f>
        <v/>
      </c>
      <c r="J517" t="str">
        <f>IF($I517="","",INDEX('Product Master'!$B$7:$B$1000,MATCH($I517,'Product Master'!$A$7:$A$1000,0)))</f>
        <v/>
      </c>
      <c r="K517" t="str">
        <f>IF($I517="","",INDEX('Product Master'!$C$7:$C$1000,MATCH($I517,'Product Master'!$A$7:$A$1000,0)))</f>
        <v/>
      </c>
      <c r="L517" t="str">
        <f>IF($I517="","",INDEX('Product Master'!$M$7:$M$1000,MATCH($I517,'Product Master'!$A$7:$A$1000,0)))</f>
        <v/>
      </c>
      <c r="M517" t="str">
        <f>IF($I517="","",INDEX('Product Master'!$N$7:$N$1000,MATCH($I517,'Product Master'!$A$7:$A$1000,0)))</f>
        <v/>
      </c>
    </row>
    <row r="518" spans="1:13" x14ac:dyDescent="0.3">
      <c r="A518" t="str">
        <f>IFERROR(INDEX('Product Master'!$A$7:$A$1000,_xlfn.AGGREGATE(15,6,(ROW('Product Master'!$A$7:$A$1000)-ROW('Product Master'!$A$7)+1)/(('Product Master'!$A$7:$A$1000&lt;&gt;"")*('Product Master'!$P$7:$P$1000="Low Stock")),ROWS($A$12:A518))),"")</f>
        <v/>
      </c>
      <c r="B518" t="str">
        <f>IF($A518="","",INDEX('Product Master'!$B$7:$B$1000,MATCH($A518,'Product Master'!$A$7:$A$1000,0)))</f>
        <v/>
      </c>
      <c r="C518" t="str">
        <f>IF($A518="","",INDEX('Product Master'!$C$7:$C$1000,MATCH($A518,'Product Master'!$A$7:$A$1000,0)))</f>
        <v/>
      </c>
      <c r="D518" t="str">
        <f>IF($A518="","",INDEX('Product Master'!$M$7:$M$1000,MATCH($A518,'Product Master'!$A$7:$A$1000,0)))</f>
        <v/>
      </c>
      <c r="E518" t="str">
        <f>IF($A518="","",INDEX('Product Master'!$N$7:$N$1000,MATCH($A518,'Product Master'!$A$7:$A$1000,0)))</f>
        <v/>
      </c>
      <c r="F518" t="str">
        <f>IF($A518="","",INDEX('Product Master'!$P$7:$P$1000,MATCH($A518,'Product Master'!$A$7:$A$1000,0)))</f>
        <v/>
      </c>
      <c r="I518" t="str">
        <f>IFERROR(INDEX('Product Master'!$A$7:$A$1000,_xlfn.AGGREGATE(15,6,(ROW('Product Master'!$A$7:$A$1000)-ROW('Product Master'!$A$7)+1)/(('Product Master'!$A$7:$A$1000&lt;&gt;"")*('Product Master'!$P$7:$P$1000="Out of Stock")),ROWS($I$12:I518))),"")</f>
        <v/>
      </c>
      <c r="J518" t="str">
        <f>IF($I518="","",INDEX('Product Master'!$B$7:$B$1000,MATCH($I518,'Product Master'!$A$7:$A$1000,0)))</f>
        <v/>
      </c>
      <c r="K518" t="str">
        <f>IF($I518="","",INDEX('Product Master'!$C$7:$C$1000,MATCH($I518,'Product Master'!$A$7:$A$1000,0)))</f>
        <v/>
      </c>
      <c r="L518" t="str">
        <f>IF($I518="","",INDEX('Product Master'!$M$7:$M$1000,MATCH($I518,'Product Master'!$A$7:$A$1000,0)))</f>
        <v/>
      </c>
      <c r="M518" t="str">
        <f>IF($I518="","",INDEX('Product Master'!$N$7:$N$1000,MATCH($I518,'Product Master'!$A$7:$A$1000,0)))</f>
        <v/>
      </c>
    </row>
    <row r="519" spans="1:13" x14ac:dyDescent="0.3">
      <c r="A519" t="str">
        <f>IFERROR(INDEX('Product Master'!$A$7:$A$1000,_xlfn.AGGREGATE(15,6,(ROW('Product Master'!$A$7:$A$1000)-ROW('Product Master'!$A$7)+1)/(('Product Master'!$A$7:$A$1000&lt;&gt;"")*('Product Master'!$P$7:$P$1000="Low Stock")),ROWS($A$12:A519))),"")</f>
        <v/>
      </c>
      <c r="B519" t="str">
        <f>IF($A519="","",INDEX('Product Master'!$B$7:$B$1000,MATCH($A519,'Product Master'!$A$7:$A$1000,0)))</f>
        <v/>
      </c>
      <c r="C519" t="str">
        <f>IF($A519="","",INDEX('Product Master'!$C$7:$C$1000,MATCH($A519,'Product Master'!$A$7:$A$1000,0)))</f>
        <v/>
      </c>
      <c r="D519" t="str">
        <f>IF($A519="","",INDEX('Product Master'!$M$7:$M$1000,MATCH($A519,'Product Master'!$A$7:$A$1000,0)))</f>
        <v/>
      </c>
      <c r="E519" t="str">
        <f>IF($A519="","",INDEX('Product Master'!$N$7:$N$1000,MATCH($A519,'Product Master'!$A$7:$A$1000,0)))</f>
        <v/>
      </c>
      <c r="F519" t="str">
        <f>IF($A519="","",INDEX('Product Master'!$P$7:$P$1000,MATCH($A519,'Product Master'!$A$7:$A$1000,0)))</f>
        <v/>
      </c>
      <c r="I519" t="str">
        <f>IFERROR(INDEX('Product Master'!$A$7:$A$1000,_xlfn.AGGREGATE(15,6,(ROW('Product Master'!$A$7:$A$1000)-ROW('Product Master'!$A$7)+1)/(('Product Master'!$A$7:$A$1000&lt;&gt;"")*('Product Master'!$P$7:$P$1000="Out of Stock")),ROWS($I$12:I519))),"")</f>
        <v/>
      </c>
      <c r="J519" t="str">
        <f>IF($I519="","",INDEX('Product Master'!$B$7:$B$1000,MATCH($I519,'Product Master'!$A$7:$A$1000,0)))</f>
        <v/>
      </c>
      <c r="K519" t="str">
        <f>IF($I519="","",INDEX('Product Master'!$C$7:$C$1000,MATCH($I519,'Product Master'!$A$7:$A$1000,0)))</f>
        <v/>
      </c>
      <c r="L519" t="str">
        <f>IF($I519="","",INDEX('Product Master'!$M$7:$M$1000,MATCH($I519,'Product Master'!$A$7:$A$1000,0)))</f>
        <v/>
      </c>
      <c r="M519" t="str">
        <f>IF($I519="","",INDEX('Product Master'!$N$7:$N$1000,MATCH($I519,'Product Master'!$A$7:$A$1000,0)))</f>
        <v/>
      </c>
    </row>
    <row r="520" spans="1:13" x14ac:dyDescent="0.3">
      <c r="A520" t="str">
        <f>IFERROR(INDEX('Product Master'!$A$7:$A$1000,_xlfn.AGGREGATE(15,6,(ROW('Product Master'!$A$7:$A$1000)-ROW('Product Master'!$A$7)+1)/(('Product Master'!$A$7:$A$1000&lt;&gt;"")*('Product Master'!$P$7:$P$1000="Low Stock")),ROWS($A$12:A520))),"")</f>
        <v/>
      </c>
      <c r="B520" t="str">
        <f>IF($A520="","",INDEX('Product Master'!$B$7:$B$1000,MATCH($A520,'Product Master'!$A$7:$A$1000,0)))</f>
        <v/>
      </c>
      <c r="C520" t="str">
        <f>IF($A520="","",INDEX('Product Master'!$C$7:$C$1000,MATCH($A520,'Product Master'!$A$7:$A$1000,0)))</f>
        <v/>
      </c>
      <c r="D520" t="str">
        <f>IF($A520="","",INDEX('Product Master'!$M$7:$M$1000,MATCH($A520,'Product Master'!$A$7:$A$1000,0)))</f>
        <v/>
      </c>
      <c r="E520" t="str">
        <f>IF($A520="","",INDEX('Product Master'!$N$7:$N$1000,MATCH($A520,'Product Master'!$A$7:$A$1000,0)))</f>
        <v/>
      </c>
      <c r="F520" t="str">
        <f>IF($A520="","",INDEX('Product Master'!$P$7:$P$1000,MATCH($A520,'Product Master'!$A$7:$A$1000,0)))</f>
        <v/>
      </c>
      <c r="I520" t="str">
        <f>IFERROR(INDEX('Product Master'!$A$7:$A$1000,_xlfn.AGGREGATE(15,6,(ROW('Product Master'!$A$7:$A$1000)-ROW('Product Master'!$A$7)+1)/(('Product Master'!$A$7:$A$1000&lt;&gt;"")*('Product Master'!$P$7:$P$1000="Out of Stock")),ROWS($I$12:I520))),"")</f>
        <v/>
      </c>
      <c r="J520" t="str">
        <f>IF($I520="","",INDEX('Product Master'!$B$7:$B$1000,MATCH($I520,'Product Master'!$A$7:$A$1000,0)))</f>
        <v/>
      </c>
      <c r="K520" t="str">
        <f>IF($I520="","",INDEX('Product Master'!$C$7:$C$1000,MATCH($I520,'Product Master'!$A$7:$A$1000,0)))</f>
        <v/>
      </c>
      <c r="L520" t="str">
        <f>IF($I520="","",INDEX('Product Master'!$M$7:$M$1000,MATCH($I520,'Product Master'!$A$7:$A$1000,0)))</f>
        <v/>
      </c>
      <c r="M520" t="str">
        <f>IF($I520="","",INDEX('Product Master'!$N$7:$N$1000,MATCH($I520,'Product Master'!$A$7:$A$1000,0)))</f>
        <v/>
      </c>
    </row>
    <row r="521" spans="1:13" x14ac:dyDescent="0.3">
      <c r="A521" t="str">
        <f>IFERROR(INDEX('Product Master'!$A$7:$A$1000,_xlfn.AGGREGATE(15,6,(ROW('Product Master'!$A$7:$A$1000)-ROW('Product Master'!$A$7)+1)/(('Product Master'!$A$7:$A$1000&lt;&gt;"")*('Product Master'!$P$7:$P$1000="Low Stock")),ROWS($A$12:A521))),"")</f>
        <v/>
      </c>
      <c r="B521" t="str">
        <f>IF($A521="","",INDEX('Product Master'!$B$7:$B$1000,MATCH($A521,'Product Master'!$A$7:$A$1000,0)))</f>
        <v/>
      </c>
      <c r="C521" t="str">
        <f>IF($A521="","",INDEX('Product Master'!$C$7:$C$1000,MATCH($A521,'Product Master'!$A$7:$A$1000,0)))</f>
        <v/>
      </c>
      <c r="D521" t="str">
        <f>IF($A521="","",INDEX('Product Master'!$M$7:$M$1000,MATCH($A521,'Product Master'!$A$7:$A$1000,0)))</f>
        <v/>
      </c>
      <c r="E521" t="str">
        <f>IF($A521="","",INDEX('Product Master'!$N$7:$N$1000,MATCH($A521,'Product Master'!$A$7:$A$1000,0)))</f>
        <v/>
      </c>
      <c r="F521" t="str">
        <f>IF($A521="","",INDEX('Product Master'!$P$7:$P$1000,MATCH($A521,'Product Master'!$A$7:$A$1000,0)))</f>
        <v/>
      </c>
      <c r="I521" t="str">
        <f>IFERROR(INDEX('Product Master'!$A$7:$A$1000,_xlfn.AGGREGATE(15,6,(ROW('Product Master'!$A$7:$A$1000)-ROW('Product Master'!$A$7)+1)/(('Product Master'!$A$7:$A$1000&lt;&gt;"")*('Product Master'!$P$7:$P$1000="Out of Stock")),ROWS($I$12:I521))),"")</f>
        <v/>
      </c>
      <c r="J521" t="str">
        <f>IF($I521="","",INDEX('Product Master'!$B$7:$B$1000,MATCH($I521,'Product Master'!$A$7:$A$1000,0)))</f>
        <v/>
      </c>
      <c r="K521" t="str">
        <f>IF($I521="","",INDEX('Product Master'!$C$7:$C$1000,MATCH($I521,'Product Master'!$A$7:$A$1000,0)))</f>
        <v/>
      </c>
      <c r="L521" t="str">
        <f>IF($I521="","",INDEX('Product Master'!$M$7:$M$1000,MATCH($I521,'Product Master'!$A$7:$A$1000,0)))</f>
        <v/>
      </c>
      <c r="M521" t="str">
        <f>IF($I521="","",INDEX('Product Master'!$N$7:$N$1000,MATCH($I521,'Product Master'!$A$7:$A$1000,0)))</f>
        <v/>
      </c>
    </row>
    <row r="522" spans="1:13" x14ac:dyDescent="0.3">
      <c r="A522" t="str">
        <f>IFERROR(INDEX('Product Master'!$A$7:$A$1000,_xlfn.AGGREGATE(15,6,(ROW('Product Master'!$A$7:$A$1000)-ROW('Product Master'!$A$7)+1)/(('Product Master'!$A$7:$A$1000&lt;&gt;"")*('Product Master'!$P$7:$P$1000="Low Stock")),ROWS($A$12:A522))),"")</f>
        <v/>
      </c>
      <c r="B522" t="str">
        <f>IF($A522="","",INDEX('Product Master'!$B$7:$B$1000,MATCH($A522,'Product Master'!$A$7:$A$1000,0)))</f>
        <v/>
      </c>
      <c r="C522" t="str">
        <f>IF($A522="","",INDEX('Product Master'!$C$7:$C$1000,MATCH($A522,'Product Master'!$A$7:$A$1000,0)))</f>
        <v/>
      </c>
      <c r="D522" t="str">
        <f>IF($A522="","",INDEX('Product Master'!$M$7:$M$1000,MATCH($A522,'Product Master'!$A$7:$A$1000,0)))</f>
        <v/>
      </c>
      <c r="E522" t="str">
        <f>IF($A522="","",INDEX('Product Master'!$N$7:$N$1000,MATCH($A522,'Product Master'!$A$7:$A$1000,0)))</f>
        <v/>
      </c>
      <c r="F522" t="str">
        <f>IF($A522="","",INDEX('Product Master'!$P$7:$P$1000,MATCH($A522,'Product Master'!$A$7:$A$1000,0)))</f>
        <v/>
      </c>
      <c r="I522" t="str">
        <f>IFERROR(INDEX('Product Master'!$A$7:$A$1000,_xlfn.AGGREGATE(15,6,(ROW('Product Master'!$A$7:$A$1000)-ROW('Product Master'!$A$7)+1)/(('Product Master'!$A$7:$A$1000&lt;&gt;"")*('Product Master'!$P$7:$P$1000="Out of Stock")),ROWS($I$12:I522))),"")</f>
        <v/>
      </c>
      <c r="J522" t="str">
        <f>IF($I522="","",INDEX('Product Master'!$B$7:$B$1000,MATCH($I522,'Product Master'!$A$7:$A$1000,0)))</f>
        <v/>
      </c>
      <c r="K522" t="str">
        <f>IF($I522="","",INDEX('Product Master'!$C$7:$C$1000,MATCH($I522,'Product Master'!$A$7:$A$1000,0)))</f>
        <v/>
      </c>
      <c r="L522" t="str">
        <f>IF($I522="","",INDEX('Product Master'!$M$7:$M$1000,MATCH($I522,'Product Master'!$A$7:$A$1000,0)))</f>
        <v/>
      </c>
      <c r="M522" t="str">
        <f>IF($I522="","",INDEX('Product Master'!$N$7:$N$1000,MATCH($I522,'Product Master'!$A$7:$A$1000,0)))</f>
        <v/>
      </c>
    </row>
    <row r="523" spans="1:13" x14ac:dyDescent="0.3">
      <c r="A523" t="str">
        <f>IFERROR(INDEX('Product Master'!$A$7:$A$1000,_xlfn.AGGREGATE(15,6,(ROW('Product Master'!$A$7:$A$1000)-ROW('Product Master'!$A$7)+1)/(('Product Master'!$A$7:$A$1000&lt;&gt;"")*('Product Master'!$P$7:$P$1000="Low Stock")),ROWS($A$12:A523))),"")</f>
        <v/>
      </c>
      <c r="B523" t="str">
        <f>IF($A523="","",INDEX('Product Master'!$B$7:$B$1000,MATCH($A523,'Product Master'!$A$7:$A$1000,0)))</f>
        <v/>
      </c>
      <c r="C523" t="str">
        <f>IF($A523="","",INDEX('Product Master'!$C$7:$C$1000,MATCH($A523,'Product Master'!$A$7:$A$1000,0)))</f>
        <v/>
      </c>
      <c r="D523" t="str">
        <f>IF($A523="","",INDEX('Product Master'!$M$7:$M$1000,MATCH($A523,'Product Master'!$A$7:$A$1000,0)))</f>
        <v/>
      </c>
      <c r="E523" t="str">
        <f>IF($A523="","",INDEX('Product Master'!$N$7:$N$1000,MATCH($A523,'Product Master'!$A$7:$A$1000,0)))</f>
        <v/>
      </c>
      <c r="F523" t="str">
        <f>IF($A523="","",INDEX('Product Master'!$P$7:$P$1000,MATCH($A523,'Product Master'!$A$7:$A$1000,0)))</f>
        <v/>
      </c>
      <c r="I523" t="str">
        <f>IFERROR(INDEX('Product Master'!$A$7:$A$1000,_xlfn.AGGREGATE(15,6,(ROW('Product Master'!$A$7:$A$1000)-ROW('Product Master'!$A$7)+1)/(('Product Master'!$A$7:$A$1000&lt;&gt;"")*('Product Master'!$P$7:$P$1000="Out of Stock")),ROWS($I$12:I523))),"")</f>
        <v/>
      </c>
      <c r="J523" t="str">
        <f>IF($I523="","",INDEX('Product Master'!$B$7:$B$1000,MATCH($I523,'Product Master'!$A$7:$A$1000,0)))</f>
        <v/>
      </c>
      <c r="K523" t="str">
        <f>IF($I523="","",INDEX('Product Master'!$C$7:$C$1000,MATCH($I523,'Product Master'!$A$7:$A$1000,0)))</f>
        <v/>
      </c>
      <c r="L523" t="str">
        <f>IF($I523="","",INDEX('Product Master'!$M$7:$M$1000,MATCH($I523,'Product Master'!$A$7:$A$1000,0)))</f>
        <v/>
      </c>
      <c r="M523" t="str">
        <f>IF($I523="","",INDEX('Product Master'!$N$7:$N$1000,MATCH($I523,'Product Master'!$A$7:$A$1000,0)))</f>
        <v/>
      </c>
    </row>
    <row r="524" spans="1:13" x14ac:dyDescent="0.3">
      <c r="A524" t="str">
        <f>IFERROR(INDEX('Product Master'!$A$7:$A$1000,_xlfn.AGGREGATE(15,6,(ROW('Product Master'!$A$7:$A$1000)-ROW('Product Master'!$A$7)+1)/(('Product Master'!$A$7:$A$1000&lt;&gt;"")*('Product Master'!$P$7:$P$1000="Low Stock")),ROWS($A$12:A524))),"")</f>
        <v/>
      </c>
      <c r="B524" t="str">
        <f>IF($A524="","",INDEX('Product Master'!$B$7:$B$1000,MATCH($A524,'Product Master'!$A$7:$A$1000,0)))</f>
        <v/>
      </c>
      <c r="C524" t="str">
        <f>IF($A524="","",INDEX('Product Master'!$C$7:$C$1000,MATCH($A524,'Product Master'!$A$7:$A$1000,0)))</f>
        <v/>
      </c>
      <c r="D524" t="str">
        <f>IF($A524="","",INDEX('Product Master'!$M$7:$M$1000,MATCH($A524,'Product Master'!$A$7:$A$1000,0)))</f>
        <v/>
      </c>
      <c r="E524" t="str">
        <f>IF($A524="","",INDEX('Product Master'!$N$7:$N$1000,MATCH($A524,'Product Master'!$A$7:$A$1000,0)))</f>
        <v/>
      </c>
      <c r="F524" t="str">
        <f>IF($A524="","",INDEX('Product Master'!$P$7:$P$1000,MATCH($A524,'Product Master'!$A$7:$A$1000,0)))</f>
        <v/>
      </c>
      <c r="I524" t="str">
        <f>IFERROR(INDEX('Product Master'!$A$7:$A$1000,_xlfn.AGGREGATE(15,6,(ROW('Product Master'!$A$7:$A$1000)-ROW('Product Master'!$A$7)+1)/(('Product Master'!$A$7:$A$1000&lt;&gt;"")*('Product Master'!$P$7:$P$1000="Out of Stock")),ROWS($I$12:I524))),"")</f>
        <v/>
      </c>
      <c r="J524" t="str">
        <f>IF($I524="","",INDEX('Product Master'!$B$7:$B$1000,MATCH($I524,'Product Master'!$A$7:$A$1000,0)))</f>
        <v/>
      </c>
      <c r="K524" t="str">
        <f>IF($I524="","",INDEX('Product Master'!$C$7:$C$1000,MATCH($I524,'Product Master'!$A$7:$A$1000,0)))</f>
        <v/>
      </c>
      <c r="L524" t="str">
        <f>IF($I524="","",INDEX('Product Master'!$M$7:$M$1000,MATCH($I524,'Product Master'!$A$7:$A$1000,0)))</f>
        <v/>
      </c>
      <c r="M524" t="str">
        <f>IF($I524="","",INDEX('Product Master'!$N$7:$N$1000,MATCH($I524,'Product Master'!$A$7:$A$1000,0)))</f>
        <v/>
      </c>
    </row>
    <row r="525" spans="1:13" x14ac:dyDescent="0.3">
      <c r="A525" t="str">
        <f>IFERROR(INDEX('Product Master'!$A$7:$A$1000,_xlfn.AGGREGATE(15,6,(ROW('Product Master'!$A$7:$A$1000)-ROW('Product Master'!$A$7)+1)/(('Product Master'!$A$7:$A$1000&lt;&gt;"")*('Product Master'!$P$7:$P$1000="Low Stock")),ROWS($A$12:A525))),"")</f>
        <v/>
      </c>
      <c r="B525" t="str">
        <f>IF($A525="","",INDEX('Product Master'!$B$7:$B$1000,MATCH($A525,'Product Master'!$A$7:$A$1000,0)))</f>
        <v/>
      </c>
      <c r="C525" t="str">
        <f>IF($A525="","",INDEX('Product Master'!$C$7:$C$1000,MATCH($A525,'Product Master'!$A$7:$A$1000,0)))</f>
        <v/>
      </c>
      <c r="D525" t="str">
        <f>IF($A525="","",INDEX('Product Master'!$M$7:$M$1000,MATCH($A525,'Product Master'!$A$7:$A$1000,0)))</f>
        <v/>
      </c>
      <c r="E525" t="str">
        <f>IF($A525="","",INDEX('Product Master'!$N$7:$N$1000,MATCH($A525,'Product Master'!$A$7:$A$1000,0)))</f>
        <v/>
      </c>
      <c r="F525" t="str">
        <f>IF($A525="","",INDEX('Product Master'!$P$7:$P$1000,MATCH($A525,'Product Master'!$A$7:$A$1000,0)))</f>
        <v/>
      </c>
      <c r="I525" t="str">
        <f>IFERROR(INDEX('Product Master'!$A$7:$A$1000,_xlfn.AGGREGATE(15,6,(ROW('Product Master'!$A$7:$A$1000)-ROW('Product Master'!$A$7)+1)/(('Product Master'!$A$7:$A$1000&lt;&gt;"")*('Product Master'!$P$7:$P$1000="Out of Stock")),ROWS($I$12:I525))),"")</f>
        <v/>
      </c>
      <c r="J525" t="str">
        <f>IF($I525="","",INDEX('Product Master'!$B$7:$B$1000,MATCH($I525,'Product Master'!$A$7:$A$1000,0)))</f>
        <v/>
      </c>
      <c r="K525" t="str">
        <f>IF($I525="","",INDEX('Product Master'!$C$7:$C$1000,MATCH($I525,'Product Master'!$A$7:$A$1000,0)))</f>
        <v/>
      </c>
      <c r="L525" t="str">
        <f>IF($I525="","",INDEX('Product Master'!$M$7:$M$1000,MATCH($I525,'Product Master'!$A$7:$A$1000,0)))</f>
        <v/>
      </c>
      <c r="M525" t="str">
        <f>IF($I525="","",INDEX('Product Master'!$N$7:$N$1000,MATCH($I525,'Product Master'!$A$7:$A$1000,0)))</f>
        <v/>
      </c>
    </row>
    <row r="526" spans="1:13" x14ac:dyDescent="0.3">
      <c r="A526" t="str">
        <f>IFERROR(INDEX('Product Master'!$A$7:$A$1000,_xlfn.AGGREGATE(15,6,(ROW('Product Master'!$A$7:$A$1000)-ROW('Product Master'!$A$7)+1)/(('Product Master'!$A$7:$A$1000&lt;&gt;"")*('Product Master'!$P$7:$P$1000="Low Stock")),ROWS($A$12:A526))),"")</f>
        <v/>
      </c>
      <c r="B526" t="str">
        <f>IF($A526="","",INDEX('Product Master'!$B$7:$B$1000,MATCH($A526,'Product Master'!$A$7:$A$1000,0)))</f>
        <v/>
      </c>
      <c r="C526" t="str">
        <f>IF($A526="","",INDEX('Product Master'!$C$7:$C$1000,MATCH($A526,'Product Master'!$A$7:$A$1000,0)))</f>
        <v/>
      </c>
      <c r="D526" t="str">
        <f>IF($A526="","",INDEX('Product Master'!$M$7:$M$1000,MATCH($A526,'Product Master'!$A$7:$A$1000,0)))</f>
        <v/>
      </c>
      <c r="E526" t="str">
        <f>IF($A526="","",INDEX('Product Master'!$N$7:$N$1000,MATCH($A526,'Product Master'!$A$7:$A$1000,0)))</f>
        <v/>
      </c>
      <c r="F526" t="str">
        <f>IF($A526="","",INDEX('Product Master'!$P$7:$P$1000,MATCH($A526,'Product Master'!$A$7:$A$1000,0)))</f>
        <v/>
      </c>
      <c r="I526" t="str">
        <f>IFERROR(INDEX('Product Master'!$A$7:$A$1000,_xlfn.AGGREGATE(15,6,(ROW('Product Master'!$A$7:$A$1000)-ROW('Product Master'!$A$7)+1)/(('Product Master'!$A$7:$A$1000&lt;&gt;"")*('Product Master'!$P$7:$P$1000="Out of Stock")),ROWS($I$12:I526))),"")</f>
        <v/>
      </c>
      <c r="J526" t="str">
        <f>IF($I526="","",INDEX('Product Master'!$B$7:$B$1000,MATCH($I526,'Product Master'!$A$7:$A$1000,0)))</f>
        <v/>
      </c>
      <c r="K526" t="str">
        <f>IF($I526="","",INDEX('Product Master'!$C$7:$C$1000,MATCH($I526,'Product Master'!$A$7:$A$1000,0)))</f>
        <v/>
      </c>
      <c r="L526" t="str">
        <f>IF($I526="","",INDEX('Product Master'!$M$7:$M$1000,MATCH($I526,'Product Master'!$A$7:$A$1000,0)))</f>
        <v/>
      </c>
      <c r="M526" t="str">
        <f>IF($I526="","",INDEX('Product Master'!$N$7:$N$1000,MATCH($I526,'Product Master'!$A$7:$A$1000,0)))</f>
        <v/>
      </c>
    </row>
    <row r="527" spans="1:13" x14ac:dyDescent="0.3">
      <c r="A527" t="str">
        <f>IFERROR(INDEX('Product Master'!$A$7:$A$1000,_xlfn.AGGREGATE(15,6,(ROW('Product Master'!$A$7:$A$1000)-ROW('Product Master'!$A$7)+1)/(('Product Master'!$A$7:$A$1000&lt;&gt;"")*('Product Master'!$P$7:$P$1000="Low Stock")),ROWS($A$12:A527))),"")</f>
        <v/>
      </c>
      <c r="B527" t="str">
        <f>IF($A527="","",INDEX('Product Master'!$B$7:$B$1000,MATCH($A527,'Product Master'!$A$7:$A$1000,0)))</f>
        <v/>
      </c>
      <c r="C527" t="str">
        <f>IF($A527="","",INDEX('Product Master'!$C$7:$C$1000,MATCH($A527,'Product Master'!$A$7:$A$1000,0)))</f>
        <v/>
      </c>
      <c r="D527" t="str">
        <f>IF($A527="","",INDEX('Product Master'!$M$7:$M$1000,MATCH($A527,'Product Master'!$A$7:$A$1000,0)))</f>
        <v/>
      </c>
      <c r="E527" t="str">
        <f>IF($A527="","",INDEX('Product Master'!$N$7:$N$1000,MATCH($A527,'Product Master'!$A$7:$A$1000,0)))</f>
        <v/>
      </c>
      <c r="F527" t="str">
        <f>IF($A527="","",INDEX('Product Master'!$P$7:$P$1000,MATCH($A527,'Product Master'!$A$7:$A$1000,0)))</f>
        <v/>
      </c>
      <c r="I527" t="str">
        <f>IFERROR(INDEX('Product Master'!$A$7:$A$1000,_xlfn.AGGREGATE(15,6,(ROW('Product Master'!$A$7:$A$1000)-ROW('Product Master'!$A$7)+1)/(('Product Master'!$A$7:$A$1000&lt;&gt;"")*('Product Master'!$P$7:$P$1000="Out of Stock")),ROWS($I$12:I527))),"")</f>
        <v/>
      </c>
      <c r="J527" t="str">
        <f>IF($I527="","",INDEX('Product Master'!$B$7:$B$1000,MATCH($I527,'Product Master'!$A$7:$A$1000,0)))</f>
        <v/>
      </c>
      <c r="K527" t="str">
        <f>IF($I527="","",INDEX('Product Master'!$C$7:$C$1000,MATCH($I527,'Product Master'!$A$7:$A$1000,0)))</f>
        <v/>
      </c>
      <c r="L527" t="str">
        <f>IF($I527="","",INDEX('Product Master'!$M$7:$M$1000,MATCH($I527,'Product Master'!$A$7:$A$1000,0)))</f>
        <v/>
      </c>
      <c r="M527" t="str">
        <f>IF($I527="","",INDEX('Product Master'!$N$7:$N$1000,MATCH($I527,'Product Master'!$A$7:$A$1000,0)))</f>
        <v/>
      </c>
    </row>
    <row r="528" spans="1:13" x14ac:dyDescent="0.3">
      <c r="A528" t="str">
        <f>IFERROR(INDEX('Product Master'!$A$7:$A$1000,_xlfn.AGGREGATE(15,6,(ROW('Product Master'!$A$7:$A$1000)-ROW('Product Master'!$A$7)+1)/(('Product Master'!$A$7:$A$1000&lt;&gt;"")*('Product Master'!$P$7:$P$1000="Low Stock")),ROWS($A$12:A528))),"")</f>
        <v/>
      </c>
      <c r="B528" t="str">
        <f>IF($A528="","",INDEX('Product Master'!$B$7:$B$1000,MATCH($A528,'Product Master'!$A$7:$A$1000,0)))</f>
        <v/>
      </c>
      <c r="C528" t="str">
        <f>IF($A528="","",INDEX('Product Master'!$C$7:$C$1000,MATCH($A528,'Product Master'!$A$7:$A$1000,0)))</f>
        <v/>
      </c>
      <c r="D528" t="str">
        <f>IF($A528="","",INDEX('Product Master'!$M$7:$M$1000,MATCH($A528,'Product Master'!$A$7:$A$1000,0)))</f>
        <v/>
      </c>
      <c r="E528" t="str">
        <f>IF($A528="","",INDEX('Product Master'!$N$7:$N$1000,MATCH($A528,'Product Master'!$A$7:$A$1000,0)))</f>
        <v/>
      </c>
      <c r="F528" t="str">
        <f>IF($A528="","",INDEX('Product Master'!$P$7:$P$1000,MATCH($A528,'Product Master'!$A$7:$A$1000,0)))</f>
        <v/>
      </c>
      <c r="I528" t="str">
        <f>IFERROR(INDEX('Product Master'!$A$7:$A$1000,_xlfn.AGGREGATE(15,6,(ROW('Product Master'!$A$7:$A$1000)-ROW('Product Master'!$A$7)+1)/(('Product Master'!$A$7:$A$1000&lt;&gt;"")*('Product Master'!$P$7:$P$1000="Out of Stock")),ROWS($I$12:I528))),"")</f>
        <v/>
      </c>
      <c r="J528" t="str">
        <f>IF($I528="","",INDEX('Product Master'!$B$7:$B$1000,MATCH($I528,'Product Master'!$A$7:$A$1000,0)))</f>
        <v/>
      </c>
      <c r="K528" t="str">
        <f>IF($I528="","",INDEX('Product Master'!$C$7:$C$1000,MATCH($I528,'Product Master'!$A$7:$A$1000,0)))</f>
        <v/>
      </c>
      <c r="L528" t="str">
        <f>IF($I528="","",INDEX('Product Master'!$M$7:$M$1000,MATCH($I528,'Product Master'!$A$7:$A$1000,0)))</f>
        <v/>
      </c>
      <c r="M528" t="str">
        <f>IF($I528="","",INDEX('Product Master'!$N$7:$N$1000,MATCH($I528,'Product Master'!$A$7:$A$1000,0)))</f>
        <v/>
      </c>
    </row>
    <row r="529" spans="1:13" x14ac:dyDescent="0.3">
      <c r="A529" t="str">
        <f>IFERROR(INDEX('Product Master'!$A$7:$A$1000,_xlfn.AGGREGATE(15,6,(ROW('Product Master'!$A$7:$A$1000)-ROW('Product Master'!$A$7)+1)/(('Product Master'!$A$7:$A$1000&lt;&gt;"")*('Product Master'!$P$7:$P$1000="Low Stock")),ROWS($A$12:A529))),"")</f>
        <v/>
      </c>
      <c r="B529" t="str">
        <f>IF($A529="","",INDEX('Product Master'!$B$7:$B$1000,MATCH($A529,'Product Master'!$A$7:$A$1000,0)))</f>
        <v/>
      </c>
      <c r="C529" t="str">
        <f>IF($A529="","",INDEX('Product Master'!$C$7:$C$1000,MATCH($A529,'Product Master'!$A$7:$A$1000,0)))</f>
        <v/>
      </c>
      <c r="D529" t="str">
        <f>IF($A529="","",INDEX('Product Master'!$M$7:$M$1000,MATCH($A529,'Product Master'!$A$7:$A$1000,0)))</f>
        <v/>
      </c>
      <c r="E529" t="str">
        <f>IF($A529="","",INDEX('Product Master'!$N$7:$N$1000,MATCH($A529,'Product Master'!$A$7:$A$1000,0)))</f>
        <v/>
      </c>
      <c r="F529" t="str">
        <f>IF($A529="","",INDEX('Product Master'!$P$7:$P$1000,MATCH($A529,'Product Master'!$A$7:$A$1000,0)))</f>
        <v/>
      </c>
      <c r="I529" t="str">
        <f>IFERROR(INDEX('Product Master'!$A$7:$A$1000,_xlfn.AGGREGATE(15,6,(ROW('Product Master'!$A$7:$A$1000)-ROW('Product Master'!$A$7)+1)/(('Product Master'!$A$7:$A$1000&lt;&gt;"")*('Product Master'!$P$7:$P$1000="Out of Stock")),ROWS($I$12:I529))),"")</f>
        <v/>
      </c>
      <c r="J529" t="str">
        <f>IF($I529="","",INDEX('Product Master'!$B$7:$B$1000,MATCH($I529,'Product Master'!$A$7:$A$1000,0)))</f>
        <v/>
      </c>
      <c r="K529" t="str">
        <f>IF($I529="","",INDEX('Product Master'!$C$7:$C$1000,MATCH($I529,'Product Master'!$A$7:$A$1000,0)))</f>
        <v/>
      </c>
      <c r="L529" t="str">
        <f>IF($I529="","",INDEX('Product Master'!$M$7:$M$1000,MATCH($I529,'Product Master'!$A$7:$A$1000,0)))</f>
        <v/>
      </c>
      <c r="M529" t="str">
        <f>IF($I529="","",INDEX('Product Master'!$N$7:$N$1000,MATCH($I529,'Product Master'!$A$7:$A$1000,0)))</f>
        <v/>
      </c>
    </row>
    <row r="530" spans="1:13" x14ac:dyDescent="0.3">
      <c r="A530" t="str">
        <f>IFERROR(INDEX('Product Master'!$A$7:$A$1000,_xlfn.AGGREGATE(15,6,(ROW('Product Master'!$A$7:$A$1000)-ROW('Product Master'!$A$7)+1)/(('Product Master'!$A$7:$A$1000&lt;&gt;"")*('Product Master'!$P$7:$P$1000="Low Stock")),ROWS($A$12:A530))),"")</f>
        <v/>
      </c>
      <c r="B530" t="str">
        <f>IF($A530="","",INDEX('Product Master'!$B$7:$B$1000,MATCH($A530,'Product Master'!$A$7:$A$1000,0)))</f>
        <v/>
      </c>
      <c r="C530" t="str">
        <f>IF($A530="","",INDEX('Product Master'!$C$7:$C$1000,MATCH($A530,'Product Master'!$A$7:$A$1000,0)))</f>
        <v/>
      </c>
      <c r="D530" t="str">
        <f>IF($A530="","",INDEX('Product Master'!$M$7:$M$1000,MATCH($A530,'Product Master'!$A$7:$A$1000,0)))</f>
        <v/>
      </c>
      <c r="E530" t="str">
        <f>IF($A530="","",INDEX('Product Master'!$N$7:$N$1000,MATCH($A530,'Product Master'!$A$7:$A$1000,0)))</f>
        <v/>
      </c>
      <c r="F530" t="str">
        <f>IF($A530="","",INDEX('Product Master'!$P$7:$P$1000,MATCH($A530,'Product Master'!$A$7:$A$1000,0)))</f>
        <v/>
      </c>
      <c r="I530" t="str">
        <f>IFERROR(INDEX('Product Master'!$A$7:$A$1000,_xlfn.AGGREGATE(15,6,(ROW('Product Master'!$A$7:$A$1000)-ROW('Product Master'!$A$7)+1)/(('Product Master'!$A$7:$A$1000&lt;&gt;"")*('Product Master'!$P$7:$P$1000="Out of Stock")),ROWS($I$12:I530))),"")</f>
        <v/>
      </c>
      <c r="J530" t="str">
        <f>IF($I530="","",INDEX('Product Master'!$B$7:$B$1000,MATCH($I530,'Product Master'!$A$7:$A$1000,0)))</f>
        <v/>
      </c>
      <c r="K530" t="str">
        <f>IF($I530="","",INDEX('Product Master'!$C$7:$C$1000,MATCH($I530,'Product Master'!$A$7:$A$1000,0)))</f>
        <v/>
      </c>
      <c r="L530" t="str">
        <f>IF($I530="","",INDEX('Product Master'!$M$7:$M$1000,MATCH($I530,'Product Master'!$A$7:$A$1000,0)))</f>
        <v/>
      </c>
      <c r="M530" t="str">
        <f>IF($I530="","",INDEX('Product Master'!$N$7:$N$1000,MATCH($I530,'Product Master'!$A$7:$A$1000,0)))</f>
        <v/>
      </c>
    </row>
    <row r="531" spans="1:13" x14ac:dyDescent="0.3">
      <c r="A531" t="str">
        <f>IFERROR(INDEX('Product Master'!$A$7:$A$1000,_xlfn.AGGREGATE(15,6,(ROW('Product Master'!$A$7:$A$1000)-ROW('Product Master'!$A$7)+1)/(('Product Master'!$A$7:$A$1000&lt;&gt;"")*('Product Master'!$P$7:$P$1000="Low Stock")),ROWS($A$12:A531))),"")</f>
        <v/>
      </c>
      <c r="B531" t="str">
        <f>IF($A531="","",INDEX('Product Master'!$B$7:$B$1000,MATCH($A531,'Product Master'!$A$7:$A$1000,0)))</f>
        <v/>
      </c>
      <c r="C531" t="str">
        <f>IF($A531="","",INDEX('Product Master'!$C$7:$C$1000,MATCH($A531,'Product Master'!$A$7:$A$1000,0)))</f>
        <v/>
      </c>
      <c r="D531" t="str">
        <f>IF($A531="","",INDEX('Product Master'!$M$7:$M$1000,MATCH($A531,'Product Master'!$A$7:$A$1000,0)))</f>
        <v/>
      </c>
      <c r="E531" t="str">
        <f>IF($A531="","",INDEX('Product Master'!$N$7:$N$1000,MATCH($A531,'Product Master'!$A$7:$A$1000,0)))</f>
        <v/>
      </c>
      <c r="F531" t="str">
        <f>IF($A531="","",INDEX('Product Master'!$P$7:$P$1000,MATCH($A531,'Product Master'!$A$7:$A$1000,0)))</f>
        <v/>
      </c>
      <c r="I531" t="str">
        <f>IFERROR(INDEX('Product Master'!$A$7:$A$1000,_xlfn.AGGREGATE(15,6,(ROW('Product Master'!$A$7:$A$1000)-ROW('Product Master'!$A$7)+1)/(('Product Master'!$A$7:$A$1000&lt;&gt;"")*('Product Master'!$P$7:$P$1000="Out of Stock")),ROWS($I$12:I531))),"")</f>
        <v/>
      </c>
      <c r="J531" t="str">
        <f>IF($I531="","",INDEX('Product Master'!$B$7:$B$1000,MATCH($I531,'Product Master'!$A$7:$A$1000,0)))</f>
        <v/>
      </c>
      <c r="K531" t="str">
        <f>IF($I531="","",INDEX('Product Master'!$C$7:$C$1000,MATCH($I531,'Product Master'!$A$7:$A$1000,0)))</f>
        <v/>
      </c>
      <c r="L531" t="str">
        <f>IF($I531="","",INDEX('Product Master'!$M$7:$M$1000,MATCH($I531,'Product Master'!$A$7:$A$1000,0)))</f>
        <v/>
      </c>
      <c r="M531" t="str">
        <f>IF($I531="","",INDEX('Product Master'!$N$7:$N$1000,MATCH($I531,'Product Master'!$A$7:$A$1000,0)))</f>
        <v/>
      </c>
    </row>
    <row r="532" spans="1:13" x14ac:dyDescent="0.3">
      <c r="A532" t="str">
        <f>IFERROR(INDEX('Product Master'!$A$7:$A$1000,_xlfn.AGGREGATE(15,6,(ROW('Product Master'!$A$7:$A$1000)-ROW('Product Master'!$A$7)+1)/(('Product Master'!$A$7:$A$1000&lt;&gt;"")*('Product Master'!$P$7:$P$1000="Low Stock")),ROWS($A$12:A532))),"")</f>
        <v/>
      </c>
      <c r="B532" t="str">
        <f>IF($A532="","",INDEX('Product Master'!$B$7:$B$1000,MATCH($A532,'Product Master'!$A$7:$A$1000,0)))</f>
        <v/>
      </c>
      <c r="C532" t="str">
        <f>IF($A532="","",INDEX('Product Master'!$C$7:$C$1000,MATCH($A532,'Product Master'!$A$7:$A$1000,0)))</f>
        <v/>
      </c>
      <c r="D532" t="str">
        <f>IF($A532="","",INDEX('Product Master'!$M$7:$M$1000,MATCH($A532,'Product Master'!$A$7:$A$1000,0)))</f>
        <v/>
      </c>
      <c r="E532" t="str">
        <f>IF($A532="","",INDEX('Product Master'!$N$7:$N$1000,MATCH($A532,'Product Master'!$A$7:$A$1000,0)))</f>
        <v/>
      </c>
      <c r="F532" t="str">
        <f>IF($A532="","",INDEX('Product Master'!$P$7:$P$1000,MATCH($A532,'Product Master'!$A$7:$A$1000,0)))</f>
        <v/>
      </c>
      <c r="I532" t="str">
        <f>IFERROR(INDEX('Product Master'!$A$7:$A$1000,_xlfn.AGGREGATE(15,6,(ROW('Product Master'!$A$7:$A$1000)-ROW('Product Master'!$A$7)+1)/(('Product Master'!$A$7:$A$1000&lt;&gt;"")*('Product Master'!$P$7:$P$1000="Out of Stock")),ROWS($I$12:I532))),"")</f>
        <v/>
      </c>
      <c r="J532" t="str">
        <f>IF($I532="","",INDEX('Product Master'!$B$7:$B$1000,MATCH($I532,'Product Master'!$A$7:$A$1000,0)))</f>
        <v/>
      </c>
      <c r="K532" t="str">
        <f>IF($I532="","",INDEX('Product Master'!$C$7:$C$1000,MATCH($I532,'Product Master'!$A$7:$A$1000,0)))</f>
        <v/>
      </c>
      <c r="L532" t="str">
        <f>IF($I532="","",INDEX('Product Master'!$M$7:$M$1000,MATCH($I532,'Product Master'!$A$7:$A$1000,0)))</f>
        <v/>
      </c>
      <c r="M532" t="str">
        <f>IF($I532="","",INDEX('Product Master'!$N$7:$N$1000,MATCH($I532,'Product Master'!$A$7:$A$1000,0)))</f>
        <v/>
      </c>
    </row>
    <row r="533" spans="1:13" x14ac:dyDescent="0.3">
      <c r="A533" t="str">
        <f>IFERROR(INDEX('Product Master'!$A$7:$A$1000,_xlfn.AGGREGATE(15,6,(ROW('Product Master'!$A$7:$A$1000)-ROW('Product Master'!$A$7)+1)/(('Product Master'!$A$7:$A$1000&lt;&gt;"")*('Product Master'!$P$7:$P$1000="Low Stock")),ROWS($A$12:A533))),"")</f>
        <v/>
      </c>
      <c r="B533" t="str">
        <f>IF($A533="","",INDEX('Product Master'!$B$7:$B$1000,MATCH($A533,'Product Master'!$A$7:$A$1000,0)))</f>
        <v/>
      </c>
      <c r="C533" t="str">
        <f>IF($A533="","",INDEX('Product Master'!$C$7:$C$1000,MATCH($A533,'Product Master'!$A$7:$A$1000,0)))</f>
        <v/>
      </c>
      <c r="D533" t="str">
        <f>IF($A533="","",INDEX('Product Master'!$M$7:$M$1000,MATCH($A533,'Product Master'!$A$7:$A$1000,0)))</f>
        <v/>
      </c>
      <c r="E533" t="str">
        <f>IF($A533="","",INDEX('Product Master'!$N$7:$N$1000,MATCH($A533,'Product Master'!$A$7:$A$1000,0)))</f>
        <v/>
      </c>
      <c r="F533" t="str">
        <f>IF($A533="","",INDEX('Product Master'!$P$7:$P$1000,MATCH($A533,'Product Master'!$A$7:$A$1000,0)))</f>
        <v/>
      </c>
      <c r="I533" t="str">
        <f>IFERROR(INDEX('Product Master'!$A$7:$A$1000,_xlfn.AGGREGATE(15,6,(ROW('Product Master'!$A$7:$A$1000)-ROW('Product Master'!$A$7)+1)/(('Product Master'!$A$7:$A$1000&lt;&gt;"")*('Product Master'!$P$7:$P$1000="Out of Stock")),ROWS($I$12:I533))),"")</f>
        <v/>
      </c>
      <c r="J533" t="str">
        <f>IF($I533="","",INDEX('Product Master'!$B$7:$B$1000,MATCH($I533,'Product Master'!$A$7:$A$1000,0)))</f>
        <v/>
      </c>
      <c r="K533" t="str">
        <f>IF($I533="","",INDEX('Product Master'!$C$7:$C$1000,MATCH($I533,'Product Master'!$A$7:$A$1000,0)))</f>
        <v/>
      </c>
      <c r="L533" t="str">
        <f>IF($I533="","",INDEX('Product Master'!$M$7:$M$1000,MATCH($I533,'Product Master'!$A$7:$A$1000,0)))</f>
        <v/>
      </c>
      <c r="M533" t="str">
        <f>IF($I533="","",INDEX('Product Master'!$N$7:$N$1000,MATCH($I533,'Product Master'!$A$7:$A$1000,0)))</f>
        <v/>
      </c>
    </row>
    <row r="534" spans="1:13" x14ac:dyDescent="0.3">
      <c r="A534" t="str">
        <f>IFERROR(INDEX('Product Master'!$A$7:$A$1000,_xlfn.AGGREGATE(15,6,(ROW('Product Master'!$A$7:$A$1000)-ROW('Product Master'!$A$7)+1)/(('Product Master'!$A$7:$A$1000&lt;&gt;"")*('Product Master'!$P$7:$P$1000="Low Stock")),ROWS($A$12:A534))),"")</f>
        <v/>
      </c>
      <c r="B534" t="str">
        <f>IF($A534="","",INDEX('Product Master'!$B$7:$B$1000,MATCH($A534,'Product Master'!$A$7:$A$1000,0)))</f>
        <v/>
      </c>
      <c r="C534" t="str">
        <f>IF($A534="","",INDEX('Product Master'!$C$7:$C$1000,MATCH($A534,'Product Master'!$A$7:$A$1000,0)))</f>
        <v/>
      </c>
      <c r="D534" t="str">
        <f>IF($A534="","",INDEX('Product Master'!$M$7:$M$1000,MATCH($A534,'Product Master'!$A$7:$A$1000,0)))</f>
        <v/>
      </c>
      <c r="E534" t="str">
        <f>IF($A534="","",INDEX('Product Master'!$N$7:$N$1000,MATCH($A534,'Product Master'!$A$7:$A$1000,0)))</f>
        <v/>
      </c>
      <c r="F534" t="str">
        <f>IF($A534="","",INDEX('Product Master'!$P$7:$P$1000,MATCH($A534,'Product Master'!$A$7:$A$1000,0)))</f>
        <v/>
      </c>
      <c r="I534" t="str">
        <f>IFERROR(INDEX('Product Master'!$A$7:$A$1000,_xlfn.AGGREGATE(15,6,(ROW('Product Master'!$A$7:$A$1000)-ROW('Product Master'!$A$7)+1)/(('Product Master'!$A$7:$A$1000&lt;&gt;"")*('Product Master'!$P$7:$P$1000="Out of Stock")),ROWS($I$12:I534))),"")</f>
        <v/>
      </c>
      <c r="J534" t="str">
        <f>IF($I534="","",INDEX('Product Master'!$B$7:$B$1000,MATCH($I534,'Product Master'!$A$7:$A$1000,0)))</f>
        <v/>
      </c>
      <c r="K534" t="str">
        <f>IF($I534="","",INDEX('Product Master'!$C$7:$C$1000,MATCH($I534,'Product Master'!$A$7:$A$1000,0)))</f>
        <v/>
      </c>
      <c r="L534" t="str">
        <f>IF($I534="","",INDEX('Product Master'!$M$7:$M$1000,MATCH($I534,'Product Master'!$A$7:$A$1000,0)))</f>
        <v/>
      </c>
      <c r="M534" t="str">
        <f>IF($I534="","",INDEX('Product Master'!$N$7:$N$1000,MATCH($I534,'Product Master'!$A$7:$A$1000,0)))</f>
        <v/>
      </c>
    </row>
    <row r="535" spans="1:13" x14ac:dyDescent="0.3">
      <c r="A535" t="str">
        <f>IFERROR(INDEX('Product Master'!$A$7:$A$1000,_xlfn.AGGREGATE(15,6,(ROW('Product Master'!$A$7:$A$1000)-ROW('Product Master'!$A$7)+1)/(('Product Master'!$A$7:$A$1000&lt;&gt;"")*('Product Master'!$P$7:$P$1000="Low Stock")),ROWS($A$12:A535))),"")</f>
        <v/>
      </c>
      <c r="B535" t="str">
        <f>IF($A535="","",INDEX('Product Master'!$B$7:$B$1000,MATCH($A535,'Product Master'!$A$7:$A$1000,0)))</f>
        <v/>
      </c>
      <c r="C535" t="str">
        <f>IF($A535="","",INDEX('Product Master'!$C$7:$C$1000,MATCH($A535,'Product Master'!$A$7:$A$1000,0)))</f>
        <v/>
      </c>
      <c r="D535" t="str">
        <f>IF($A535="","",INDEX('Product Master'!$M$7:$M$1000,MATCH($A535,'Product Master'!$A$7:$A$1000,0)))</f>
        <v/>
      </c>
      <c r="E535" t="str">
        <f>IF($A535="","",INDEX('Product Master'!$N$7:$N$1000,MATCH($A535,'Product Master'!$A$7:$A$1000,0)))</f>
        <v/>
      </c>
      <c r="F535" t="str">
        <f>IF($A535="","",INDEX('Product Master'!$P$7:$P$1000,MATCH($A535,'Product Master'!$A$7:$A$1000,0)))</f>
        <v/>
      </c>
      <c r="I535" t="str">
        <f>IFERROR(INDEX('Product Master'!$A$7:$A$1000,_xlfn.AGGREGATE(15,6,(ROW('Product Master'!$A$7:$A$1000)-ROW('Product Master'!$A$7)+1)/(('Product Master'!$A$7:$A$1000&lt;&gt;"")*('Product Master'!$P$7:$P$1000="Out of Stock")),ROWS($I$12:I535))),"")</f>
        <v/>
      </c>
      <c r="J535" t="str">
        <f>IF($I535="","",INDEX('Product Master'!$B$7:$B$1000,MATCH($I535,'Product Master'!$A$7:$A$1000,0)))</f>
        <v/>
      </c>
      <c r="K535" t="str">
        <f>IF($I535="","",INDEX('Product Master'!$C$7:$C$1000,MATCH($I535,'Product Master'!$A$7:$A$1000,0)))</f>
        <v/>
      </c>
      <c r="L535" t="str">
        <f>IF($I535="","",INDEX('Product Master'!$M$7:$M$1000,MATCH($I535,'Product Master'!$A$7:$A$1000,0)))</f>
        <v/>
      </c>
      <c r="M535" t="str">
        <f>IF($I535="","",INDEX('Product Master'!$N$7:$N$1000,MATCH($I535,'Product Master'!$A$7:$A$1000,0)))</f>
        <v/>
      </c>
    </row>
    <row r="536" spans="1:13" x14ac:dyDescent="0.3">
      <c r="A536" t="str">
        <f>IFERROR(INDEX('Product Master'!$A$7:$A$1000,_xlfn.AGGREGATE(15,6,(ROW('Product Master'!$A$7:$A$1000)-ROW('Product Master'!$A$7)+1)/(('Product Master'!$A$7:$A$1000&lt;&gt;"")*('Product Master'!$P$7:$P$1000="Low Stock")),ROWS($A$12:A536))),"")</f>
        <v/>
      </c>
      <c r="B536" t="str">
        <f>IF($A536="","",INDEX('Product Master'!$B$7:$B$1000,MATCH($A536,'Product Master'!$A$7:$A$1000,0)))</f>
        <v/>
      </c>
      <c r="C536" t="str">
        <f>IF($A536="","",INDEX('Product Master'!$C$7:$C$1000,MATCH($A536,'Product Master'!$A$7:$A$1000,0)))</f>
        <v/>
      </c>
      <c r="D536" t="str">
        <f>IF($A536="","",INDEX('Product Master'!$M$7:$M$1000,MATCH($A536,'Product Master'!$A$7:$A$1000,0)))</f>
        <v/>
      </c>
      <c r="E536" t="str">
        <f>IF($A536="","",INDEX('Product Master'!$N$7:$N$1000,MATCH($A536,'Product Master'!$A$7:$A$1000,0)))</f>
        <v/>
      </c>
      <c r="F536" t="str">
        <f>IF($A536="","",INDEX('Product Master'!$P$7:$P$1000,MATCH($A536,'Product Master'!$A$7:$A$1000,0)))</f>
        <v/>
      </c>
      <c r="I536" t="str">
        <f>IFERROR(INDEX('Product Master'!$A$7:$A$1000,_xlfn.AGGREGATE(15,6,(ROW('Product Master'!$A$7:$A$1000)-ROW('Product Master'!$A$7)+1)/(('Product Master'!$A$7:$A$1000&lt;&gt;"")*('Product Master'!$P$7:$P$1000="Out of Stock")),ROWS($I$12:I536))),"")</f>
        <v/>
      </c>
      <c r="J536" t="str">
        <f>IF($I536="","",INDEX('Product Master'!$B$7:$B$1000,MATCH($I536,'Product Master'!$A$7:$A$1000,0)))</f>
        <v/>
      </c>
      <c r="K536" t="str">
        <f>IF($I536="","",INDEX('Product Master'!$C$7:$C$1000,MATCH($I536,'Product Master'!$A$7:$A$1000,0)))</f>
        <v/>
      </c>
      <c r="L536" t="str">
        <f>IF($I536="","",INDEX('Product Master'!$M$7:$M$1000,MATCH($I536,'Product Master'!$A$7:$A$1000,0)))</f>
        <v/>
      </c>
      <c r="M536" t="str">
        <f>IF($I536="","",INDEX('Product Master'!$N$7:$N$1000,MATCH($I536,'Product Master'!$A$7:$A$1000,0)))</f>
        <v/>
      </c>
    </row>
    <row r="537" spans="1:13" x14ac:dyDescent="0.3">
      <c r="A537" t="str">
        <f>IFERROR(INDEX('Product Master'!$A$7:$A$1000,_xlfn.AGGREGATE(15,6,(ROW('Product Master'!$A$7:$A$1000)-ROW('Product Master'!$A$7)+1)/(('Product Master'!$A$7:$A$1000&lt;&gt;"")*('Product Master'!$P$7:$P$1000="Low Stock")),ROWS($A$12:A537))),"")</f>
        <v/>
      </c>
      <c r="B537" t="str">
        <f>IF($A537="","",INDEX('Product Master'!$B$7:$B$1000,MATCH($A537,'Product Master'!$A$7:$A$1000,0)))</f>
        <v/>
      </c>
      <c r="C537" t="str">
        <f>IF($A537="","",INDEX('Product Master'!$C$7:$C$1000,MATCH($A537,'Product Master'!$A$7:$A$1000,0)))</f>
        <v/>
      </c>
      <c r="D537" t="str">
        <f>IF($A537="","",INDEX('Product Master'!$M$7:$M$1000,MATCH($A537,'Product Master'!$A$7:$A$1000,0)))</f>
        <v/>
      </c>
      <c r="E537" t="str">
        <f>IF($A537="","",INDEX('Product Master'!$N$7:$N$1000,MATCH($A537,'Product Master'!$A$7:$A$1000,0)))</f>
        <v/>
      </c>
      <c r="F537" t="str">
        <f>IF($A537="","",INDEX('Product Master'!$P$7:$P$1000,MATCH($A537,'Product Master'!$A$7:$A$1000,0)))</f>
        <v/>
      </c>
      <c r="I537" t="str">
        <f>IFERROR(INDEX('Product Master'!$A$7:$A$1000,_xlfn.AGGREGATE(15,6,(ROW('Product Master'!$A$7:$A$1000)-ROW('Product Master'!$A$7)+1)/(('Product Master'!$A$7:$A$1000&lt;&gt;"")*('Product Master'!$P$7:$P$1000="Out of Stock")),ROWS($I$12:I537))),"")</f>
        <v/>
      </c>
      <c r="J537" t="str">
        <f>IF($I537="","",INDEX('Product Master'!$B$7:$B$1000,MATCH($I537,'Product Master'!$A$7:$A$1000,0)))</f>
        <v/>
      </c>
      <c r="K537" t="str">
        <f>IF($I537="","",INDEX('Product Master'!$C$7:$C$1000,MATCH($I537,'Product Master'!$A$7:$A$1000,0)))</f>
        <v/>
      </c>
      <c r="L537" t="str">
        <f>IF($I537="","",INDEX('Product Master'!$M$7:$M$1000,MATCH($I537,'Product Master'!$A$7:$A$1000,0)))</f>
        <v/>
      </c>
      <c r="M537" t="str">
        <f>IF($I537="","",INDEX('Product Master'!$N$7:$N$1000,MATCH($I537,'Product Master'!$A$7:$A$1000,0)))</f>
        <v/>
      </c>
    </row>
    <row r="538" spans="1:13" x14ac:dyDescent="0.3">
      <c r="A538" t="str">
        <f>IFERROR(INDEX('Product Master'!$A$7:$A$1000,_xlfn.AGGREGATE(15,6,(ROW('Product Master'!$A$7:$A$1000)-ROW('Product Master'!$A$7)+1)/(('Product Master'!$A$7:$A$1000&lt;&gt;"")*('Product Master'!$P$7:$P$1000="Low Stock")),ROWS($A$12:A538))),"")</f>
        <v/>
      </c>
      <c r="B538" t="str">
        <f>IF($A538="","",INDEX('Product Master'!$B$7:$B$1000,MATCH($A538,'Product Master'!$A$7:$A$1000,0)))</f>
        <v/>
      </c>
      <c r="C538" t="str">
        <f>IF($A538="","",INDEX('Product Master'!$C$7:$C$1000,MATCH($A538,'Product Master'!$A$7:$A$1000,0)))</f>
        <v/>
      </c>
      <c r="D538" t="str">
        <f>IF($A538="","",INDEX('Product Master'!$M$7:$M$1000,MATCH($A538,'Product Master'!$A$7:$A$1000,0)))</f>
        <v/>
      </c>
      <c r="E538" t="str">
        <f>IF($A538="","",INDEX('Product Master'!$N$7:$N$1000,MATCH($A538,'Product Master'!$A$7:$A$1000,0)))</f>
        <v/>
      </c>
      <c r="F538" t="str">
        <f>IF($A538="","",INDEX('Product Master'!$P$7:$P$1000,MATCH($A538,'Product Master'!$A$7:$A$1000,0)))</f>
        <v/>
      </c>
      <c r="I538" t="str">
        <f>IFERROR(INDEX('Product Master'!$A$7:$A$1000,_xlfn.AGGREGATE(15,6,(ROW('Product Master'!$A$7:$A$1000)-ROW('Product Master'!$A$7)+1)/(('Product Master'!$A$7:$A$1000&lt;&gt;"")*('Product Master'!$P$7:$P$1000="Out of Stock")),ROWS($I$12:I538))),"")</f>
        <v/>
      </c>
      <c r="J538" t="str">
        <f>IF($I538="","",INDEX('Product Master'!$B$7:$B$1000,MATCH($I538,'Product Master'!$A$7:$A$1000,0)))</f>
        <v/>
      </c>
      <c r="K538" t="str">
        <f>IF($I538="","",INDEX('Product Master'!$C$7:$C$1000,MATCH($I538,'Product Master'!$A$7:$A$1000,0)))</f>
        <v/>
      </c>
      <c r="L538" t="str">
        <f>IF($I538="","",INDEX('Product Master'!$M$7:$M$1000,MATCH($I538,'Product Master'!$A$7:$A$1000,0)))</f>
        <v/>
      </c>
      <c r="M538" t="str">
        <f>IF($I538="","",INDEX('Product Master'!$N$7:$N$1000,MATCH($I538,'Product Master'!$A$7:$A$1000,0)))</f>
        <v/>
      </c>
    </row>
    <row r="539" spans="1:13" x14ac:dyDescent="0.3">
      <c r="A539" t="str">
        <f>IFERROR(INDEX('Product Master'!$A$7:$A$1000,_xlfn.AGGREGATE(15,6,(ROW('Product Master'!$A$7:$A$1000)-ROW('Product Master'!$A$7)+1)/(('Product Master'!$A$7:$A$1000&lt;&gt;"")*('Product Master'!$P$7:$P$1000="Low Stock")),ROWS($A$12:A539))),"")</f>
        <v/>
      </c>
      <c r="B539" t="str">
        <f>IF($A539="","",INDEX('Product Master'!$B$7:$B$1000,MATCH($A539,'Product Master'!$A$7:$A$1000,0)))</f>
        <v/>
      </c>
      <c r="C539" t="str">
        <f>IF($A539="","",INDEX('Product Master'!$C$7:$C$1000,MATCH($A539,'Product Master'!$A$7:$A$1000,0)))</f>
        <v/>
      </c>
      <c r="D539" t="str">
        <f>IF($A539="","",INDEX('Product Master'!$M$7:$M$1000,MATCH($A539,'Product Master'!$A$7:$A$1000,0)))</f>
        <v/>
      </c>
      <c r="E539" t="str">
        <f>IF($A539="","",INDEX('Product Master'!$N$7:$N$1000,MATCH($A539,'Product Master'!$A$7:$A$1000,0)))</f>
        <v/>
      </c>
      <c r="F539" t="str">
        <f>IF($A539="","",INDEX('Product Master'!$P$7:$P$1000,MATCH($A539,'Product Master'!$A$7:$A$1000,0)))</f>
        <v/>
      </c>
      <c r="I539" t="str">
        <f>IFERROR(INDEX('Product Master'!$A$7:$A$1000,_xlfn.AGGREGATE(15,6,(ROW('Product Master'!$A$7:$A$1000)-ROW('Product Master'!$A$7)+1)/(('Product Master'!$A$7:$A$1000&lt;&gt;"")*('Product Master'!$P$7:$P$1000="Out of Stock")),ROWS($I$12:I539))),"")</f>
        <v/>
      </c>
      <c r="J539" t="str">
        <f>IF($I539="","",INDEX('Product Master'!$B$7:$B$1000,MATCH($I539,'Product Master'!$A$7:$A$1000,0)))</f>
        <v/>
      </c>
      <c r="K539" t="str">
        <f>IF($I539="","",INDEX('Product Master'!$C$7:$C$1000,MATCH($I539,'Product Master'!$A$7:$A$1000,0)))</f>
        <v/>
      </c>
      <c r="L539" t="str">
        <f>IF($I539="","",INDEX('Product Master'!$M$7:$M$1000,MATCH($I539,'Product Master'!$A$7:$A$1000,0)))</f>
        <v/>
      </c>
      <c r="M539" t="str">
        <f>IF($I539="","",INDEX('Product Master'!$N$7:$N$1000,MATCH($I539,'Product Master'!$A$7:$A$1000,0)))</f>
        <v/>
      </c>
    </row>
    <row r="540" spans="1:13" x14ac:dyDescent="0.3">
      <c r="A540" t="str">
        <f>IFERROR(INDEX('Product Master'!$A$7:$A$1000,_xlfn.AGGREGATE(15,6,(ROW('Product Master'!$A$7:$A$1000)-ROW('Product Master'!$A$7)+1)/(('Product Master'!$A$7:$A$1000&lt;&gt;"")*('Product Master'!$P$7:$P$1000="Low Stock")),ROWS($A$12:A540))),"")</f>
        <v/>
      </c>
      <c r="B540" t="str">
        <f>IF($A540="","",INDEX('Product Master'!$B$7:$B$1000,MATCH($A540,'Product Master'!$A$7:$A$1000,0)))</f>
        <v/>
      </c>
      <c r="C540" t="str">
        <f>IF($A540="","",INDEX('Product Master'!$C$7:$C$1000,MATCH($A540,'Product Master'!$A$7:$A$1000,0)))</f>
        <v/>
      </c>
      <c r="D540" t="str">
        <f>IF($A540="","",INDEX('Product Master'!$M$7:$M$1000,MATCH($A540,'Product Master'!$A$7:$A$1000,0)))</f>
        <v/>
      </c>
      <c r="E540" t="str">
        <f>IF($A540="","",INDEX('Product Master'!$N$7:$N$1000,MATCH($A540,'Product Master'!$A$7:$A$1000,0)))</f>
        <v/>
      </c>
      <c r="F540" t="str">
        <f>IF($A540="","",INDEX('Product Master'!$P$7:$P$1000,MATCH($A540,'Product Master'!$A$7:$A$1000,0)))</f>
        <v/>
      </c>
      <c r="I540" t="str">
        <f>IFERROR(INDEX('Product Master'!$A$7:$A$1000,_xlfn.AGGREGATE(15,6,(ROW('Product Master'!$A$7:$A$1000)-ROW('Product Master'!$A$7)+1)/(('Product Master'!$A$7:$A$1000&lt;&gt;"")*('Product Master'!$P$7:$P$1000="Out of Stock")),ROWS($I$12:I540))),"")</f>
        <v/>
      </c>
      <c r="J540" t="str">
        <f>IF($I540="","",INDEX('Product Master'!$B$7:$B$1000,MATCH($I540,'Product Master'!$A$7:$A$1000,0)))</f>
        <v/>
      </c>
      <c r="K540" t="str">
        <f>IF($I540="","",INDEX('Product Master'!$C$7:$C$1000,MATCH($I540,'Product Master'!$A$7:$A$1000,0)))</f>
        <v/>
      </c>
      <c r="L540" t="str">
        <f>IF($I540="","",INDEX('Product Master'!$M$7:$M$1000,MATCH($I540,'Product Master'!$A$7:$A$1000,0)))</f>
        <v/>
      </c>
      <c r="M540" t="str">
        <f>IF($I540="","",INDEX('Product Master'!$N$7:$N$1000,MATCH($I540,'Product Master'!$A$7:$A$1000,0)))</f>
        <v/>
      </c>
    </row>
    <row r="541" spans="1:13" x14ac:dyDescent="0.3">
      <c r="A541" t="str">
        <f>IFERROR(INDEX('Product Master'!$A$7:$A$1000,_xlfn.AGGREGATE(15,6,(ROW('Product Master'!$A$7:$A$1000)-ROW('Product Master'!$A$7)+1)/(('Product Master'!$A$7:$A$1000&lt;&gt;"")*('Product Master'!$P$7:$P$1000="Low Stock")),ROWS($A$12:A541))),"")</f>
        <v/>
      </c>
      <c r="B541" t="str">
        <f>IF($A541="","",INDEX('Product Master'!$B$7:$B$1000,MATCH($A541,'Product Master'!$A$7:$A$1000,0)))</f>
        <v/>
      </c>
      <c r="C541" t="str">
        <f>IF($A541="","",INDEX('Product Master'!$C$7:$C$1000,MATCH($A541,'Product Master'!$A$7:$A$1000,0)))</f>
        <v/>
      </c>
      <c r="D541" t="str">
        <f>IF($A541="","",INDEX('Product Master'!$M$7:$M$1000,MATCH($A541,'Product Master'!$A$7:$A$1000,0)))</f>
        <v/>
      </c>
      <c r="E541" t="str">
        <f>IF($A541="","",INDEX('Product Master'!$N$7:$N$1000,MATCH($A541,'Product Master'!$A$7:$A$1000,0)))</f>
        <v/>
      </c>
      <c r="F541" t="str">
        <f>IF($A541="","",INDEX('Product Master'!$P$7:$P$1000,MATCH($A541,'Product Master'!$A$7:$A$1000,0)))</f>
        <v/>
      </c>
      <c r="I541" t="str">
        <f>IFERROR(INDEX('Product Master'!$A$7:$A$1000,_xlfn.AGGREGATE(15,6,(ROW('Product Master'!$A$7:$A$1000)-ROW('Product Master'!$A$7)+1)/(('Product Master'!$A$7:$A$1000&lt;&gt;"")*('Product Master'!$P$7:$P$1000="Out of Stock")),ROWS($I$12:I541))),"")</f>
        <v/>
      </c>
      <c r="J541" t="str">
        <f>IF($I541="","",INDEX('Product Master'!$B$7:$B$1000,MATCH($I541,'Product Master'!$A$7:$A$1000,0)))</f>
        <v/>
      </c>
      <c r="K541" t="str">
        <f>IF($I541="","",INDEX('Product Master'!$C$7:$C$1000,MATCH($I541,'Product Master'!$A$7:$A$1000,0)))</f>
        <v/>
      </c>
      <c r="L541" t="str">
        <f>IF($I541="","",INDEX('Product Master'!$M$7:$M$1000,MATCH($I541,'Product Master'!$A$7:$A$1000,0)))</f>
        <v/>
      </c>
      <c r="M541" t="str">
        <f>IF($I541="","",INDEX('Product Master'!$N$7:$N$1000,MATCH($I541,'Product Master'!$A$7:$A$1000,0)))</f>
        <v/>
      </c>
    </row>
    <row r="542" spans="1:13" x14ac:dyDescent="0.3">
      <c r="A542" t="str">
        <f>IFERROR(INDEX('Product Master'!$A$7:$A$1000,_xlfn.AGGREGATE(15,6,(ROW('Product Master'!$A$7:$A$1000)-ROW('Product Master'!$A$7)+1)/(('Product Master'!$A$7:$A$1000&lt;&gt;"")*('Product Master'!$P$7:$P$1000="Low Stock")),ROWS($A$12:A542))),"")</f>
        <v/>
      </c>
      <c r="B542" t="str">
        <f>IF($A542="","",INDEX('Product Master'!$B$7:$B$1000,MATCH($A542,'Product Master'!$A$7:$A$1000,0)))</f>
        <v/>
      </c>
      <c r="C542" t="str">
        <f>IF($A542="","",INDEX('Product Master'!$C$7:$C$1000,MATCH($A542,'Product Master'!$A$7:$A$1000,0)))</f>
        <v/>
      </c>
      <c r="D542" t="str">
        <f>IF($A542="","",INDEX('Product Master'!$M$7:$M$1000,MATCH($A542,'Product Master'!$A$7:$A$1000,0)))</f>
        <v/>
      </c>
      <c r="E542" t="str">
        <f>IF($A542="","",INDEX('Product Master'!$N$7:$N$1000,MATCH($A542,'Product Master'!$A$7:$A$1000,0)))</f>
        <v/>
      </c>
      <c r="F542" t="str">
        <f>IF($A542="","",INDEX('Product Master'!$P$7:$P$1000,MATCH($A542,'Product Master'!$A$7:$A$1000,0)))</f>
        <v/>
      </c>
      <c r="I542" t="str">
        <f>IFERROR(INDEX('Product Master'!$A$7:$A$1000,_xlfn.AGGREGATE(15,6,(ROW('Product Master'!$A$7:$A$1000)-ROW('Product Master'!$A$7)+1)/(('Product Master'!$A$7:$A$1000&lt;&gt;"")*('Product Master'!$P$7:$P$1000="Out of Stock")),ROWS($I$12:I542))),"")</f>
        <v/>
      </c>
      <c r="J542" t="str">
        <f>IF($I542="","",INDEX('Product Master'!$B$7:$B$1000,MATCH($I542,'Product Master'!$A$7:$A$1000,0)))</f>
        <v/>
      </c>
      <c r="K542" t="str">
        <f>IF($I542="","",INDEX('Product Master'!$C$7:$C$1000,MATCH($I542,'Product Master'!$A$7:$A$1000,0)))</f>
        <v/>
      </c>
      <c r="L542" t="str">
        <f>IF($I542="","",INDEX('Product Master'!$M$7:$M$1000,MATCH($I542,'Product Master'!$A$7:$A$1000,0)))</f>
        <v/>
      </c>
      <c r="M542" t="str">
        <f>IF($I542="","",INDEX('Product Master'!$N$7:$N$1000,MATCH($I542,'Product Master'!$A$7:$A$1000,0)))</f>
        <v/>
      </c>
    </row>
    <row r="543" spans="1:13" x14ac:dyDescent="0.3">
      <c r="A543" t="str">
        <f>IFERROR(INDEX('Product Master'!$A$7:$A$1000,_xlfn.AGGREGATE(15,6,(ROW('Product Master'!$A$7:$A$1000)-ROW('Product Master'!$A$7)+1)/(('Product Master'!$A$7:$A$1000&lt;&gt;"")*('Product Master'!$P$7:$P$1000="Low Stock")),ROWS($A$12:A543))),"")</f>
        <v/>
      </c>
      <c r="B543" t="str">
        <f>IF($A543="","",INDEX('Product Master'!$B$7:$B$1000,MATCH($A543,'Product Master'!$A$7:$A$1000,0)))</f>
        <v/>
      </c>
      <c r="C543" t="str">
        <f>IF($A543="","",INDEX('Product Master'!$C$7:$C$1000,MATCH($A543,'Product Master'!$A$7:$A$1000,0)))</f>
        <v/>
      </c>
      <c r="D543" t="str">
        <f>IF($A543="","",INDEX('Product Master'!$M$7:$M$1000,MATCH($A543,'Product Master'!$A$7:$A$1000,0)))</f>
        <v/>
      </c>
      <c r="E543" t="str">
        <f>IF($A543="","",INDEX('Product Master'!$N$7:$N$1000,MATCH($A543,'Product Master'!$A$7:$A$1000,0)))</f>
        <v/>
      </c>
      <c r="F543" t="str">
        <f>IF($A543="","",INDEX('Product Master'!$P$7:$P$1000,MATCH($A543,'Product Master'!$A$7:$A$1000,0)))</f>
        <v/>
      </c>
      <c r="I543" t="str">
        <f>IFERROR(INDEX('Product Master'!$A$7:$A$1000,_xlfn.AGGREGATE(15,6,(ROW('Product Master'!$A$7:$A$1000)-ROW('Product Master'!$A$7)+1)/(('Product Master'!$A$7:$A$1000&lt;&gt;"")*('Product Master'!$P$7:$P$1000="Out of Stock")),ROWS($I$12:I543))),"")</f>
        <v/>
      </c>
      <c r="J543" t="str">
        <f>IF($I543="","",INDEX('Product Master'!$B$7:$B$1000,MATCH($I543,'Product Master'!$A$7:$A$1000,0)))</f>
        <v/>
      </c>
      <c r="K543" t="str">
        <f>IF($I543="","",INDEX('Product Master'!$C$7:$C$1000,MATCH($I543,'Product Master'!$A$7:$A$1000,0)))</f>
        <v/>
      </c>
      <c r="L543" t="str">
        <f>IF($I543="","",INDEX('Product Master'!$M$7:$M$1000,MATCH($I543,'Product Master'!$A$7:$A$1000,0)))</f>
        <v/>
      </c>
      <c r="M543" t="str">
        <f>IF($I543="","",INDEX('Product Master'!$N$7:$N$1000,MATCH($I543,'Product Master'!$A$7:$A$1000,0)))</f>
        <v/>
      </c>
    </row>
    <row r="544" spans="1:13" x14ac:dyDescent="0.3">
      <c r="A544" t="str">
        <f>IFERROR(INDEX('Product Master'!$A$7:$A$1000,_xlfn.AGGREGATE(15,6,(ROW('Product Master'!$A$7:$A$1000)-ROW('Product Master'!$A$7)+1)/(('Product Master'!$A$7:$A$1000&lt;&gt;"")*('Product Master'!$P$7:$P$1000="Low Stock")),ROWS($A$12:A544))),"")</f>
        <v/>
      </c>
      <c r="B544" t="str">
        <f>IF($A544="","",INDEX('Product Master'!$B$7:$B$1000,MATCH($A544,'Product Master'!$A$7:$A$1000,0)))</f>
        <v/>
      </c>
      <c r="C544" t="str">
        <f>IF($A544="","",INDEX('Product Master'!$C$7:$C$1000,MATCH($A544,'Product Master'!$A$7:$A$1000,0)))</f>
        <v/>
      </c>
      <c r="D544" t="str">
        <f>IF($A544="","",INDEX('Product Master'!$M$7:$M$1000,MATCH($A544,'Product Master'!$A$7:$A$1000,0)))</f>
        <v/>
      </c>
      <c r="E544" t="str">
        <f>IF($A544="","",INDEX('Product Master'!$N$7:$N$1000,MATCH($A544,'Product Master'!$A$7:$A$1000,0)))</f>
        <v/>
      </c>
      <c r="F544" t="str">
        <f>IF($A544="","",INDEX('Product Master'!$P$7:$P$1000,MATCH($A544,'Product Master'!$A$7:$A$1000,0)))</f>
        <v/>
      </c>
      <c r="I544" t="str">
        <f>IFERROR(INDEX('Product Master'!$A$7:$A$1000,_xlfn.AGGREGATE(15,6,(ROW('Product Master'!$A$7:$A$1000)-ROW('Product Master'!$A$7)+1)/(('Product Master'!$A$7:$A$1000&lt;&gt;"")*('Product Master'!$P$7:$P$1000="Out of Stock")),ROWS($I$12:I544))),"")</f>
        <v/>
      </c>
      <c r="J544" t="str">
        <f>IF($I544="","",INDEX('Product Master'!$B$7:$B$1000,MATCH($I544,'Product Master'!$A$7:$A$1000,0)))</f>
        <v/>
      </c>
      <c r="K544" t="str">
        <f>IF($I544="","",INDEX('Product Master'!$C$7:$C$1000,MATCH($I544,'Product Master'!$A$7:$A$1000,0)))</f>
        <v/>
      </c>
      <c r="L544" t="str">
        <f>IF($I544="","",INDEX('Product Master'!$M$7:$M$1000,MATCH($I544,'Product Master'!$A$7:$A$1000,0)))</f>
        <v/>
      </c>
      <c r="M544" t="str">
        <f>IF($I544="","",INDEX('Product Master'!$N$7:$N$1000,MATCH($I544,'Product Master'!$A$7:$A$1000,0)))</f>
        <v/>
      </c>
    </row>
    <row r="545" spans="1:13" x14ac:dyDescent="0.3">
      <c r="A545" t="str">
        <f>IFERROR(INDEX('Product Master'!$A$7:$A$1000,_xlfn.AGGREGATE(15,6,(ROW('Product Master'!$A$7:$A$1000)-ROW('Product Master'!$A$7)+1)/(('Product Master'!$A$7:$A$1000&lt;&gt;"")*('Product Master'!$P$7:$P$1000="Low Stock")),ROWS($A$12:A545))),"")</f>
        <v/>
      </c>
      <c r="B545" t="str">
        <f>IF($A545="","",INDEX('Product Master'!$B$7:$B$1000,MATCH($A545,'Product Master'!$A$7:$A$1000,0)))</f>
        <v/>
      </c>
      <c r="C545" t="str">
        <f>IF($A545="","",INDEX('Product Master'!$C$7:$C$1000,MATCH($A545,'Product Master'!$A$7:$A$1000,0)))</f>
        <v/>
      </c>
      <c r="D545" t="str">
        <f>IF($A545="","",INDEX('Product Master'!$M$7:$M$1000,MATCH($A545,'Product Master'!$A$7:$A$1000,0)))</f>
        <v/>
      </c>
      <c r="E545" t="str">
        <f>IF($A545="","",INDEX('Product Master'!$N$7:$N$1000,MATCH($A545,'Product Master'!$A$7:$A$1000,0)))</f>
        <v/>
      </c>
      <c r="F545" t="str">
        <f>IF($A545="","",INDEX('Product Master'!$P$7:$P$1000,MATCH($A545,'Product Master'!$A$7:$A$1000,0)))</f>
        <v/>
      </c>
      <c r="I545" t="str">
        <f>IFERROR(INDEX('Product Master'!$A$7:$A$1000,_xlfn.AGGREGATE(15,6,(ROW('Product Master'!$A$7:$A$1000)-ROW('Product Master'!$A$7)+1)/(('Product Master'!$A$7:$A$1000&lt;&gt;"")*('Product Master'!$P$7:$P$1000="Out of Stock")),ROWS($I$12:I545))),"")</f>
        <v/>
      </c>
      <c r="J545" t="str">
        <f>IF($I545="","",INDEX('Product Master'!$B$7:$B$1000,MATCH($I545,'Product Master'!$A$7:$A$1000,0)))</f>
        <v/>
      </c>
      <c r="K545" t="str">
        <f>IF($I545="","",INDEX('Product Master'!$C$7:$C$1000,MATCH($I545,'Product Master'!$A$7:$A$1000,0)))</f>
        <v/>
      </c>
      <c r="L545" t="str">
        <f>IF($I545="","",INDEX('Product Master'!$M$7:$M$1000,MATCH($I545,'Product Master'!$A$7:$A$1000,0)))</f>
        <v/>
      </c>
      <c r="M545" t="str">
        <f>IF($I545="","",INDEX('Product Master'!$N$7:$N$1000,MATCH($I545,'Product Master'!$A$7:$A$1000,0)))</f>
        <v/>
      </c>
    </row>
    <row r="546" spans="1:13" x14ac:dyDescent="0.3">
      <c r="A546" t="str">
        <f>IFERROR(INDEX('Product Master'!$A$7:$A$1000,_xlfn.AGGREGATE(15,6,(ROW('Product Master'!$A$7:$A$1000)-ROW('Product Master'!$A$7)+1)/(('Product Master'!$A$7:$A$1000&lt;&gt;"")*('Product Master'!$P$7:$P$1000="Low Stock")),ROWS($A$12:A546))),"")</f>
        <v/>
      </c>
      <c r="B546" t="str">
        <f>IF($A546="","",INDEX('Product Master'!$B$7:$B$1000,MATCH($A546,'Product Master'!$A$7:$A$1000,0)))</f>
        <v/>
      </c>
      <c r="C546" t="str">
        <f>IF($A546="","",INDEX('Product Master'!$C$7:$C$1000,MATCH($A546,'Product Master'!$A$7:$A$1000,0)))</f>
        <v/>
      </c>
      <c r="D546" t="str">
        <f>IF($A546="","",INDEX('Product Master'!$M$7:$M$1000,MATCH($A546,'Product Master'!$A$7:$A$1000,0)))</f>
        <v/>
      </c>
      <c r="E546" t="str">
        <f>IF($A546="","",INDEX('Product Master'!$N$7:$N$1000,MATCH($A546,'Product Master'!$A$7:$A$1000,0)))</f>
        <v/>
      </c>
      <c r="F546" t="str">
        <f>IF($A546="","",INDEX('Product Master'!$P$7:$P$1000,MATCH($A546,'Product Master'!$A$7:$A$1000,0)))</f>
        <v/>
      </c>
      <c r="I546" t="str">
        <f>IFERROR(INDEX('Product Master'!$A$7:$A$1000,_xlfn.AGGREGATE(15,6,(ROW('Product Master'!$A$7:$A$1000)-ROW('Product Master'!$A$7)+1)/(('Product Master'!$A$7:$A$1000&lt;&gt;"")*('Product Master'!$P$7:$P$1000="Out of Stock")),ROWS($I$12:I546))),"")</f>
        <v/>
      </c>
      <c r="J546" t="str">
        <f>IF($I546="","",INDEX('Product Master'!$B$7:$B$1000,MATCH($I546,'Product Master'!$A$7:$A$1000,0)))</f>
        <v/>
      </c>
      <c r="K546" t="str">
        <f>IF($I546="","",INDEX('Product Master'!$C$7:$C$1000,MATCH($I546,'Product Master'!$A$7:$A$1000,0)))</f>
        <v/>
      </c>
      <c r="L546" t="str">
        <f>IF($I546="","",INDEX('Product Master'!$M$7:$M$1000,MATCH($I546,'Product Master'!$A$7:$A$1000,0)))</f>
        <v/>
      </c>
      <c r="M546" t="str">
        <f>IF($I546="","",INDEX('Product Master'!$N$7:$N$1000,MATCH($I546,'Product Master'!$A$7:$A$1000,0)))</f>
        <v/>
      </c>
    </row>
    <row r="547" spans="1:13" x14ac:dyDescent="0.3">
      <c r="A547" t="str">
        <f>IFERROR(INDEX('Product Master'!$A$7:$A$1000,_xlfn.AGGREGATE(15,6,(ROW('Product Master'!$A$7:$A$1000)-ROW('Product Master'!$A$7)+1)/(('Product Master'!$A$7:$A$1000&lt;&gt;"")*('Product Master'!$P$7:$P$1000="Low Stock")),ROWS($A$12:A547))),"")</f>
        <v/>
      </c>
      <c r="B547" t="str">
        <f>IF($A547="","",INDEX('Product Master'!$B$7:$B$1000,MATCH($A547,'Product Master'!$A$7:$A$1000,0)))</f>
        <v/>
      </c>
      <c r="C547" t="str">
        <f>IF($A547="","",INDEX('Product Master'!$C$7:$C$1000,MATCH($A547,'Product Master'!$A$7:$A$1000,0)))</f>
        <v/>
      </c>
      <c r="D547" t="str">
        <f>IF($A547="","",INDEX('Product Master'!$M$7:$M$1000,MATCH($A547,'Product Master'!$A$7:$A$1000,0)))</f>
        <v/>
      </c>
      <c r="E547" t="str">
        <f>IF($A547="","",INDEX('Product Master'!$N$7:$N$1000,MATCH($A547,'Product Master'!$A$7:$A$1000,0)))</f>
        <v/>
      </c>
      <c r="F547" t="str">
        <f>IF($A547="","",INDEX('Product Master'!$P$7:$P$1000,MATCH($A547,'Product Master'!$A$7:$A$1000,0)))</f>
        <v/>
      </c>
      <c r="I547" t="str">
        <f>IFERROR(INDEX('Product Master'!$A$7:$A$1000,_xlfn.AGGREGATE(15,6,(ROW('Product Master'!$A$7:$A$1000)-ROW('Product Master'!$A$7)+1)/(('Product Master'!$A$7:$A$1000&lt;&gt;"")*('Product Master'!$P$7:$P$1000="Out of Stock")),ROWS($I$12:I547))),"")</f>
        <v/>
      </c>
      <c r="J547" t="str">
        <f>IF($I547="","",INDEX('Product Master'!$B$7:$B$1000,MATCH($I547,'Product Master'!$A$7:$A$1000,0)))</f>
        <v/>
      </c>
      <c r="K547" t="str">
        <f>IF($I547="","",INDEX('Product Master'!$C$7:$C$1000,MATCH($I547,'Product Master'!$A$7:$A$1000,0)))</f>
        <v/>
      </c>
      <c r="L547" t="str">
        <f>IF($I547="","",INDEX('Product Master'!$M$7:$M$1000,MATCH($I547,'Product Master'!$A$7:$A$1000,0)))</f>
        <v/>
      </c>
      <c r="M547" t="str">
        <f>IF($I547="","",INDEX('Product Master'!$N$7:$N$1000,MATCH($I547,'Product Master'!$A$7:$A$1000,0)))</f>
        <v/>
      </c>
    </row>
    <row r="548" spans="1:13" x14ac:dyDescent="0.3">
      <c r="A548" t="str">
        <f>IFERROR(INDEX('Product Master'!$A$7:$A$1000,_xlfn.AGGREGATE(15,6,(ROW('Product Master'!$A$7:$A$1000)-ROW('Product Master'!$A$7)+1)/(('Product Master'!$A$7:$A$1000&lt;&gt;"")*('Product Master'!$P$7:$P$1000="Low Stock")),ROWS($A$12:A548))),"")</f>
        <v/>
      </c>
      <c r="B548" t="str">
        <f>IF($A548="","",INDEX('Product Master'!$B$7:$B$1000,MATCH($A548,'Product Master'!$A$7:$A$1000,0)))</f>
        <v/>
      </c>
      <c r="C548" t="str">
        <f>IF($A548="","",INDEX('Product Master'!$C$7:$C$1000,MATCH($A548,'Product Master'!$A$7:$A$1000,0)))</f>
        <v/>
      </c>
      <c r="D548" t="str">
        <f>IF($A548="","",INDEX('Product Master'!$M$7:$M$1000,MATCH($A548,'Product Master'!$A$7:$A$1000,0)))</f>
        <v/>
      </c>
      <c r="E548" t="str">
        <f>IF($A548="","",INDEX('Product Master'!$N$7:$N$1000,MATCH($A548,'Product Master'!$A$7:$A$1000,0)))</f>
        <v/>
      </c>
      <c r="F548" t="str">
        <f>IF($A548="","",INDEX('Product Master'!$P$7:$P$1000,MATCH($A548,'Product Master'!$A$7:$A$1000,0)))</f>
        <v/>
      </c>
      <c r="I548" t="str">
        <f>IFERROR(INDEX('Product Master'!$A$7:$A$1000,_xlfn.AGGREGATE(15,6,(ROW('Product Master'!$A$7:$A$1000)-ROW('Product Master'!$A$7)+1)/(('Product Master'!$A$7:$A$1000&lt;&gt;"")*('Product Master'!$P$7:$P$1000="Out of Stock")),ROWS($I$12:I548))),"")</f>
        <v/>
      </c>
      <c r="J548" t="str">
        <f>IF($I548="","",INDEX('Product Master'!$B$7:$B$1000,MATCH($I548,'Product Master'!$A$7:$A$1000,0)))</f>
        <v/>
      </c>
      <c r="K548" t="str">
        <f>IF($I548="","",INDEX('Product Master'!$C$7:$C$1000,MATCH($I548,'Product Master'!$A$7:$A$1000,0)))</f>
        <v/>
      </c>
      <c r="L548" t="str">
        <f>IF($I548="","",INDEX('Product Master'!$M$7:$M$1000,MATCH($I548,'Product Master'!$A$7:$A$1000,0)))</f>
        <v/>
      </c>
      <c r="M548" t="str">
        <f>IF($I548="","",INDEX('Product Master'!$N$7:$N$1000,MATCH($I548,'Product Master'!$A$7:$A$1000,0)))</f>
        <v/>
      </c>
    </row>
    <row r="549" spans="1:13" x14ac:dyDescent="0.3">
      <c r="A549" t="str">
        <f>IFERROR(INDEX('Product Master'!$A$7:$A$1000,_xlfn.AGGREGATE(15,6,(ROW('Product Master'!$A$7:$A$1000)-ROW('Product Master'!$A$7)+1)/(('Product Master'!$A$7:$A$1000&lt;&gt;"")*('Product Master'!$P$7:$P$1000="Low Stock")),ROWS($A$12:A549))),"")</f>
        <v/>
      </c>
      <c r="B549" t="str">
        <f>IF($A549="","",INDEX('Product Master'!$B$7:$B$1000,MATCH($A549,'Product Master'!$A$7:$A$1000,0)))</f>
        <v/>
      </c>
      <c r="C549" t="str">
        <f>IF($A549="","",INDEX('Product Master'!$C$7:$C$1000,MATCH($A549,'Product Master'!$A$7:$A$1000,0)))</f>
        <v/>
      </c>
      <c r="D549" t="str">
        <f>IF($A549="","",INDEX('Product Master'!$M$7:$M$1000,MATCH($A549,'Product Master'!$A$7:$A$1000,0)))</f>
        <v/>
      </c>
      <c r="E549" t="str">
        <f>IF($A549="","",INDEX('Product Master'!$N$7:$N$1000,MATCH($A549,'Product Master'!$A$7:$A$1000,0)))</f>
        <v/>
      </c>
      <c r="F549" t="str">
        <f>IF($A549="","",INDEX('Product Master'!$P$7:$P$1000,MATCH($A549,'Product Master'!$A$7:$A$1000,0)))</f>
        <v/>
      </c>
      <c r="I549" t="str">
        <f>IFERROR(INDEX('Product Master'!$A$7:$A$1000,_xlfn.AGGREGATE(15,6,(ROW('Product Master'!$A$7:$A$1000)-ROW('Product Master'!$A$7)+1)/(('Product Master'!$A$7:$A$1000&lt;&gt;"")*('Product Master'!$P$7:$P$1000="Out of Stock")),ROWS($I$12:I549))),"")</f>
        <v/>
      </c>
      <c r="J549" t="str">
        <f>IF($I549="","",INDEX('Product Master'!$B$7:$B$1000,MATCH($I549,'Product Master'!$A$7:$A$1000,0)))</f>
        <v/>
      </c>
      <c r="K549" t="str">
        <f>IF($I549="","",INDEX('Product Master'!$C$7:$C$1000,MATCH($I549,'Product Master'!$A$7:$A$1000,0)))</f>
        <v/>
      </c>
      <c r="L549" t="str">
        <f>IF($I549="","",INDEX('Product Master'!$M$7:$M$1000,MATCH($I549,'Product Master'!$A$7:$A$1000,0)))</f>
        <v/>
      </c>
      <c r="M549" t="str">
        <f>IF($I549="","",INDEX('Product Master'!$N$7:$N$1000,MATCH($I549,'Product Master'!$A$7:$A$1000,0)))</f>
        <v/>
      </c>
    </row>
    <row r="550" spans="1:13" x14ac:dyDescent="0.3">
      <c r="A550" t="str">
        <f>IFERROR(INDEX('Product Master'!$A$7:$A$1000,_xlfn.AGGREGATE(15,6,(ROW('Product Master'!$A$7:$A$1000)-ROW('Product Master'!$A$7)+1)/(('Product Master'!$A$7:$A$1000&lt;&gt;"")*('Product Master'!$P$7:$P$1000="Low Stock")),ROWS($A$12:A550))),"")</f>
        <v/>
      </c>
      <c r="B550" t="str">
        <f>IF($A550="","",INDEX('Product Master'!$B$7:$B$1000,MATCH($A550,'Product Master'!$A$7:$A$1000,0)))</f>
        <v/>
      </c>
      <c r="C550" t="str">
        <f>IF($A550="","",INDEX('Product Master'!$C$7:$C$1000,MATCH($A550,'Product Master'!$A$7:$A$1000,0)))</f>
        <v/>
      </c>
      <c r="D550" t="str">
        <f>IF($A550="","",INDEX('Product Master'!$M$7:$M$1000,MATCH($A550,'Product Master'!$A$7:$A$1000,0)))</f>
        <v/>
      </c>
      <c r="E550" t="str">
        <f>IF($A550="","",INDEX('Product Master'!$N$7:$N$1000,MATCH($A550,'Product Master'!$A$7:$A$1000,0)))</f>
        <v/>
      </c>
      <c r="F550" t="str">
        <f>IF($A550="","",INDEX('Product Master'!$P$7:$P$1000,MATCH($A550,'Product Master'!$A$7:$A$1000,0)))</f>
        <v/>
      </c>
      <c r="I550" t="str">
        <f>IFERROR(INDEX('Product Master'!$A$7:$A$1000,_xlfn.AGGREGATE(15,6,(ROW('Product Master'!$A$7:$A$1000)-ROW('Product Master'!$A$7)+1)/(('Product Master'!$A$7:$A$1000&lt;&gt;"")*('Product Master'!$P$7:$P$1000="Out of Stock")),ROWS($I$12:I550))),"")</f>
        <v/>
      </c>
      <c r="J550" t="str">
        <f>IF($I550="","",INDEX('Product Master'!$B$7:$B$1000,MATCH($I550,'Product Master'!$A$7:$A$1000,0)))</f>
        <v/>
      </c>
      <c r="K550" t="str">
        <f>IF($I550="","",INDEX('Product Master'!$C$7:$C$1000,MATCH($I550,'Product Master'!$A$7:$A$1000,0)))</f>
        <v/>
      </c>
      <c r="L550" t="str">
        <f>IF($I550="","",INDEX('Product Master'!$M$7:$M$1000,MATCH($I550,'Product Master'!$A$7:$A$1000,0)))</f>
        <v/>
      </c>
      <c r="M550" t="str">
        <f>IF($I550="","",INDEX('Product Master'!$N$7:$N$1000,MATCH($I550,'Product Master'!$A$7:$A$1000,0)))</f>
        <v/>
      </c>
    </row>
    <row r="551" spans="1:13" x14ac:dyDescent="0.3">
      <c r="A551" t="str">
        <f>IFERROR(INDEX('Product Master'!$A$7:$A$1000,_xlfn.AGGREGATE(15,6,(ROW('Product Master'!$A$7:$A$1000)-ROW('Product Master'!$A$7)+1)/(('Product Master'!$A$7:$A$1000&lt;&gt;"")*('Product Master'!$P$7:$P$1000="Low Stock")),ROWS($A$12:A551))),"")</f>
        <v/>
      </c>
      <c r="B551" t="str">
        <f>IF($A551="","",INDEX('Product Master'!$B$7:$B$1000,MATCH($A551,'Product Master'!$A$7:$A$1000,0)))</f>
        <v/>
      </c>
      <c r="C551" t="str">
        <f>IF($A551="","",INDEX('Product Master'!$C$7:$C$1000,MATCH($A551,'Product Master'!$A$7:$A$1000,0)))</f>
        <v/>
      </c>
      <c r="D551" t="str">
        <f>IF($A551="","",INDEX('Product Master'!$M$7:$M$1000,MATCH($A551,'Product Master'!$A$7:$A$1000,0)))</f>
        <v/>
      </c>
      <c r="E551" t="str">
        <f>IF($A551="","",INDEX('Product Master'!$N$7:$N$1000,MATCH($A551,'Product Master'!$A$7:$A$1000,0)))</f>
        <v/>
      </c>
      <c r="F551" t="str">
        <f>IF($A551="","",INDEX('Product Master'!$P$7:$P$1000,MATCH($A551,'Product Master'!$A$7:$A$1000,0)))</f>
        <v/>
      </c>
      <c r="I551" t="str">
        <f>IFERROR(INDEX('Product Master'!$A$7:$A$1000,_xlfn.AGGREGATE(15,6,(ROW('Product Master'!$A$7:$A$1000)-ROW('Product Master'!$A$7)+1)/(('Product Master'!$A$7:$A$1000&lt;&gt;"")*('Product Master'!$P$7:$P$1000="Out of Stock")),ROWS($I$12:I551))),"")</f>
        <v/>
      </c>
      <c r="J551" t="str">
        <f>IF($I551="","",INDEX('Product Master'!$B$7:$B$1000,MATCH($I551,'Product Master'!$A$7:$A$1000,0)))</f>
        <v/>
      </c>
      <c r="K551" t="str">
        <f>IF($I551="","",INDEX('Product Master'!$C$7:$C$1000,MATCH($I551,'Product Master'!$A$7:$A$1000,0)))</f>
        <v/>
      </c>
      <c r="L551" t="str">
        <f>IF($I551="","",INDEX('Product Master'!$M$7:$M$1000,MATCH($I551,'Product Master'!$A$7:$A$1000,0)))</f>
        <v/>
      </c>
      <c r="M551" t="str">
        <f>IF($I551="","",INDEX('Product Master'!$N$7:$N$1000,MATCH($I551,'Product Master'!$A$7:$A$1000,0)))</f>
        <v/>
      </c>
    </row>
    <row r="552" spans="1:13" x14ac:dyDescent="0.3">
      <c r="A552" t="str">
        <f>IFERROR(INDEX('Product Master'!$A$7:$A$1000,_xlfn.AGGREGATE(15,6,(ROW('Product Master'!$A$7:$A$1000)-ROW('Product Master'!$A$7)+1)/(('Product Master'!$A$7:$A$1000&lt;&gt;"")*('Product Master'!$P$7:$P$1000="Low Stock")),ROWS($A$12:A552))),"")</f>
        <v/>
      </c>
      <c r="B552" t="str">
        <f>IF($A552="","",INDEX('Product Master'!$B$7:$B$1000,MATCH($A552,'Product Master'!$A$7:$A$1000,0)))</f>
        <v/>
      </c>
      <c r="C552" t="str">
        <f>IF($A552="","",INDEX('Product Master'!$C$7:$C$1000,MATCH($A552,'Product Master'!$A$7:$A$1000,0)))</f>
        <v/>
      </c>
      <c r="D552" t="str">
        <f>IF($A552="","",INDEX('Product Master'!$M$7:$M$1000,MATCH($A552,'Product Master'!$A$7:$A$1000,0)))</f>
        <v/>
      </c>
      <c r="E552" t="str">
        <f>IF($A552="","",INDEX('Product Master'!$N$7:$N$1000,MATCH($A552,'Product Master'!$A$7:$A$1000,0)))</f>
        <v/>
      </c>
      <c r="F552" t="str">
        <f>IF($A552="","",INDEX('Product Master'!$P$7:$P$1000,MATCH($A552,'Product Master'!$A$7:$A$1000,0)))</f>
        <v/>
      </c>
      <c r="I552" t="str">
        <f>IFERROR(INDEX('Product Master'!$A$7:$A$1000,_xlfn.AGGREGATE(15,6,(ROW('Product Master'!$A$7:$A$1000)-ROW('Product Master'!$A$7)+1)/(('Product Master'!$A$7:$A$1000&lt;&gt;"")*('Product Master'!$P$7:$P$1000="Out of Stock")),ROWS($I$12:I552))),"")</f>
        <v/>
      </c>
      <c r="J552" t="str">
        <f>IF($I552="","",INDEX('Product Master'!$B$7:$B$1000,MATCH($I552,'Product Master'!$A$7:$A$1000,0)))</f>
        <v/>
      </c>
      <c r="K552" t="str">
        <f>IF($I552="","",INDEX('Product Master'!$C$7:$C$1000,MATCH($I552,'Product Master'!$A$7:$A$1000,0)))</f>
        <v/>
      </c>
      <c r="L552" t="str">
        <f>IF($I552="","",INDEX('Product Master'!$M$7:$M$1000,MATCH($I552,'Product Master'!$A$7:$A$1000,0)))</f>
        <v/>
      </c>
      <c r="M552" t="str">
        <f>IF($I552="","",INDEX('Product Master'!$N$7:$N$1000,MATCH($I552,'Product Master'!$A$7:$A$1000,0)))</f>
        <v/>
      </c>
    </row>
    <row r="553" spans="1:13" x14ac:dyDescent="0.3">
      <c r="A553" t="str">
        <f>IFERROR(INDEX('Product Master'!$A$7:$A$1000,_xlfn.AGGREGATE(15,6,(ROW('Product Master'!$A$7:$A$1000)-ROW('Product Master'!$A$7)+1)/(('Product Master'!$A$7:$A$1000&lt;&gt;"")*('Product Master'!$P$7:$P$1000="Low Stock")),ROWS($A$12:A553))),"")</f>
        <v/>
      </c>
      <c r="B553" t="str">
        <f>IF($A553="","",INDEX('Product Master'!$B$7:$B$1000,MATCH($A553,'Product Master'!$A$7:$A$1000,0)))</f>
        <v/>
      </c>
      <c r="C553" t="str">
        <f>IF($A553="","",INDEX('Product Master'!$C$7:$C$1000,MATCH($A553,'Product Master'!$A$7:$A$1000,0)))</f>
        <v/>
      </c>
      <c r="D553" t="str">
        <f>IF($A553="","",INDEX('Product Master'!$M$7:$M$1000,MATCH($A553,'Product Master'!$A$7:$A$1000,0)))</f>
        <v/>
      </c>
      <c r="E553" t="str">
        <f>IF($A553="","",INDEX('Product Master'!$N$7:$N$1000,MATCH($A553,'Product Master'!$A$7:$A$1000,0)))</f>
        <v/>
      </c>
      <c r="F553" t="str">
        <f>IF($A553="","",INDEX('Product Master'!$P$7:$P$1000,MATCH($A553,'Product Master'!$A$7:$A$1000,0)))</f>
        <v/>
      </c>
      <c r="I553" t="str">
        <f>IFERROR(INDEX('Product Master'!$A$7:$A$1000,_xlfn.AGGREGATE(15,6,(ROW('Product Master'!$A$7:$A$1000)-ROW('Product Master'!$A$7)+1)/(('Product Master'!$A$7:$A$1000&lt;&gt;"")*('Product Master'!$P$7:$P$1000="Out of Stock")),ROWS($I$12:I553))),"")</f>
        <v/>
      </c>
      <c r="J553" t="str">
        <f>IF($I553="","",INDEX('Product Master'!$B$7:$B$1000,MATCH($I553,'Product Master'!$A$7:$A$1000,0)))</f>
        <v/>
      </c>
      <c r="K553" t="str">
        <f>IF($I553="","",INDEX('Product Master'!$C$7:$C$1000,MATCH($I553,'Product Master'!$A$7:$A$1000,0)))</f>
        <v/>
      </c>
      <c r="L553" t="str">
        <f>IF($I553="","",INDEX('Product Master'!$M$7:$M$1000,MATCH($I553,'Product Master'!$A$7:$A$1000,0)))</f>
        <v/>
      </c>
      <c r="M553" t="str">
        <f>IF($I553="","",INDEX('Product Master'!$N$7:$N$1000,MATCH($I553,'Product Master'!$A$7:$A$1000,0)))</f>
        <v/>
      </c>
    </row>
    <row r="554" spans="1:13" x14ac:dyDescent="0.3">
      <c r="A554" t="str">
        <f>IFERROR(INDEX('Product Master'!$A$7:$A$1000,_xlfn.AGGREGATE(15,6,(ROW('Product Master'!$A$7:$A$1000)-ROW('Product Master'!$A$7)+1)/(('Product Master'!$A$7:$A$1000&lt;&gt;"")*('Product Master'!$P$7:$P$1000="Low Stock")),ROWS($A$12:A554))),"")</f>
        <v/>
      </c>
      <c r="B554" t="str">
        <f>IF($A554="","",INDEX('Product Master'!$B$7:$B$1000,MATCH($A554,'Product Master'!$A$7:$A$1000,0)))</f>
        <v/>
      </c>
      <c r="C554" t="str">
        <f>IF($A554="","",INDEX('Product Master'!$C$7:$C$1000,MATCH($A554,'Product Master'!$A$7:$A$1000,0)))</f>
        <v/>
      </c>
      <c r="D554" t="str">
        <f>IF($A554="","",INDEX('Product Master'!$M$7:$M$1000,MATCH($A554,'Product Master'!$A$7:$A$1000,0)))</f>
        <v/>
      </c>
      <c r="E554" t="str">
        <f>IF($A554="","",INDEX('Product Master'!$N$7:$N$1000,MATCH($A554,'Product Master'!$A$7:$A$1000,0)))</f>
        <v/>
      </c>
      <c r="F554" t="str">
        <f>IF($A554="","",INDEX('Product Master'!$P$7:$P$1000,MATCH($A554,'Product Master'!$A$7:$A$1000,0)))</f>
        <v/>
      </c>
      <c r="I554" t="str">
        <f>IFERROR(INDEX('Product Master'!$A$7:$A$1000,_xlfn.AGGREGATE(15,6,(ROW('Product Master'!$A$7:$A$1000)-ROW('Product Master'!$A$7)+1)/(('Product Master'!$A$7:$A$1000&lt;&gt;"")*('Product Master'!$P$7:$P$1000="Out of Stock")),ROWS($I$12:I554))),"")</f>
        <v/>
      </c>
      <c r="J554" t="str">
        <f>IF($I554="","",INDEX('Product Master'!$B$7:$B$1000,MATCH($I554,'Product Master'!$A$7:$A$1000,0)))</f>
        <v/>
      </c>
      <c r="K554" t="str">
        <f>IF($I554="","",INDEX('Product Master'!$C$7:$C$1000,MATCH($I554,'Product Master'!$A$7:$A$1000,0)))</f>
        <v/>
      </c>
      <c r="L554" t="str">
        <f>IF($I554="","",INDEX('Product Master'!$M$7:$M$1000,MATCH($I554,'Product Master'!$A$7:$A$1000,0)))</f>
        <v/>
      </c>
      <c r="M554" t="str">
        <f>IF($I554="","",INDEX('Product Master'!$N$7:$N$1000,MATCH($I554,'Product Master'!$A$7:$A$1000,0)))</f>
        <v/>
      </c>
    </row>
    <row r="555" spans="1:13" x14ac:dyDescent="0.3">
      <c r="A555" t="str">
        <f>IFERROR(INDEX('Product Master'!$A$7:$A$1000,_xlfn.AGGREGATE(15,6,(ROW('Product Master'!$A$7:$A$1000)-ROW('Product Master'!$A$7)+1)/(('Product Master'!$A$7:$A$1000&lt;&gt;"")*('Product Master'!$P$7:$P$1000="Low Stock")),ROWS($A$12:A555))),"")</f>
        <v/>
      </c>
      <c r="B555" t="str">
        <f>IF($A555="","",INDEX('Product Master'!$B$7:$B$1000,MATCH($A555,'Product Master'!$A$7:$A$1000,0)))</f>
        <v/>
      </c>
      <c r="C555" t="str">
        <f>IF($A555="","",INDEX('Product Master'!$C$7:$C$1000,MATCH($A555,'Product Master'!$A$7:$A$1000,0)))</f>
        <v/>
      </c>
      <c r="D555" t="str">
        <f>IF($A555="","",INDEX('Product Master'!$M$7:$M$1000,MATCH($A555,'Product Master'!$A$7:$A$1000,0)))</f>
        <v/>
      </c>
      <c r="E555" t="str">
        <f>IF($A555="","",INDEX('Product Master'!$N$7:$N$1000,MATCH($A555,'Product Master'!$A$7:$A$1000,0)))</f>
        <v/>
      </c>
      <c r="F555" t="str">
        <f>IF($A555="","",INDEX('Product Master'!$P$7:$P$1000,MATCH($A555,'Product Master'!$A$7:$A$1000,0)))</f>
        <v/>
      </c>
      <c r="I555" t="str">
        <f>IFERROR(INDEX('Product Master'!$A$7:$A$1000,_xlfn.AGGREGATE(15,6,(ROW('Product Master'!$A$7:$A$1000)-ROW('Product Master'!$A$7)+1)/(('Product Master'!$A$7:$A$1000&lt;&gt;"")*('Product Master'!$P$7:$P$1000="Out of Stock")),ROWS($I$12:I555))),"")</f>
        <v/>
      </c>
      <c r="J555" t="str">
        <f>IF($I555="","",INDEX('Product Master'!$B$7:$B$1000,MATCH($I555,'Product Master'!$A$7:$A$1000,0)))</f>
        <v/>
      </c>
      <c r="K555" t="str">
        <f>IF($I555="","",INDEX('Product Master'!$C$7:$C$1000,MATCH($I555,'Product Master'!$A$7:$A$1000,0)))</f>
        <v/>
      </c>
      <c r="L555" t="str">
        <f>IF($I555="","",INDEX('Product Master'!$M$7:$M$1000,MATCH($I555,'Product Master'!$A$7:$A$1000,0)))</f>
        <v/>
      </c>
      <c r="M555" t="str">
        <f>IF($I555="","",INDEX('Product Master'!$N$7:$N$1000,MATCH($I555,'Product Master'!$A$7:$A$1000,0)))</f>
        <v/>
      </c>
    </row>
    <row r="556" spans="1:13" x14ac:dyDescent="0.3">
      <c r="A556" t="str">
        <f>IFERROR(INDEX('Product Master'!$A$7:$A$1000,_xlfn.AGGREGATE(15,6,(ROW('Product Master'!$A$7:$A$1000)-ROW('Product Master'!$A$7)+1)/(('Product Master'!$A$7:$A$1000&lt;&gt;"")*('Product Master'!$P$7:$P$1000="Low Stock")),ROWS($A$12:A556))),"")</f>
        <v/>
      </c>
      <c r="B556" t="str">
        <f>IF($A556="","",INDEX('Product Master'!$B$7:$B$1000,MATCH($A556,'Product Master'!$A$7:$A$1000,0)))</f>
        <v/>
      </c>
      <c r="C556" t="str">
        <f>IF($A556="","",INDEX('Product Master'!$C$7:$C$1000,MATCH($A556,'Product Master'!$A$7:$A$1000,0)))</f>
        <v/>
      </c>
      <c r="D556" t="str">
        <f>IF($A556="","",INDEX('Product Master'!$M$7:$M$1000,MATCH($A556,'Product Master'!$A$7:$A$1000,0)))</f>
        <v/>
      </c>
      <c r="E556" t="str">
        <f>IF($A556="","",INDEX('Product Master'!$N$7:$N$1000,MATCH($A556,'Product Master'!$A$7:$A$1000,0)))</f>
        <v/>
      </c>
      <c r="F556" t="str">
        <f>IF($A556="","",INDEX('Product Master'!$P$7:$P$1000,MATCH($A556,'Product Master'!$A$7:$A$1000,0)))</f>
        <v/>
      </c>
      <c r="I556" t="str">
        <f>IFERROR(INDEX('Product Master'!$A$7:$A$1000,_xlfn.AGGREGATE(15,6,(ROW('Product Master'!$A$7:$A$1000)-ROW('Product Master'!$A$7)+1)/(('Product Master'!$A$7:$A$1000&lt;&gt;"")*('Product Master'!$P$7:$P$1000="Out of Stock")),ROWS($I$12:I556))),"")</f>
        <v/>
      </c>
      <c r="J556" t="str">
        <f>IF($I556="","",INDEX('Product Master'!$B$7:$B$1000,MATCH($I556,'Product Master'!$A$7:$A$1000,0)))</f>
        <v/>
      </c>
      <c r="K556" t="str">
        <f>IF($I556="","",INDEX('Product Master'!$C$7:$C$1000,MATCH($I556,'Product Master'!$A$7:$A$1000,0)))</f>
        <v/>
      </c>
      <c r="L556" t="str">
        <f>IF($I556="","",INDEX('Product Master'!$M$7:$M$1000,MATCH($I556,'Product Master'!$A$7:$A$1000,0)))</f>
        <v/>
      </c>
      <c r="M556" t="str">
        <f>IF($I556="","",INDEX('Product Master'!$N$7:$N$1000,MATCH($I556,'Product Master'!$A$7:$A$1000,0)))</f>
        <v/>
      </c>
    </row>
    <row r="557" spans="1:13" x14ac:dyDescent="0.3">
      <c r="A557" t="str">
        <f>IFERROR(INDEX('Product Master'!$A$7:$A$1000,_xlfn.AGGREGATE(15,6,(ROW('Product Master'!$A$7:$A$1000)-ROW('Product Master'!$A$7)+1)/(('Product Master'!$A$7:$A$1000&lt;&gt;"")*('Product Master'!$P$7:$P$1000="Low Stock")),ROWS($A$12:A557))),"")</f>
        <v/>
      </c>
      <c r="B557" t="str">
        <f>IF($A557="","",INDEX('Product Master'!$B$7:$B$1000,MATCH($A557,'Product Master'!$A$7:$A$1000,0)))</f>
        <v/>
      </c>
      <c r="C557" t="str">
        <f>IF($A557="","",INDEX('Product Master'!$C$7:$C$1000,MATCH($A557,'Product Master'!$A$7:$A$1000,0)))</f>
        <v/>
      </c>
      <c r="D557" t="str">
        <f>IF($A557="","",INDEX('Product Master'!$M$7:$M$1000,MATCH($A557,'Product Master'!$A$7:$A$1000,0)))</f>
        <v/>
      </c>
      <c r="E557" t="str">
        <f>IF($A557="","",INDEX('Product Master'!$N$7:$N$1000,MATCH($A557,'Product Master'!$A$7:$A$1000,0)))</f>
        <v/>
      </c>
      <c r="F557" t="str">
        <f>IF($A557="","",INDEX('Product Master'!$P$7:$P$1000,MATCH($A557,'Product Master'!$A$7:$A$1000,0)))</f>
        <v/>
      </c>
      <c r="I557" t="str">
        <f>IFERROR(INDEX('Product Master'!$A$7:$A$1000,_xlfn.AGGREGATE(15,6,(ROW('Product Master'!$A$7:$A$1000)-ROW('Product Master'!$A$7)+1)/(('Product Master'!$A$7:$A$1000&lt;&gt;"")*('Product Master'!$P$7:$P$1000="Out of Stock")),ROWS($I$12:I557))),"")</f>
        <v/>
      </c>
      <c r="J557" t="str">
        <f>IF($I557="","",INDEX('Product Master'!$B$7:$B$1000,MATCH($I557,'Product Master'!$A$7:$A$1000,0)))</f>
        <v/>
      </c>
      <c r="K557" t="str">
        <f>IF($I557="","",INDEX('Product Master'!$C$7:$C$1000,MATCH($I557,'Product Master'!$A$7:$A$1000,0)))</f>
        <v/>
      </c>
      <c r="L557" t="str">
        <f>IF($I557="","",INDEX('Product Master'!$M$7:$M$1000,MATCH($I557,'Product Master'!$A$7:$A$1000,0)))</f>
        <v/>
      </c>
      <c r="M557" t="str">
        <f>IF($I557="","",INDEX('Product Master'!$N$7:$N$1000,MATCH($I557,'Product Master'!$A$7:$A$1000,0)))</f>
        <v/>
      </c>
    </row>
    <row r="558" spans="1:13" x14ac:dyDescent="0.3">
      <c r="A558" t="str">
        <f>IFERROR(INDEX('Product Master'!$A$7:$A$1000,_xlfn.AGGREGATE(15,6,(ROW('Product Master'!$A$7:$A$1000)-ROW('Product Master'!$A$7)+1)/(('Product Master'!$A$7:$A$1000&lt;&gt;"")*('Product Master'!$P$7:$P$1000="Low Stock")),ROWS($A$12:A558))),"")</f>
        <v/>
      </c>
      <c r="B558" t="str">
        <f>IF($A558="","",INDEX('Product Master'!$B$7:$B$1000,MATCH($A558,'Product Master'!$A$7:$A$1000,0)))</f>
        <v/>
      </c>
      <c r="C558" t="str">
        <f>IF($A558="","",INDEX('Product Master'!$C$7:$C$1000,MATCH($A558,'Product Master'!$A$7:$A$1000,0)))</f>
        <v/>
      </c>
      <c r="D558" t="str">
        <f>IF($A558="","",INDEX('Product Master'!$M$7:$M$1000,MATCH($A558,'Product Master'!$A$7:$A$1000,0)))</f>
        <v/>
      </c>
      <c r="E558" t="str">
        <f>IF($A558="","",INDEX('Product Master'!$N$7:$N$1000,MATCH($A558,'Product Master'!$A$7:$A$1000,0)))</f>
        <v/>
      </c>
      <c r="F558" t="str">
        <f>IF($A558="","",INDEX('Product Master'!$P$7:$P$1000,MATCH($A558,'Product Master'!$A$7:$A$1000,0)))</f>
        <v/>
      </c>
      <c r="I558" t="str">
        <f>IFERROR(INDEX('Product Master'!$A$7:$A$1000,_xlfn.AGGREGATE(15,6,(ROW('Product Master'!$A$7:$A$1000)-ROW('Product Master'!$A$7)+1)/(('Product Master'!$A$7:$A$1000&lt;&gt;"")*('Product Master'!$P$7:$P$1000="Out of Stock")),ROWS($I$12:I558))),"")</f>
        <v/>
      </c>
      <c r="J558" t="str">
        <f>IF($I558="","",INDEX('Product Master'!$B$7:$B$1000,MATCH($I558,'Product Master'!$A$7:$A$1000,0)))</f>
        <v/>
      </c>
      <c r="K558" t="str">
        <f>IF($I558="","",INDEX('Product Master'!$C$7:$C$1000,MATCH($I558,'Product Master'!$A$7:$A$1000,0)))</f>
        <v/>
      </c>
      <c r="L558" t="str">
        <f>IF($I558="","",INDEX('Product Master'!$M$7:$M$1000,MATCH($I558,'Product Master'!$A$7:$A$1000,0)))</f>
        <v/>
      </c>
      <c r="M558" t="str">
        <f>IF($I558="","",INDEX('Product Master'!$N$7:$N$1000,MATCH($I558,'Product Master'!$A$7:$A$1000,0)))</f>
        <v/>
      </c>
    </row>
    <row r="559" spans="1:13" x14ac:dyDescent="0.3">
      <c r="A559" t="str">
        <f>IFERROR(INDEX('Product Master'!$A$7:$A$1000,_xlfn.AGGREGATE(15,6,(ROW('Product Master'!$A$7:$A$1000)-ROW('Product Master'!$A$7)+1)/(('Product Master'!$A$7:$A$1000&lt;&gt;"")*('Product Master'!$P$7:$P$1000="Low Stock")),ROWS($A$12:A559))),"")</f>
        <v/>
      </c>
      <c r="B559" t="str">
        <f>IF($A559="","",INDEX('Product Master'!$B$7:$B$1000,MATCH($A559,'Product Master'!$A$7:$A$1000,0)))</f>
        <v/>
      </c>
      <c r="C559" t="str">
        <f>IF($A559="","",INDEX('Product Master'!$C$7:$C$1000,MATCH($A559,'Product Master'!$A$7:$A$1000,0)))</f>
        <v/>
      </c>
      <c r="D559" t="str">
        <f>IF($A559="","",INDEX('Product Master'!$M$7:$M$1000,MATCH($A559,'Product Master'!$A$7:$A$1000,0)))</f>
        <v/>
      </c>
      <c r="E559" t="str">
        <f>IF($A559="","",INDEX('Product Master'!$N$7:$N$1000,MATCH($A559,'Product Master'!$A$7:$A$1000,0)))</f>
        <v/>
      </c>
      <c r="F559" t="str">
        <f>IF($A559="","",INDEX('Product Master'!$P$7:$P$1000,MATCH($A559,'Product Master'!$A$7:$A$1000,0)))</f>
        <v/>
      </c>
      <c r="I559" t="str">
        <f>IFERROR(INDEX('Product Master'!$A$7:$A$1000,_xlfn.AGGREGATE(15,6,(ROW('Product Master'!$A$7:$A$1000)-ROW('Product Master'!$A$7)+1)/(('Product Master'!$A$7:$A$1000&lt;&gt;"")*('Product Master'!$P$7:$P$1000="Out of Stock")),ROWS($I$12:I559))),"")</f>
        <v/>
      </c>
      <c r="J559" t="str">
        <f>IF($I559="","",INDEX('Product Master'!$B$7:$B$1000,MATCH($I559,'Product Master'!$A$7:$A$1000,0)))</f>
        <v/>
      </c>
      <c r="K559" t="str">
        <f>IF($I559="","",INDEX('Product Master'!$C$7:$C$1000,MATCH($I559,'Product Master'!$A$7:$A$1000,0)))</f>
        <v/>
      </c>
      <c r="L559" t="str">
        <f>IF($I559="","",INDEX('Product Master'!$M$7:$M$1000,MATCH($I559,'Product Master'!$A$7:$A$1000,0)))</f>
        <v/>
      </c>
      <c r="M559" t="str">
        <f>IF($I559="","",INDEX('Product Master'!$N$7:$N$1000,MATCH($I559,'Product Master'!$A$7:$A$1000,0)))</f>
        <v/>
      </c>
    </row>
    <row r="560" spans="1:13" x14ac:dyDescent="0.3">
      <c r="A560" t="str">
        <f>IFERROR(INDEX('Product Master'!$A$7:$A$1000,_xlfn.AGGREGATE(15,6,(ROW('Product Master'!$A$7:$A$1000)-ROW('Product Master'!$A$7)+1)/(('Product Master'!$A$7:$A$1000&lt;&gt;"")*('Product Master'!$P$7:$P$1000="Low Stock")),ROWS($A$12:A560))),"")</f>
        <v/>
      </c>
      <c r="B560" t="str">
        <f>IF($A560="","",INDEX('Product Master'!$B$7:$B$1000,MATCH($A560,'Product Master'!$A$7:$A$1000,0)))</f>
        <v/>
      </c>
      <c r="C560" t="str">
        <f>IF($A560="","",INDEX('Product Master'!$C$7:$C$1000,MATCH($A560,'Product Master'!$A$7:$A$1000,0)))</f>
        <v/>
      </c>
      <c r="D560" t="str">
        <f>IF($A560="","",INDEX('Product Master'!$M$7:$M$1000,MATCH($A560,'Product Master'!$A$7:$A$1000,0)))</f>
        <v/>
      </c>
      <c r="E560" t="str">
        <f>IF($A560="","",INDEX('Product Master'!$N$7:$N$1000,MATCH($A560,'Product Master'!$A$7:$A$1000,0)))</f>
        <v/>
      </c>
      <c r="F560" t="str">
        <f>IF($A560="","",INDEX('Product Master'!$P$7:$P$1000,MATCH($A560,'Product Master'!$A$7:$A$1000,0)))</f>
        <v/>
      </c>
      <c r="I560" t="str">
        <f>IFERROR(INDEX('Product Master'!$A$7:$A$1000,_xlfn.AGGREGATE(15,6,(ROW('Product Master'!$A$7:$A$1000)-ROW('Product Master'!$A$7)+1)/(('Product Master'!$A$7:$A$1000&lt;&gt;"")*('Product Master'!$P$7:$P$1000="Out of Stock")),ROWS($I$12:I560))),"")</f>
        <v/>
      </c>
      <c r="J560" t="str">
        <f>IF($I560="","",INDEX('Product Master'!$B$7:$B$1000,MATCH($I560,'Product Master'!$A$7:$A$1000,0)))</f>
        <v/>
      </c>
      <c r="K560" t="str">
        <f>IF($I560="","",INDEX('Product Master'!$C$7:$C$1000,MATCH($I560,'Product Master'!$A$7:$A$1000,0)))</f>
        <v/>
      </c>
      <c r="L560" t="str">
        <f>IF($I560="","",INDEX('Product Master'!$M$7:$M$1000,MATCH($I560,'Product Master'!$A$7:$A$1000,0)))</f>
        <v/>
      </c>
      <c r="M560" t="str">
        <f>IF($I560="","",INDEX('Product Master'!$N$7:$N$1000,MATCH($I560,'Product Master'!$A$7:$A$1000,0)))</f>
        <v/>
      </c>
    </row>
    <row r="561" spans="1:13" x14ac:dyDescent="0.3">
      <c r="A561" t="str">
        <f>IFERROR(INDEX('Product Master'!$A$7:$A$1000,_xlfn.AGGREGATE(15,6,(ROW('Product Master'!$A$7:$A$1000)-ROW('Product Master'!$A$7)+1)/(('Product Master'!$A$7:$A$1000&lt;&gt;"")*('Product Master'!$P$7:$P$1000="Low Stock")),ROWS($A$12:A561))),"")</f>
        <v/>
      </c>
      <c r="B561" t="str">
        <f>IF($A561="","",INDEX('Product Master'!$B$7:$B$1000,MATCH($A561,'Product Master'!$A$7:$A$1000,0)))</f>
        <v/>
      </c>
      <c r="C561" t="str">
        <f>IF($A561="","",INDEX('Product Master'!$C$7:$C$1000,MATCH($A561,'Product Master'!$A$7:$A$1000,0)))</f>
        <v/>
      </c>
      <c r="D561" t="str">
        <f>IF($A561="","",INDEX('Product Master'!$M$7:$M$1000,MATCH($A561,'Product Master'!$A$7:$A$1000,0)))</f>
        <v/>
      </c>
      <c r="E561" t="str">
        <f>IF($A561="","",INDEX('Product Master'!$N$7:$N$1000,MATCH($A561,'Product Master'!$A$7:$A$1000,0)))</f>
        <v/>
      </c>
      <c r="F561" t="str">
        <f>IF($A561="","",INDEX('Product Master'!$P$7:$P$1000,MATCH($A561,'Product Master'!$A$7:$A$1000,0)))</f>
        <v/>
      </c>
      <c r="I561" t="str">
        <f>IFERROR(INDEX('Product Master'!$A$7:$A$1000,_xlfn.AGGREGATE(15,6,(ROW('Product Master'!$A$7:$A$1000)-ROW('Product Master'!$A$7)+1)/(('Product Master'!$A$7:$A$1000&lt;&gt;"")*('Product Master'!$P$7:$P$1000="Out of Stock")),ROWS($I$12:I561))),"")</f>
        <v/>
      </c>
      <c r="J561" t="str">
        <f>IF($I561="","",INDEX('Product Master'!$B$7:$B$1000,MATCH($I561,'Product Master'!$A$7:$A$1000,0)))</f>
        <v/>
      </c>
      <c r="K561" t="str">
        <f>IF($I561="","",INDEX('Product Master'!$C$7:$C$1000,MATCH($I561,'Product Master'!$A$7:$A$1000,0)))</f>
        <v/>
      </c>
      <c r="L561" t="str">
        <f>IF($I561="","",INDEX('Product Master'!$M$7:$M$1000,MATCH($I561,'Product Master'!$A$7:$A$1000,0)))</f>
        <v/>
      </c>
      <c r="M561" t="str">
        <f>IF($I561="","",INDEX('Product Master'!$N$7:$N$1000,MATCH($I561,'Product Master'!$A$7:$A$1000,0)))</f>
        <v/>
      </c>
    </row>
    <row r="562" spans="1:13" x14ac:dyDescent="0.3">
      <c r="A562" t="str">
        <f>IFERROR(INDEX('Product Master'!$A$7:$A$1000,_xlfn.AGGREGATE(15,6,(ROW('Product Master'!$A$7:$A$1000)-ROW('Product Master'!$A$7)+1)/(('Product Master'!$A$7:$A$1000&lt;&gt;"")*('Product Master'!$P$7:$P$1000="Low Stock")),ROWS($A$12:A562))),"")</f>
        <v/>
      </c>
      <c r="B562" t="str">
        <f>IF($A562="","",INDEX('Product Master'!$B$7:$B$1000,MATCH($A562,'Product Master'!$A$7:$A$1000,0)))</f>
        <v/>
      </c>
      <c r="C562" t="str">
        <f>IF($A562="","",INDEX('Product Master'!$C$7:$C$1000,MATCH($A562,'Product Master'!$A$7:$A$1000,0)))</f>
        <v/>
      </c>
      <c r="D562" t="str">
        <f>IF($A562="","",INDEX('Product Master'!$M$7:$M$1000,MATCH($A562,'Product Master'!$A$7:$A$1000,0)))</f>
        <v/>
      </c>
      <c r="E562" t="str">
        <f>IF($A562="","",INDEX('Product Master'!$N$7:$N$1000,MATCH($A562,'Product Master'!$A$7:$A$1000,0)))</f>
        <v/>
      </c>
      <c r="F562" t="str">
        <f>IF($A562="","",INDEX('Product Master'!$P$7:$P$1000,MATCH($A562,'Product Master'!$A$7:$A$1000,0)))</f>
        <v/>
      </c>
      <c r="I562" t="str">
        <f>IFERROR(INDEX('Product Master'!$A$7:$A$1000,_xlfn.AGGREGATE(15,6,(ROW('Product Master'!$A$7:$A$1000)-ROW('Product Master'!$A$7)+1)/(('Product Master'!$A$7:$A$1000&lt;&gt;"")*('Product Master'!$P$7:$P$1000="Out of Stock")),ROWS($I$12:I562))),"")</f>
        <v/>
      </c>
      <c r="J562" t="str">
        <f>IF($I562="","",INDEX('Product Master'!$B$7:$B$1000,MATCH($I562,'Product Master'!$A$7:$A$1000,0)))</f>
        <v/>
      </c>
      <c r="K562" t="str">
        <f>IF($I562="","",INDEX('Product Master'!$C$7:$C$1000,MATCH($I562,'Product Master'!$A$7:$A$1000,0)))</f>
        <v/>
      </c>
      <c r="L562" t="str">
        <f>IF($I562="","",INDEX('Product Master'!$M$7:$M$1000,MATCH($I562,'Product Master'!$A$7:$A$1000,0)))</f>
        <v/>
      </c>
      <c r="M562" t="str">
        <f>IF($I562="","",INDEX('Product Master'!$N$7:$N$1000,MATCH($I562,'Product Master'!$A$7:$A$1000,0)))</f>
        <v/>
      </c>
    </row>
    <row r="563" spans="1:13" x14ac:dyDescent="0.3">
      <c r="A563" t="str">
        <f>IFERROR(INDEX('Product Master'!$A$7:$A$1000,_xlfn.AGGREGATE(15,6,(ROW('Product Master'!$A$7:$A$1000)-ROW('Product Master'!$A$7)+1)/(('Product Master'!$A$7:$A$1000&lt;&gt;"")*('Product Master'!$P$7:$P$1000="Low Stock")),ROWS($A$12:A563))),"")</f>
        <v/>
      </c>
      <c r="B563" t="str">
        <f>IF($A563="","",INDEX('Product Master'!$B$7:$B$1000,MATCH($A563,'Product Master'!$A$7:$A$1000,0)))</f>
        <v/>
      </c>
      <c r="C563" t="str">
        <f>IF($A563="","",INDEX('Product Master'!$C$7:$C$1000,MATCH($A563,'Product Master'!$A$7:$A$1000,0)))</f>
        <v/>
      </c>
      <c r="D563" t="str">
        <f>IF($A563="","",INDEX('Product Master'!$M$7:$M$1000,MATCH($A563,'Product Master'!$A$7:$A$1000,0)))</f>
        <v/>
      </c>
      <c r="E563" t="str">
        <f>IF($A563="","",INDEX('Product Master'!$N$7:$N$1000,MATCH($A563,'Product Master'!$A$7:$A$1000,0)))</f>
        <v/>
      </c>
      <c r="F563" t="str">
        <f>IF($A563="","",INDEX('Product Master'!$P$7:$P$1000,MATCH($A563,'Product Master'!$A$7:$A$1000,0)))</f>
        <v/>
      </c>
      <c r="I563" t="str">
        <f>IFERROR(INDEX('Product Master'!$A$7:$A$1000,_xlfn.AGGREGATE(15,6,(ROW('Product Master'!$A$7:$A$1000)-ROW('Product Master'!$A$7)+1)/(('Product Master'!$A$7:$A$1000&lt;&gt;"")*('Product Master'!$P$7:$P$1000="Out of Stock")),ROWS($I$12:I563))),"")</f>
        <v/>
      </c>
      <c r="J563" t="str">
        <f>IF($I563="","",INDEX('Product Master'!$B$7:$B$1000,MATCH($I563,'Product Master'!$A$7:$A$1000,0)))</f>
        <v/>
      </c>
      <c r="K563" t="str">
        <f>IF($I563="","",INDEX('Product Master'!$C$7:$C$1000,MATCH($I563,'Product Master'!$A$7:$A$1000,0)))</f>
        <v/>
      </c>
      <c r="L563" t="str">
        <f>IF($I563="","",INDEX('Product Master'!$M$7:$M$1000,MATCH($I563,'Product Master'!$A$7:$A$1000,0)))</f>
        <v/>
      </c>
      <c r="M563" t="str">
        <f>IF($I563="","",INDEX('Product Master'!$N$7:$N$1000,MATCH($I563,'Product Master'!$A$7:$A$1000,0)))</f>
        <v/>
      </c>
    </row>
    <row r="564" spans="1:13" x14ac:dyDescent="0.3">
      <c r="A564" t="str">
        <f>IFERROR(INDEX('Product Master'!$A$7:$A$1000,_xlfn.AGGREGATE(15,6,(ROW('Product Master'!$A$7:$A$1000)-ROW('Product Master'!$A$7)+1)/(('Product Master'!$A$7:$A$1000&lt;&gt;"")*('Product Master'!$P$7:$P$1000="Low Stock")),ROWS($A$12:A564))),"")</f>
        <v/>
      </c>
      <c r="B564" t="str">
        <f>IF($A564="","",INDEX('Product Master'!$B$7:$B$1000,MATCH($A564,'Product Master'!$A$7:$A$1000,0)))</f>
        <v/>
      </c>
      <c r="C564" t="str">
        <f>IF($A564="","",INDEX('Product Master'!$C$7:$C$1000,MATCH($A564,'Product Master'!$A$7:$A$1000,0)))</f>
        <v/>
      </c>
      <c r="D564" t="str">
        <f>IF($A564="","",INDEX('Product Master'!$M$7:$M$1000,MATCH($A564,'Product Master'!$A$7:$A$1000,0)))</f>
        <v/>
      </c>
      <c r="E564" t="str">
        <f>IF($A564="","",INDEX('Product Master'!$N$7:$N$1000,MATCH($A564,'Product Master'!$A$7:$A$1000,0)))</f>
        <v/>
      </c>
      <c r="F564" t="str">
        <f>IF($A564="","",INDEX('Product Master'!$P$7:$P$1000,MATCH($A564,'Product Master'!$A$7:$A$1000,0)))</f>
        <v/>
      </c>
      <c r="I564" t="str">
        <f>IFERROR(INDEX('Product Master'!$A$7:$A$1000,_xlfn.AGGREGATE(15,6,(ROW('Product Master'!$A$7:$A$1000)-ROW('Product Master'!$A$7)+1)/(('Product Master'!$A$7:$A$1000&lt;&gt;"")*('Product Master'!$P$7:$P$1000="Out of Stock")),ROWS($I$12:I564))),"")</f>
        <v/>
      </c>
      <c r="J564" t="str">
        <f>IF($I564="","",INDEX('Product Master'!$B$7:$B$1000,MATCH($I564,'Product Master'!$A$7:$A$1000,0)))</f>
        <v/>
      </c>
      <c r="K564" t="str">
        <f>IF($I564="","",INDEX('Product Master'!$C$7:$C$1000,MATCH($I564,'Product Master'!$A$7:$A$1000,0)))</f>
        <v/>
      </c>
      <c r="L564" t="str">
        <f>IF($I564="","",INDEX('Product Master'!$M$7:$M$1000,MATCH($I564,'Product Master'!$A$7:$A$1000,0)))</f>
        <v/>
      </c>
      <c r="M564" t="str">
        <f>IF($I564="","",INDEX('Product Master'!$N$7:$N$1000,MATCH($I564,'Product Master'!$A$7:$A$1000,0)))</f>
        <v/>
      </c>
    </row>
    <row r="565" spans="1:13" x14ac:dyDescent="0.3">
      <c r="A565" t="str">
        <f>IFERROR(INDEX('Product Master'!$A$7:$A$1000,_xlfn.AGGREGATE(15,6,(ROW('Product Master'!$A$7:$A$1000)-ROW('Product Master'!$A$7)+1)/(('Product Master'!$A$7:$A$1000&lt;&gt;"")*('Product Master'!$P$7:$P$1000="Low Stock")),ROWS($A$12:A565))),"")</f>
        <v/>
      </c>
      <c r="B565" t="str">
        <f>IF($A565="","",INDEX('Product Master'!$B$7:$B$1000,MATCH($A565,'Product Master'!$A$7:$A$1000,0)))</f>
        <v/>
      </c>
      <c r="C565" t="str">
        <f>IF($A565="","",INDEX('Product Master'!$C$7:$C$1000,MATCH($A565,'Product Master'!$A$7:$A$1000,0)))</f>
        <v/>
      </c>
      <c r="D565" t="str">
        <f>IF($A565="","",INDEX('Product Master'!$M$7:$M$1000,MATCH($A565,'Product Master'!$A$7:$A$1000,0)))</f>
        <v/>
      </c>
      <c r="E565" t="str">
        <f>IF($A565="","",INDEX('Product Master'!$N$7:$N$1000,MATCH($A565,'Product Master'!$A$7:$A$1000,0)))</f>
        <v/>
      </c>
      <c r="F565" t="str">
        <f>IF($A565="","",INDEX('Product Master'!$P$7:$P$1000,MATCH($A565,'Product Master'!$A$7:$A$1000,0)))</f>
        <v/>
      </c>
      <c r="I565" t="str">
        <f>IFERROR(INDEX('Product Master'!$A$7:$A$1000,_xlfn.AGGREGATE(15,6,(ROW('Product Master'!$A$7:$A$1000)-ROW('Product Master'!$A$7)+1)/(('Product Master'!$A$7:$A$1000&lt;&gt;"")*('Product Master'!$P$7:$P$1000="Out of Stock")),ROWS($I$12:I565))),"")</f>
        <v/>
      </c>
      <c r="J565" t="str">
        <f>IF($I565="","",INDEX('Product Master'!$B$7:$B$1000,MATCH($I565,'Product Master'!$A$7:$A$1000,0)))</f>
        <v/>
      </c>
      <c r="K565" t="str">
        <f>IF($I565="","",INDEX('Product Master'!$C$7:$C$1000,MATCH($I565,'Product Master'!$A$7:$A$1000,0)))</f>
        <v/>
      </c>
      <c r="L565" t="str">
        <f>IF($I565="","",INDEX('Product Master'!$M$7:$M$1000,MATCH($I565,'Product Master'!$A$7:$A$1000,0)))</f>
        <v/>
      </c>
      <c r="M565" t="str">
        <f>IF($I565="","",INDEX('Product Master'!$N$7:$N$1000,MATCH($I565,'Product Master'!$A$7:$A$1000,0)))</f>
        <v/>
      </c>
    </row>
    <row r="566" spans="1:13" x14ac:dyDescent="0.3">
      <c r="A566" t="str">
        <f>IFERROR(INDEX('Product Master'!$A$7:$A$1000,_xlfn.AGGREGATE(15,6,(ROW('Product Master'!$A$7:$A$1000)-ROW('Product Master'!$A$7)+1)/(('Product Master'!$A$7:$A$1000&lt;&gt;"")*('Product Master'!$P$7:$P$1000="Low Stock")),ROWS($A$12:A566))),"")</f>
        <v/>
      </c>
      <c r="B566" t="str">
        <f>IF($A566="","",INDEX('Product Master'!$B$7:$B$1000,MATCH($A566,'Product Master'!$A$7:$A$1000,0)))</f>
        <v/>
      </c>
      <c r="C566" t="str">
        <f>IF($A566="","",INDEX('Product Master'!$C$7:$C$1000,MATCH($A566,'Product Master'!$A$7:$A$1000,0)))</f>
        <v/>
      </c>
      <c r="D566" t="str">
        <f>IF($A566="","",INDEX('Product Master'!$M$7:$M$1000,MATCH($A566,'Product Master'!$A$7:$A$1000,0)))</f>
        <v/>
      </c>
      <c r="E566" t="str">
        <f>IF($A566="","",INDEX('Product Master'!$N$7:$N$1000,MATCH($A566,'Product Master'!$A$7:$A$1000,0)))</f>
        <v/>
      </c>
      <c r="F566" t="str">
        <f>IF($A566="","",INDEX('Product Master'!$P$7:$P$1000,MATCH($A566,'Product Master'!$A$7:$A$1000,0)))</f>
        <v/>
      </c>
      <c r="I566" t="str">
        <f>IFERROR(INDEX('Product Master'!$A$7:$A$1000,_xlfn.AGGREGATE(15,6,(ROW('Product Master'!$A$7:$A$1000)-ROW('Product Master'!$A$7)+1)/(('Product Master'!$A$7:$A$1000&lt;&gt;"")*('Product Master'!$P$7:$P$1000="Out of Stock")),ROWS($I$12:I566))),"")</f>
        <v/>
      </c>
      <c r="J566" t="str">
        <f>IF($I566="","",INDEX('Product Master'!$B$7:$B$1000,MATCH($I566,'Product Master'!$A$7:$A$1000,0)))</f>
        <v/>
      </c>
      <c r="K566" t="str">
        <f>IF($I566="","",INDEX('Product Master'!$C$7:$C$1000,MATCH($I566,'Product Master'!$A$7:$A$1000,0)))</f>
        <v/>
      </c>
      <c r="L566" t="str">
        <f>IF($I566="","",INDEX('Product Master'!$M$7:$M$1000,MATCH($I566,'Product Master'!$A$7:$A$1000,0)))</f>
        <v/>
      </c>
      <c r="M566" t="str">
        <f>IF($I566="","",INDEX('Product Master'!$N$7:$N$1000,MATCH($I566,'Product Master'!$A$7:$A$1000,0)))</f>
        <v/>
      </c>
    </row>
    <row r="567" spans="1:13" x14ac:dyDescent="0.3">
      <c r="A567" t="str">
        <f>IFERROR(INDEX('Product Master'!$A$7:$A$1000,_xlfn.AGGREGATE(15,6,(ROW('Product Master'!$A$7:$A$1000)-ROW('Product Master'!$A$7)+1)/(('Product Master'!$A$7:$A$1000&lt;&gt;"")*('Product Master'!$P$7:$P$1000="Low Stock")),ROWS($A$12:A567))),"")</f>
        <v/>
      </c>
      <c r="B567" t="str">
        <f>IF($A567="","",INDEX('Product Master'!$B$7:$B$1000,MATCH($A567,'Product Master'!$A$7:$A$1000,0)))</f>
        <v/>
      </c>
      <c r="C567" t="str">
        <f>IF($A567="","",INDEX('Product Master'!$C$7:$C$1000,MATCH($A567,'Product Master'!$A$7:$A$1000,0)))</f>
        <v/>
      </c>
      <c r="D567" t="str">
        <f>IF($A567="","",INDEX('Product Master'!$M$7:$M$1000,MATCH($A567,'Product Master'!$A$7:$A$1000,0)))</f>
        <v/>
      </c>
      <c r="E567" t="str">
        <f>IF($A567="","",INDEX('Product Master'!$N$7:$N$1000,MATCH($A567,'Product Master'!$A$7:$A$1000,0)))</f>
        <v/>
      </c>
      <c r="F567" t="str">
        <f>IF($A567="","",INDEX('Product Master'!$P$7:$P$1000,MATCH($A567,'Product Master'!$A$7:$A$1000,0)))</f>
        <v/>
      </c>
      <c r="I567" t="str">
        <f>IFERROR(INDEX('Product Master'!$A$7:$A$1000,_xlfn.AGGREGATE(15,6,(ROW('Product Master'!$A$7:$A$1000)-ROW('Product Master'!$A$7)+1)/(('Product Master'!$A$7:$A$1000&lt;&gt;"")*('Product Master'!$P$7:$P$1000="Out of Stock")),ROWS($I$12:I567))),"")</f>
        <v/>
      </c>
      <c r="J567" t="str">
        <f>IF($I567="","",INDEX('Product Master'!$B$7:$B$1000,MATCH($I567,'Product Master'!$A$7:$A$1000,0)))</f>
        <v/>
      </c>
      <c r="K567" t="str">
        <f>IF($I567="","",INDEX('Product Master'!$C$7:$C$1000,MATCH($I567,'Product Master'!$A$7:$A$1000,0)))</f>
        <v/>
      </c>
      <c r="L567" t="str">
        <f>IF($I567="","",INDEX('Product Master'!$M$7:$M$1000,MATCH($I567,'Product Master'!$A$7:$A$1000,0)))</f>
        <v/>
      </c>
      <c r="M567" t="str">
        <f>IF($I567="","",INDEX('Product Master'!$N$7:$N$1000,MATCH($I567,'Product Master'!$A$7:$A$1000,0)))</f>
        <v/>
      </c>
    </row>
    <row r="568" spans="1:13" x14ac:dyDescent="0.3">
      <c r="A568" t="str">
        <f>IFERROR(INDEX('Product Master'!$A$7:$A$1000,_xlfn.AGGREGATE(15,6,(ROW('Product Master'!$A$7:$A$1000)-ROW('Product Master'!$A$7)+1)/(('Product Master'!$A$7:$A$1000&lt;&gt;"")*('Product Master'!$P$7:$P$1000="Low Stock")),ROWS($A$12:A568))),"")</f>
        <v/>
      </c>
      <c r="B568" t="str">
        <f>IF($A568="","",INDEX('Product Master'!$B$7:$B$1000,MATCH($A568,'Product Master'!$A$7:$A$1000,0)))</f>
        <v/>
      </c>
      <c r="C568" t="str">
        <f>IF($A568="","",INDEX('Product Master'!$C$7:$C$1000,MATCH($A568,'Product Master'!$A$7:$A$1000,0)))</f>
        <v/>
      </c>
      <c r="D568" t="str">
        <f>IF($A568="","",INDEX('Product Master'!$M$7:$M$1000,MATCH($A568,'Product Master'!$A$7:$A$1000,0)))</f>
        <v/>
      </c>
      <c r="E568" t="str">
        <f>IF($A568="","",INDEX('Product Master'!$N$7:$N$1000,MATCH($A568,'Product Master'!$A$7:$A$1000,0)))</f>
        <v/>
      </c>
      <c r="F568" t="str">
        <f>IF($A568="","",INDEX('Product Master'!$P$7:$P$1000,MATCH($A568,'Product Master'!$A$7:$A$1000,0)))</f>
        <v/>
      </c>
      <c r="I568" t="str">
        <f>IFERROR(INDEX('Product Master'!$A$7:$A$1000,_xlfn.AGGREGATE(15,6,(ROW('Product Master'!$A$7:$A$1000)-ROW('Product Master'!$A$7)+1)/(('Product Master'!$A$7:$A$1000&lt;&gt;"")*('Product Master'!$P$7:$P$1000="Out of Stock")),ROWS($I$12:I568))),"")</f>
        <v/>
      </c>
      <c r="J568" t="str">
        <f>IF($I568="","",INDEX('Product Master'!$B$7:$B$1000,MATCH($I568,'Product Master'!$A$7:$A$1000,0)))</f>
        <v/>
      </c>
      <c r="K568" t="str">
        <f>IF($I568="","",INDEX('Product Master'!$C$7:$C$1000,MATCH($I568,'Product Master'!$A$7:$A$1000,0)))</f>
        <v/>
      </c>
      <c r="L568" t="str">
        <f>IF($I568="","",INDEX('Product Master'!$M$7:$M$1000,MATCH($I568,'Product Master'!$A$7:$A$1000,0)))</f>
        <v/>
      </c>
      <c r="M568" t="str">
        <f>IF($I568="","",INDEX('Product Master'!$N$7:$N$1000,MATCH($I568,'Product Master'!$A$7:$A$1000,0)))</f>
        <v/>
      </c>
    </row>
    <row r="569" spans="1:13" x14ac:dyDescent="0.3">
      <c r="A569" t="str">
        <f>IFERROR(INDEX('Product Master'!$A$7:$A$1000,_xlfn.AGGREGATE(15,6,(ROW('Product Master'!$A$7:$A$1000)-ROW('Product Master'!$A$7)+1)/(('Product Master'!$A$7:$A$1000&lt;&gt;"")*('Product Master'!$P$7:$P$1000="Low Stock")),ROWS($A$12:A569))),"")</f>
        <v/>
      </c>
      <c r="B569" t="str">
        <f>IF($A569="","",INDEX('Product Master'!$B$7:$B$1000,MATCH($A569,'Product Master'!$A$7:$A$1000,0)))</f>
        <v/>
      </c>
      <c r="C569" t="str">
        <f>IF($A569="","",INDEX('Product Master'!$C$7:$C$1000,MATCH($A569,'Product Master'!$A$7:$A$1000,0)))</f>
        <v/>
      </c>
      <c r="D569" t="str">
        <f>IF($A569="","",INDEX('Product Master'!$M$7:$M$1000,MATCH($A569,'Product Master'!$A$7:$A$1000,0)))</f>
        <v/>
      </c>
      <c r="E569" t="str">
        <f>IF($A569="","",INDEX('Product Master'!$N$7:$N$1000,MATCH($A569,'Product Master'!$A$7:$A$1000,0)))</f>
        <v/>
      </c>
      <c r="F569" t="str">
        <f>IF($A569="","",INDEX('Product Master'!$P$7:$P$1000,MATCH($A569,'Product Master'!$A$7:$A$1000,0)))</f>
        <v/>
      </c>
      <c r="I569" t="str">
        <f>IFERROR(INDEX('Product Master'!$A$7:$A$1000,_xlfn.AGGREGATE(15,6,(ROW('Product Master'!$A$7:$A$1000)-ROW('Product Master'!$A$7)+1)/(('Product Master'!$A$7:$A$1000&lt;&gt;"")*('Product Master'!$P$7:$P$1000="Out of Stock")),ROWS($I$12:I569))),"")</f>
        <v/>
      </c>
      <c r="J569" t="str">
        <f>IF($I569="","",INDEX('Product Master'!$B$7:$B$1000,MATCH($I569,'Product Master'!$A$7:$A$1000,0)))</f>
        <v/>
      </c>
      <c r="K569" t="str">
        <f>IF($I569="","",INDEX('Product Master'!$C$7:$C$1000,MATCH($I569,'Product Master'!$A$7:$A$1000,0)))</f>
        <v/>
      </c>
      <c r="L569" t="str">
        <f>IF($I569="","",INDEX('Product Master'!$M$7:$M$1000,MATCH($I569,'Product Master'!$A$7:$A$1000,0)))</f>
        <v/>
      </c>
      <c r="M569" t="str">
        <f>IF($I569="","",INDEX('Product Master'!$N$7:$N$1000,MATCH($I569,'Product Master'!$A$7:$A$1000,0)))</f>
        <v/>
      </c>
    </row>
    <row r="570" spans="1:13" x14ac:dyDescent="0.3">
      <c r="A570" t="str">
        <f>IFERROR(INDEX('Product Master'!$A$7:$A$1000,_xlfn.AGGREGATE(15,6,(ROW('Product Master'!$A$7:$A$1000)-ROW('Product Master'!$A$7)+1)/(('Product Master'!$A$7:$A$1000&lt;&gt;"")*('Product Master'!$P$7:$P$1000="Low Stock")),ROWS($A$12:A570))),"")</f>
        <v/>
      </c>
      <c r="B570" t="str">
        <f>IF($A570="","",INDEX('Product Master'!$B$7:$B$1000,MATCH($A570,'Product Master'!$A$7:$A$1000,0)))</f>
        <v/>
      </c>
      <c r="C570" t="str">
        <f>IF($A570="","",INDEX('Product Master'!$C$7:$C$1000,MATCH($A570,'Product Master'!$A$7:$A$1000,0)))</f>
        <v/>
      </c>
      <c r="D570" t="str">
        <f>IF($A570="","",INDEX('Product Master'!$M$7:$M$1000,MATCH($A570,'Product Master'!$A$7:$A$1000,0)))</f>
        <v/>
      </c>
      <c r="E570" t="str">
        <f>IF($A570="","",INDEX('Product Master'!$N$7:$N$1000,MATCH($A570,'Product Master'!$A$7:$A$1000,0)))</f>
        <v/>
      </c>
      <c r="F570" t="str">
        <f>IF($A570="","",INDEX('Product Master'!$P$7:$P$1000,MATCH($A570,'Product Master'!$A$7:$A$1000,0)))</f>
        <v/>
      </c>
      <c r="I570" t="str">
        <f>IFERROR(INDEX('Product Master'!$A$7:$A$1000,_xlfn.AGGREGATE(15,6,(ROW('Product Master'!$A$7:$A$1000)-ROW('Product Master'!$A$7)+1)/(('Product Master'!$A$7:$A$1000&lt;&gt;"")*('Product Master'!$P$7:$P$1000="Out of Stock")),ROWS($I$12:I570))),"")</f>
        <v/>
      </c>
      <c r="J570" t="str">
        <f>IF($I570="","",INDEX('Product Master'!$B$7:$B$1000,MATCH($I570,'Product Master'!$A$7:$A$1000,0)))</f>
        <v/>
      </c>
      <c r="K570" t="str">
        <f>IF($I570="","",INDEX('Product Master'!$C$7:$C$1000,MATCH($I570,'Product Master'!$A$7:$A$1000,0)))</f>
        <v/>
      </c>
      <c r="L570" t="str">
        <f>IF($I570="","",INDEX('Product Master'!$M$7:$M$1000,MATCH($I570,'Product Master'!$A$7:$A$1000,0)))</f>
        <v/>
      </c>
      <c r="M570" t="str">
        <f>IF($I570="","",INDEX('Product Master'!$N$7:$N$1000,MATCH($I570,'Product Master'!$A$7:$A$1000,0)))</f>
        <v/>
      </c>
    </row>
    <row r="571" spans="1:13" x14ac:dyDescent="0.3">
      <c r="A571" t="str">
        <f>IFERROR(INDEX('Product Master'!$A$7:$A$1000,_xlfn.AGGREGATE(15,6,(ROW('Product Master'!$A$7:$A$1000)-ROW('Product Master'!$A$7)+1)/(('Product Master'!$A$7:$A$1000&lt;&gt;"")*('Product Master'!$P$7:$P$1000="Low Stock")),ROWS($A$12:A571))),"")</f>
        <v/>
      </c>
      <c r="B571" t="str">
        <f>IF($A571="","",INDEX('Product Master'!$B$7:$B$1000,MATCH($A571,'Product Master'!$A$7:$A$1000,0)))</f>
        <v/>
      </c>
      <c r="C571" t="str">
        <f>IF($A571="","",INDEX('Product Master'!$C$7:$C$1000,MATCH($A571,'Product Master'!$A$7:$A$1000,0)))</f>
        <v/>
      </c>
      <c r="D571" t="str">
        <f>IF($A571="","",INDEX('Product Master'!$M$7:$M$1000,MATCH($A571,'Product Master'!$A$7:$A$1000,0)))</f>
        <v/>
      </c>
      <c r="E571" t="str">
        <f>IF($A571="","",INDEX('Product Master'!$N$7:$N$1000,MATCH($A571,'Product Master'!$A$7:$A$1000,0)))</f>
        <v/>
      </c>
      <c r="F571" t="str">
        <f>IF($A571="","",INDEX('Product Master'!$P$7:$P$1000,MATCH($A571,'Product Master'!$A$7:$A$1000,0)))</f>
        <v/>
      </c>
      <c r="I571" t="str">
        <f>IFERROR(INDEX('Product Master'!$A$7:$A$1000,_xlfn.AGGREGATE(15,6,(ROW('Product Master'!$A$7:$A$1000)-ROW('Product Master'!$A$7)+1)/(('Product Master'!$A$7:$A$1000&lt;&gt;"")*('Product Master'!$P$7:$P$1000="Out of Stock")),ROWS($I$12:I571))),"")</f>
        <v/>
      </c>
      <c r="J571" t="str">
        <f>IF($I571="","",INDEX('Product Master'!$B$7:$B$1000,MATCH($I571,'Product Master'!$A$7:$A$1000,0)))</f>
        <v/>
      </c>
      <c r="K571" t="str">
        <f>IF($I571="","",INDEX('Product Master'!$C$7:$C$1000,MATCH($I571,'Product Master'!$A$7:$A$1000,0)))</f>
        <v/>
      </c>
      <c r="L571" t="str">
        <f>IF($I571="","",INDEX('Product Master'!$M$7:$M$1000,MATCH($I571,'Product Master'!$A$7:$A$1000,0)))</f>
        <v/>
      </c>
      <c r="M571" t="str">
        <f>IF($I571="","",INDEX('Product Master'!$N$7:$N$1000,MATCH($I571,'Product Master'!$A$7:$A$1000,0)))</f>
        <v/>
      </c>
    </row>
    <row r="572" spans="1:13" x14ac:dyDescent="0.3">
      <c r="A572" t="str">
        <f>IFERROR(INDEX('Product Master'!$A$7:$A$1000,_xlfn.AGGREGATE(15,6,(ROW('Product Master'!$A$7:$A$1000)-ROW('Product Master'!$A$7)+1)/(('Product Master'!$A$7:$A$1000&lt;&gt;"")*('Product Master'!$P$7:$P$1000="Low Stock")),ROWS($A$12:A572))),"")</f>
        <v/>
      </c>
      <c r="B572" t="str">
        <f>IF($A572="","",INDEX('Product Master'!$B$7:$B$1000,MATCH($A572,'Product Master'!$A$7:$A$1000,0)))</f>
        <v/>
      </c>
      <c r="C572" t="str">
        <f>IF($A572="","",INDEX('Product Master'!$C$7:$C$1000,MATCH($A572,'Product Master'!$A$7:$A$1000,0)))</f>
        <v/>
      </c>
      <c r="D572" t="str">
        <f>IF($A572="","",INDEX('Product Master'!$M$7:$M$1000,MATCH($A572,'Product Master'!$A$7:$A$1000,0)))</f>
        <v/>
      </c>
      <c r="E572" t="str">
        <f>IF($A572="","",INDEX('Product Master'!$N$7:$N$1000,MATCH($A572,'Product Master'!$A$7:$A$1000,0)))</f>
        <v/>
      </c>
      <c r="F572" t="str">
        <f>IF($A572="","",INDEX('Product Master'!$P$7:$P$1000,MATCH($A572,'Product Master'!$A$7:$A$1000,0)))</f>
        <v/>
      </c>
      <c r="I572" t="str">
        <f>IFERROR(INDEX('Product Master'!$A$7:$A$1000,_xlfn.AGGREGATE(15,6,(ROW('Product Master'!$A$7:$A$1000)-ROW('Product Master'!$A$7)+1)/(('Product Master'!$A$7:$A$1000&lt;&gt;"")*('Product Master'!$P$7:$P$1000="Out of Stock")),ROWS($I$12:I572))),"")</f>
        <v/>
      </c>
      <c r="J572" t="str">
        <f>IF($I572="","",INDEX('Product Master'!$B$7:$B$1000,MATCH($I572,'Product Master'!$A$7:$A$1000,0)))</f>
        <v/>
      </c>
      <c r="K572" t="str">
        <f>IF($I572="","",INDEX('Product Master'!$C$7:$C$1000,MATCH($I572,'Product Master'!$A$7:$A$1000,0)))</f>
        <v/>
      </c>
      <c r="L572" t="str">
        <f>IF($I572="","",INDEX('Product Master'!$M$7:$M$1000,MATCH($I572,'Product Master'!$A$7:$A$1000,0)))</f>
        <v/>
      </c>
      <c r="M572" t="str">
        <f>IF($I572="","",INDEX('Product Master'!$N$7:$N$1000,MATCH($I572,'Product Master'!$A$7:$A$1000,0)))</f>
        <v/>
      </c>
    </row>
    <row r="573" spans="1:13" x14ac:dyDescent="0.3">
      <c r="A573" t="str">
        <f>IFERROR(INDEX('Product Master'!$A$7:$A$1000,_xlfn.AGGREGATE(15,6,(ROW('Product Master'!$A$7:$A$1000)-ROW('Product Master'!$A$7)+1)/(('Product Master'!$A$7:$A$1000&lt;&gt;"")*('Product Master'!$P$7:$P$1000="Low Stock")),ROWS($A$12:A573))),"")</f>
        <v/>
      </c>
      <c r="B573" t="str">
        <f>IF($A573="","",INDEX('Product Master'!$B$7:$B$1000,MATCH($A573,'Product Master'!$A$7:$A$1000,0)))</f>
        <v/>
      </c>
      <c r="C573" t="str">
        <f>IF($A573="","",INDEX('Product Master'!$C$7:$C$1000,MATCH($A573,'Product Master'!$A$7:$A$1000,0)))</f>
        <v/>
      </c>
      <c r="D573" t="str">
        <f>IF($A573="","",INDEX('Product Master'!$M$7:$M$1000,MATCH($A573,'Product Master'!$A$7:$A$1000,0)))</f>
        <v/>
      </c>
      <c r="E573" t="str">
        <f>IF($A573="","",INDEX('Product Master'!$N$7:$N$1000,MATCH($A573,'Product Master'!$A$7:$A$1000,0)))</f>
        <v/>
      </c>
      <c r="F573" t="str">
        <f>IF($A573="","",INDEX('Product Master'!$P$7:$P$1000,MATCH($A573,'Product Master'!$A$7:$A$1000,0)))</f>
        <v/>
      </c>
      <c r="I573" t="str">
        <f>IFERROR(INDEX('Product Master'!$A$7:$A$1000,_xlfn.AGGREGATE(15,6,(ROW('Product Master'!$A$7:$A$1000)-ROW('Product Master'!$A$7)+1)/(('Product Master'!$A$7:$A$1000&lt;&gt;"")*('Product Master'!$P$7:$P$1000="Out of Stock")),ROWS($I$12:I573))),"")</f>
        <v/>
      </c>
      <c r="J573" t="str">
        <f>IF($I573="","",INDEX('Product Master'!$B$7:$B$1000,MATCH($I573,'Product Master'!$A$7:$A$1000,0)))</f>
        <v/>
      </c>
      <c r="K573" t="str">
        <f>IF($I573="","",INDEX('Product Master'!$C$7:$C$1000,MATCH($I573,'Product Master'!$A$7:$A$1000,0)))</f>
        <v/>
      </c>
      <c r="L573" t="str">
        <f>IF($I573="","",INDEX('Product Master'!$M$7:$M$1000,MATCH($I573,'Product Master'!$A$7:$A$1000,0)))</f>
        <v/>
      </c>
      <c r="M573" t="str">
        <f>IF($I573="","",INDEX('Product Master'!$N$7:$N$1000,MATCH($I573,'Product Master'!$A$7:$A$1000,0)))</f>
        <v/>
      </c>
    </row>
    <row r="574" spans="1:13" x14ac:dyDescent="0.3">
      <c r="A574" t="str">
        <f>IFERROR(INDEX('Product Master'!$A$7:$A$1000,_xlfn.AGGREGATE(15,6,(ROW('Product Master'!$A$7:$A$1000)-ROW('Product Master'!$A$7)+1)/(('Product Master'!$A$7:$A$1000&lt;&gt;"")*('Product Master'!$P$7:$P$1000="Low Stock")),ROWS($A$12:A574))),"")</f>
        <v/>
      </c>
      <c r="B574" t="str">
        <f>IF($A574="","",INDEX('Product Master'!$B$7:$B$1000,MATCH($A574,'Product Master'!$A$7:$A$1000,0)))</f>
        <v/>
      </c>
      <c r="C574" t="str">
        <f>IF($A574="","",INDEX('Product Master'!$C$7:$C$1000,MATCH($A574,'Product Master'!$A$7:$A$1000,0)))</f>
        <v/>
      </c>
      <c r="D574" t="str">
        <f>IF($A574="","",INDEX('Product Master'!$M$7:$M$1000,MATCH($A574,'Product Master'!$A$7:$A$1000,0)))</f>
        <v/>
      </c>
      <c r="E574" t="str">
        <f>IF($A574="","",INDEX('Product Master'!$N$7:$N$1000,MATCH($A574,'Product Master'!$A$7:$A$1000,0)))</f>
        <v/>
      </c>
      <c r="F574" t="str">
        <f>IF($A574="","",INDEX('Product Master'!$P$7:$P$1000,MATCH($A574,'Product Master'!$A$7:$A$1000,0)))</f>
        <v/>
      </c>
      <c r="I574" t="str">
        <f>IFERROR(INDEX('Product Master'!$A$7:$A$1000,_xlfn.AGGREGATE(15,6,(ROW('Product Master'!$A$7:$A$1000)-ROW('Product Master'!$A$7)+1)/(('Product Master'!$A$7:$A$1000&lt;&gt;"")*('Product Master'!$P$7:$P$1000="Out of Stock")),ROWS($I$12:I574))),"")</f>
        <v/>
      </c>
      <c r="J574" t="str">
        <f>IF($I574="","",INDEX('Product Master'!$B$7:$B$1000,MATCH($I574,'Product Master'!$A$7:$A$1000,0)))</f>
        <v/>
      </c>
      <c r="K574" t="str">
        <f>IF($I574="","",INDEX('Product Master'!$C$7:$C$1000,MATCH($I574,'Product Master'!$A$7:$A$1000,0)))</f>
        <v/>
      </c>
      <c r="L574" t="str">
        <f>IF($I574="","",INDEX('Product Master'!$M$7:$M$1000,MATCH($I574,'Product Master'!$A$7:$A$1000,0)))</f>
        <v/>
      </c>
      <c r="M574" t="str">
        <f>IF($I574="","",INDEX('Product Master'!$N$7:$N$1000,MATCH($I574,'Product Master'!$A$7:$A$1000,0)))</f>
        <v/>
      </c>
    </row>
    <row r="575" spans="1:13" x14ac:dyDescent="0.3">
      <c r="A575" t="str">
        <f>IFERROR(INDEX('Product Master'!$A$7:$A$1000,_xlfn.AGGREGATE(15,6,(ROW('Product Master'!$A$7:$A$1000)-ROW('Product Master'!$A$7)+1)/(('Product Master'!$A$7:$A$1000&lt;&gt;"")*('Product Master'!$P$7:$P$1000="Low Stock")),ROWS($A$12:A575))),"")</f>
        <v/>
      </c>
      <c r="B575" t="str">
        <f>IF($A575="","",INDEX('Product Master'!$B$7:$B$1000,MATCH($A575,'Product Master'!$A$7:$A$1000,0)))</f>
        <v/>
      </c>
      <c r="C575" t="str">
        <f>IF($A575="","",INDEX('Product Master'!$C$7:$C$1000,MATCH($A575,'Product Master'!$A$7:$A$1000,0)))</f>
        <v/>
      </c>
      <c r="D575" t="str">
        <f>IF($A575="","",INDEX('Product Master'!$M$7:$M$1000,MATCH($A575,'Product Master'!$A$7:$A$1000,0)))</f>
        <v/>
      </c>
      <c r="E575" t="str">
        <f>IF($A575="","",INDEX('Product Master'!$N$7:$N$1000,MATCH($A575,'Product Master'!$A$7:$A$1000,0)))</f>
        <v/>
      </c>
      <c r="F575" t="str">
        <f>IF($A575="","",INDEX('Product Master'!$P$7:$P$1000,MATCH($A575,'Product Master'!$A$7:$A$1000,0)))</f>
        <v/>
      </c>
      <c r="I575" t="str">
        <f>IFERROR(INDEX('Product Master'!$A$7:$A$1000,_xlfn.AGGREGATE(15,6,(ROW('Product Master'!$A$7:$A$1000)-ROW('Product Master'!$A$7)+1)/(('Product Master'!$A$7:$A$1000&lt;&gt;"")*('Product Master'!$P$7:$P$1000="Out of Stock")),ROWS($I$12:I575))),"")</f>
        <v/>
      </c>
      <c r="J575" t="str">
        <f>IF($I575="","",INDEX('Product Master'!$B$7:$B$1000,MATCH($I575,'Product Master'!$A$7:$A$1000,0)))</f>
        <v/>
      </c>
      <c r="K575" t="str">
        <f>IF($I575="","",INDEX('Product Master'!$C$7:$C$1000,MATCH($I575,'Product Master'!$A$7:$A$1000,0)))</f>
        <v/>
      </c>
      <c r="L575" t="str">
        <f>IF($I575="","",INDEX('Product Master'!$M$7:$M$1000,MATCH($I575,'Product Master'!$A$7:$A$1000,0)))</f>
        <v/>
      </c>
      <c r="M575" t="str">
        <f>IF($I575="","",INDEX('Product Master'!$N$7:$N$1000,MATCH($I575,'Product Master'!$A$7:$A$1000,0)))</f>
        <v/>
      </c>
    </row>
    <row r="576" spans="1:13" x14ac:dyDescent="0.3">
      <c r="A576" t="str">
        <f>IFERROR(INDEX('Product Master'!$A$7:$A$1000,_xlfn.AGGREGATE(15,6,(ROW('Product Master'!$A$7:$A$1000)-ROW('Product Master'!$A$7)+1)/(('Product Master'!$A$7:$A$1000&lt;&gt;"")*('Product Master'!$P$7:$P$1000="Low Stock")),ROWS($A$12:A576))),"")</f>
        <v/>
      </c>
      <c r="B576" t="str">
        <f>IF($A576="","",INDEX('Product Master'!$B$7:$B$1000,MATCH($A576,'Product Master'!$A$7:$A$1000,0)))</f>
        <v/>
      </c>
      <c r="C576" t="str">
        <f>IF($A576="","",INDEX('Product Master'!$C$7:$C$1000,MATCH($A576,'Product Master'!$A$7:$A$1000,0)))</f>
        <v/>
      </c>
      <c r="D576" t="str">
        <f>IF($A576="","",INDEX('Product Master'!$M$7:$M$1000,MATCH($A576,'Product Master'!$A$7:$A$1000,0)))</f>
        <v/>
      </c>
      <c r="E576" t="str">
        <f>IF($A576="","",INDEX('Product Master'!$N$7:$N$1000,MATCH($A576,'Product Master'!$A$7:$A$1000,0)))</f>
        <v/>
      </c>
      <c r="F576" t="str">
        <f>IF($A576="","",INDEX('Product Master'!$P$7:$P$1000,MATCH($A576,'Product Master'!$A$7:$A$1000,0)))</f>
        <v/>
      </c>
      <c r="I576" t="str">
        <f>IFERROR(INDEX('Product Master'!$A$7:$A$1000,_xlfn.AGGREGATE(15,6,(ROW('Product Master'!$A$7:$A$1000)-ROW('Product Master'!$A$7)+1)/(('Product Master'!$A$7:$A$1000&lt;&gt;"")*('Product Master'!$P$7:$P$1000="Out of Stock")),ROWS($I$12:I576))),"")</f>
        <v/>
      </c>
      <c r="J576" t="str">
        <f>IF($I576="","",INDEX('Product Master'!$B$7:$B$1000,MATCH($I576,'Product Master'!$A$7:$A$1000,0)))</f>
        <v/>
      </c>
      <c r="K576" t="str">
        <f>IF($I576="","",INDEX('Product Master'!$C$7:$C$1000,MATCH($I576,'Product Master'!$A$7:$A$1000,0)))</f>
        <v/>
      </c>
      <c r="L576" t="str">
        <f>IF($I576="","",INDEX('Product Master'!$M$7:$M$1000,MATCH($I576,'Product Master'!$A$7:$A$1000,0)))</f>
        <v/>
      </c>
      <c r="M576" t="str">
        <f>IF($I576="","",INDEX('Product Master'!$N$7:$N$1000,MATCH($I576,'Product Master'!$A$7:$A$1000,0)))</f>
        <v/>
      </c>
    </row>
    <row r="577" spans="1:13" x14ac:dyDescent="0.3">
      <c r="A577" t="str">
        <f>IFERROR(INDEX('Product Master'!$A$7:$A$1000,_xlfn.AGGREGATE(15,6,(ROW('Product Master'!$A$7:$A$1000)-ROW('Product Master'!$A$7)+1)/(('Product Master'!$A$7:$A$1000&lt;&gt;"")*('Product Master'!$P$7:$P$1000="Low Stock")),ROWS($A$12:A577))),"")</f>
        <v/>
      </c>
      <c r="B577" t="str">
        <f>IF($A577="","",INDEX('Product Master'!$B$7:$B$1000,MATCH($A577,'Product Master'!$A$7:$A$1000,0)))</f>
        <v/>
      </c>
      <c r="C577" t="str">
        <f>IF($A577="","",INDEX('Product Master'!$C$7:$C$1000,MATCH($A577,'Product Master'!$A$7:$A$1000,0)))</f>
        <v/>
      </c>
      <c r="D577" t="str">
        <f>IF($A577="","",INDEX('Product Master'!$M$7:$M$1000,MATCH($A577,'Product Master'!$A$7:$A$1000,0)))</f>
        <v/>
      </c>
      <c r="E577" t="str">
        <f>IF($A577="","",INDEX('Product Master'!$N$7:$N$1000,MATCH($A577,'Product Master'!$A$7:$A$1000,0)))</f>
        <v/>
      </c>
      <c r="F577" t="str">
        <f>IF($A577="","",INDEX('Product Master'!$P$7:$P$1000,MATCH($A577,'Product Master'!$A$7:$A$1000,0)))</f>
        <v/>
      </c>
      <c r="I577" t="str">
        <f>IFERROR(INDEX('Product Master'!$A$7:$A$1000,_xlfn.AGGREGATE(15,6,(ROW('Product Master'!$A$7:$A$1000)-ROW('Product Master'!$A$7)+1)/(('Product Master'!$A$7:$A$1000&lt;&gt;"")*('Product Master'!$P$7:$P$1000="Out of Stock")),ROWS($I$12:I577))),"")</f>
        <v/>
      </c>
      <c r="J577" t="str">
        <f>IF($I577="","",INDEX('Product Master'!$B$7:$B$1000,MATCH($I577,'Product Master'!$A$7:$A$1000,0)))</f>
        <v/>
      </c>
      <c r="K577" t="str">
        <f>IF($I577="","",INDEX('Product Master'!$C$7:$C$1000,MATCH($I577,'Product Master'!$A$7:$A$1000,0)))</f>
        <v/>
      </c>
      <c r="L577" t="str">
        <f>IF($I577="","",INDEX('Product Master'!$M$7:$M$1000,MATCH($I577,'Product Master'!$A$7:$A$1000,0)))</f>
        <v/>
      </c>
      <c r="M577" t="str">
        <f>IF($I577="","",INDEX('Product Master'!$N$7:$N$1000,MATCH($I577,'Product Master'!$A$7:$A$1000,0)))</f>
        <v/>
      </c>
    </row>
    <row r="578" spans="1:13" x14ac:dyDescent="0.3">
      <c r="A578" t="str">
        <f>IFERROR(INDEX('Product Master'!$A$7:$A$1000,_xlfn.AGGREGATE(15,6,(ROW('Product Master'!$A$7:$A$1000)-ROW('Product Master'!$A$7)+1)/(('Product Master'!$A$7:$A$1000&lt;&gt;"")*('Product Master'!$P$7:$P$1000="Low Stock")),ROWS($A$12:A578))),"")</f>
        <v/>
      </c>
      <c r="B578" t="str">
        <f>IF($A578="","",INDEX('Product Master'!$B$7:$B$1000,MATCH($A578,'Product Master'!$A$7:$A$1000,0)))</f>
        <v/>
      </c>
      <c r="C578" t="str">
        <f>IF($A578="","",INDEX('Product Master'!$C$7:$C$1000,MATCH($A578,'Product Master'!$A$7:$A$1000,0)))</f>
        <v/>
      </c>
      <c r="D578" t="str">
        <f>IF($A578="","",INDEX('Product Master'!$M$7:$M$1000,MATCH($A578,'Product Master'!$A$7:$A$1000,0)))</f>
        <v/>
      </c>
      <c r="E578" t="str">
        <f>IF($A578="","",INDEX('Product Master'!$N$7:$N$1000,MATCH($A578,'Product Master'!$A$7:$A$1000,0)))</f>
        <v/>
      </c>
      <c r="F578" t="str">
        <f>IF($A578="","",INDEX('Product Master'!$P$7:$P$1000,MATCH($A578,'Product Master'!$A$7:$A$1000,0)))</f>
        <v/>
      </c>
      <c r="I578" t="str">
        <f>IFERROR(INDEX('Product Master'!$A$7:$A$1000,_xlfn.AGGREGATE(15,6,(ROW('Product Master'!$A$7:$A$1000)-ROW('Product Master'!$A$7)+1)/(('Product Master'!$A$7:$A$1000&lt;&gt;"")*('Product Master'!$P$7:$P$1000="Out of Stock")),ROWS($I$12:I578))),"")</f>
        <v/>
      </c>
      <c r="J578" t="str">
        <f>IF($I578="","",INDEX('Product Master'!$B$7:$B$1000,MATCH($I578,'Product Master'!$A$7:$A$1000,0)))</f>
        <v/>
      </c>
      <c r="K578" t="str">
        <f>IF($I578="","",INDEX('Product Master'!$C$7:$C$1000,MATCH($I578,'Product Master'!$A$7:$A$1000,0)))</f>
        <v/>
      </c>
      <c r="L578" t="str">
        <f>IF($I578="","",INDEX('Product Master'!$M$7:$M$1000,MATCH($I578,'Product Master'!$A$7:$A$1000,0)))</f>
        <v/>
      </c>
      <c r="M578" t="str">
        <f>IF($I578="","",INDEX('Product Master'!$N$7:$N$1000,MATCH($I578,'Product Master'!$A$7:$A$1000,0)))</f>
        <v/>
      </c>
    </row>
    <row r="579" spans="1:13" x14ac:dyDescent="0.3">
      <c r="A579" t="str">
        <f>IFERROR(INDEX('Product Master'!$A$7:$A$1000,_xlfn.AGGREGATE(15,6,(ROW('Product Master'!$A$7:$A$1000)-ROW('Product Master'!$A$7)+1)/(('Product Master'!$A$7:$A$1000&lt;&gt;"")*('Product Master'!$P$7:$P$1000="Low Stock")),ROWS($A$12:A579))),"")</f>
        <v/>
      </c>
      <c r="B579" t="str">
        <f>IF($A579="","",INDEX('Product Master'!$B$7:$B$1000,MATCH($A579,'Product Master'!$A$7:$A$1000,0)))</f>
        <v/>
      </c>
      <c r="C579" t="str">
        <f>IF($A579="","",INDEX('Product Master'!$C$7:$C$1000,MATCH($A579,'Product Master'!$A$7:$A$1000,0)))</f>
        <v/>
      </c>
      <c r="D579" t="str">
        <f>IF($A579="","",INDEX('Product Master'!$M$7:$M$1000,MATCH($A579,'Product Master'!$A$7:$A$1000,0)))</f>
        <v/>
      </c>
      <c r="E579" t="str">
        <f>IF($A579="","",INDEX('Product Master'!$N$7:$N$1000,MATCH($A579,'Product Master'!$A$7:$A$1000,0)))</f>
        <v/>
      </c>
      <c r="F579" t="str">
        <f>IF($A579="","",INDEX('Product Master'!$P$7:$P$1000,MATCH($A579,'Product Master'!$A$7:$A$1000,0)))</f>
        <v/>
      </c>
      <c r="I579" t="str">
        <f>IFERROR(INDEX('Product Master'!$A$7:$A$1000,_xlfn.AGGREGATE(15,6,(ROW('Product Master'!$A$7:$A$1000)-ROW('Product Master'!$A$7)+1)/(('Product Master'!$A$7:$A$1000&lt;&gt;"")*('Product Master'!$P$7:$P$1000="Out of Stock")),ROWS($I$12:I579))),"")</f>
        <v/>
      </c>
      <c r="J579" t="str">
        <f>IF($I579="","",INDEX('Product Master'!$B$7:$B$1000,MATCH($I579,'Product Master'!$A$7:$A$1000,0)))</f>
        <v/>
      </c>
      <c r="K579" t="str">
        <f>IF($I579="","",INDEX('Product Master'!$C$7:$C$1000,MATCH($I579,'Product Master'!$A$7:$A$1000,0)))</f>
        <v/>
      </c>
      <c r="L579" t="str">
        <f>IF($I579="","",INDEX('Product Master'!$M$7:$M$1000,MATCH($I579,'Product Master'!$A$7:$A$1000,0)))</f>
        <v/>
      </c>
      <c r="M579" t="str">
        <f>IF($I579="","",INDEX('Product Master'!$N$7:$N$1000,MATCH($I579,'Product Master'!$A$7:$A$1000,0)))</f>
        <v/>
      </c>
    </row>
    <row r="580" spans="1:13" x14ac:dyDescent="0.3">
      <c r="A580" t="str">
        <f>IFERROR(INDEX('Product Master'!$A$7:$A$1000,_xlfn.AGGREGATE(15,6,(ROW('Product Master'!$A$7:$A$1000)-ROW('Product Master'!$A$7)+1)/(('Product Master'!$A$7:$A$1000&lt;&gt;"")*('Product Master'!$P$7:$P$1000="Low Stock")),ROWS($A$12:A580))),"")</f>
        <v/>
      </c>
      <c r="B580" t="str">
        <f>IF($A580="","",INDEX('Product Master'!$B$7:$B$1000,MATCH($A580,'Product Master'!$A$7:$A$1000,0)))</f>
        <v/>
      </c>
      <c r="C580" t="str">
        <f>IF($A580="","",INDEX('Product Master'!$C$7:$C$1000,MATCH($A580,'Product Master'!$A$7:$A$1000,0)))</f>
        <v/>
      </c>
      <c r="D580" t="str">
        <f>IF($A580="","",INDEX('Product Master'!$M$7:$M$1000,MATCH($A580,'Product Master'!$A$7:$A$1000,0)))</f>
        <v/>
      </c>
      <c r="E580" t="str">
        <f>IF($A580="","",INDEX('Product Master'!$N$7:$N$1000,MATCH($A580,'Product Master'!$A$7:$A$1000,0)))</f>
        <v/>
      </c>
      <c r="F580" t="str">
        <f>IF($A580="","",INDEX('Product Master'!$P$7:$P$1000,MATCH($A580,'Product Master'!$A$7:$A$1000,0)))</f>
        <v/>
      </c>
      <c r="I580" t="str">
        <f>IFERROR(INDEX('Product Master'!$A$7:$A$1000,_xlfn.AGGREGATE(15,6,(ROW('Product Master'!$A$7:$A$1000)-ROW('Product Master'!$A$7)+1)/(('Product Master'!$A$7:$A$1000&lt;&gt;"")*('Product Master'!$P$7:$P$1000="Out of Stock")),ROWS($I$12:I580))),"")</f>
        <v/>
      </c>
      <c r="J580" t="str">
        <f>IF($I580="","",INDEX('Product Master'!$B$7:$B$1000,MATCH($I580,'Product Master'!$A$7:$A$1000,0)))</f>
        <v/>
      </c>
      <c r="K580" t="str">
        <f>IF($I580="","",INDEX('Product Master'!$C$7:$C$1000,MATCH($I580,'Product Master'!$A$7:$A$1000,0)))</f>
        <v/>
      </c>
      <c r="L580" t="str">
        <f>IF($I580="","",INDEX('Product Master'!$M$7:$M$1000,MATCH($I580,'Product Master'!$A$7:$A$1000,0)))</f>
        <v/>
      </c>
      <c r="M580" t="str">
        <f>IF($I580="","",INDEX('Product Master'!$N$7:$N$1000,MATCH($I580,'Product Master'!$A$7:$A$1000,0)))</f>
        <v/>
      </c>
    </row>
    <row r="581" spans="1:13" x14ac:dyDescent="0.3">
      <c r="A581" t="str">
        <f>IFERROR(INDEX('Product Master'!$A$7:$A$1000,_xlfn.AGGREGATE(15,6,(ROW('Product Master'!$A$7:$A$1000)-ROW('Product Master'!$A$7)+1)/(('Product Master'!$A$7:$A$1000&lt;&gt;"")*('Product Master'!$P$7:$P$1000="Low Stock")),ROWS($A$12:A581))),"")</f>
        <v/>
      </c>
      <c r="B581" t="str">
        <f>IF($A581="","",INDEX('Product Master'!$B$7:$B$1000,MATCH($A581,'Product Master'!$A$7:$A$1000,0)))</f>
        <v/>
      </c>
      <c r="C581" t="str">
        <f>IF($A581="","",INDEX('Product Master'!$C$7:$C$1000,MATCH($A581,'Product Master'!$A$7:$A$1000,0)))</f>
        <v/>
      </c>
      <c r="D581" t="str">
        <f>IF($A581="","",INDEX('Product Master'!$M$7:$M$1000,MATCH($A581,'Product Master'!$A$7:$A$1000,0)))</f>
        <v/>
      </c>
      <c r="E581" t="str">
        <f>IF($A581="","",INDEX('Product Master'!$N$7:$N$1000,MATCH($A581,'Product Master'!$A$7:$A$1000,0)))</f>
        <v/>
      </c>
      <c r="F581" t="str">
        <f>IF($A581="","",INDEX('Product Master'!$P$7:$P$1000,MATCH($A581,'Product Master'!$A$7:$A$1000,0)))</f>
        <v/>
      </c>
      <c r="I581" t="str">
        <f>IFERROR(INDEX('Product Master'!$A$7:$A$1000,_xlfn.AGGREGATE(15,6,(ROW('Product Master'!$A$7:$A$1000)-ROW('Product Master'!$A$7)+1)/(('Product Master'!$A$7:$A$1000&lt;&gt;"")*('Product Master'!$P$7:$P$1000="Out of Stock")),ROWS($I$12:I581))),"")</f>
        <v/>
      </c>
      <c r="J581" t="str">
        <f>IF($I581="","",INDEX('Product Master'!$B$7:$B$1000,MATCH($I581,'Product Master'!$A$7:$A$1000,0)))</f>
        <v/>
      </c>
      <c r="K581" t="str">
        <f>IF($I581="","",INDEX('Product Master'!$C$7:$C$1000,MATCH($I581,'Product Master'!$A$7:$A$1000,0)))</f>
        <v/>
      </c>
      <c r="L581" t="str">
        <f>IF($I581="","",INDEX('Product Master'!$M$7:$M$1000,MATCH($I581,'Product Master'!$A$7:$A$1000,0)))</f>
        <v/>
      </c>
      <c r="M581" t="str">
        <f>IF($I581="","",INDEX('Product Master'!$N$7:$N$1000,MATCH($I581,'Product Master'!$A$7:$A$1000,0)))</f>
        <v/>
      </c>
    </row>
    <row r="582" spans="1:13" x14ac:dyDescent="0.3">
      <c r="A582" t="str">
        <f>IFERROR(INDEX('Product Master'!$A$7:$A$1000,_xlfn.AGGREGATE(15,6,(ROW('Product Master'!$A$7:$A$1000)-ROW('Product Master'!$A$7)+1)/(('Product Master'!$A$7:$A$1000&lt;&gt;"")*('Product Master'!$P$7:$P$1000="Low Stock")),ROWS($A$12:A582))),"")</f>
        <v/>
      </c>
      <c r="B582" t="str">
        <f>IF($A582="","",INDEX('Product Master'!$B$7:$B$1000,MATCH($A582,'Product Master'!$A$7:$A$1000,0)))</f>
        <v/>
      </c>
      <c r="C582" t="str">
        <f>IF($A582="","",INDEX('Product Master'!$C$7:$C$1000,MATCH($A582,'Product Master'!$A$7:$A$1000,0)))</f>
        <v/>
      </c>
      <c r="D582" t="str">
        <f>IF($A582="","",INDEX('Product Master'!$M$7:$M$1000,MATCH($A582,'Product Master'!$A$7:$A$1000,0)))</f>
        <v/>
      </c>
      <c r="E582" t="str">
        <f>IF($A582="","",INDEX('Product Master'!$N$7:$N$1000,MATCH($A582,'Product Master'!$A$7:$A$1000,0)))</f>
        <v/>
      </c>
      <c r="F582" t="str">
        <f>IF($A582="","",INDEX('Product Master'!$P$7:$P$1000,MATCH($A582,'Product Master'!$A$7:$A$1000,0)))</f>
        <v/>
      </c>
      <c r="I582" t="str">
        <f>IFERROR(INDEX('Product Master'!$A$7:$A$1000,_xlfn.AGGREGATE(15,6,(ROW('Product Master'!$A$7:$A$1000)-ROW('Product Master'!$A$7)+1)/(('Product Master'!$A$7:$A$1000&lt;&gt;"")*('Product Master'!$P$7:$P$1000="Out of Stock")),ROWS($I$12:I582))),"")</f>
        <v/>
      </c>
      <c r="J582" t="str">
        <f>IF($I582="","",INDEX('Product Master'!$B$7:$B$1000,MATCH($I582,'Product Master'!$A$7:$A$1000,0)))</f>
        <v/>
      </c>
      <c r="K582" t="str">
        <f>IF($I582="","",INDEX('Product Master'!$C$7:$C$1000,MATCH($I582,'Product Master'!$A$7:$A$1000,0)))</f>
        <v/>
      </c>
      <c r="L582" t="str">
        <f>IF($I582="","",INDEX('Product Master'!$M$7:$M$1000,MATCH($I582,'Product Master'!$A$7:$A$1000,0)))</f>
        <v/>
      </c>
      <c r="M582" t="str">
        <f>IF($I582="","",INDEX('Product Master'!$N$7:$N$1000,MATCH($I582,'Product Master'!$A$7:$A$1000,0)))</f>
        <v/>
      </c>
    </row>
    <row r="583" spans="1:13" x14ac:dyDescent="0.3">
      <c r="A583" t="str">
        <f>IFERROR(INDEX('Product Master'!$A$7:$A$1000,_xlfn.AGGREGATE(15,6,(ROW('Product Master'!$A$7:$A$1000)-ROW('Product Master'!$A$7)+1)/(('Product Master'!$A$7:$A$1000&lt;&gt;"")*('Product Master'!$P$7:$P$1000="Low Stock")),ROWS($A$12:A583))),"")</f>
        <v/>
      </c>
      <c r="B583" t="str">
        <f>IF($A583="","",INDEX('Product Master'!$B$7:$B$1000,MATCH($A583,'Product Master'!$A$7:$A$1000,0)))</f>
        <v/>
      </c>
      <c r="C583" t="str">
        <f>IF($A583="","",INDEX('Product Master'!$C$7:$C$1000,MATCH($A583,'Product Master'!$A$7:$A$1000,0)))</f>
        <v/>
      </c>
      <c r="D583" t="str">
        <f>IF($A583="","",INDEX('Product Master'!$M$7:$M$1000,MATCH($A583,'Product Master'!$A$7:$A$1000,0)))</f>
        <v/>
      </c>
      <c r="E583" t="str">
        <f>IF($A583="","",INDEX('Product Master'!$N$7:$N$1000,MATCH($A583,'Product Master'!$A$7:$A$1000,0)))</f>
        <v/>
      </c>
      <c r="F583" t="str">
        <f>IF($A583="","",INDEX('Product Master'!$P$7:$P$1000,MATCH($A583,'Product Master'!$A$7:$A$1000,0)))</f>
        <v/>
      </c>
      <c r="I583" t="str">
        <f>IFERROR(INDEX('Product Master'!$A$7:$A$1000,_xlfn.AGGREGATE(15,6,(ROW('Product Master'!$A$7:$A$1000)-ROW('Product Master'!$A$7)+1)/(('Product Master'!$A$7:$A$1000&lt;&gt;"")*('Product Master'!$P$7:$P$1000="Out of Stock")),ROWS($I$12:I583))),"")</f>
        <v/>
      </c>
      <c r="J583" t="str">
        <f>IF($I583="","",INDEX('Product Master'!$B$7:$B$1000,MATCH($I583,'Product Master'!$A$7:$A$1000,0)))</f>
        <v/>
      </c>
      <c r="K583" t="str">
        <f>IF($I583="","",INDEX('Product Master'!$C$7:$C$1000,MATCH($I583,'Product Master'!$A$7:$A$1000,0)))</f>
        <v/>
      </c>
      <c r="L583" t="str">
        <f>IF($I583="","",INDEX('Product Master'!$M$7:$M$1000,MATCH($I583,'Product Master'!$A$7:$A$1000,0)))</f>
        <v/>
      </c>
      <c r="M583" t="str">
        <f>IF($I583="","",INDEX('Product Master'!$N$7:$N$1000,MATCH($I583,'Product Master'!$A$7:$A$1000,0)))</f>
        <v/>
      </c>
    </row>
    <row r="584" spans="1:13" x14ac:dyDescent="0.3">
      <c r="A584" t="str">
        <f>IFERROR(INDEX('Product Master'!$A$7:$A$1000,_xlfn.AGGREGATE(15,6,(ROW('Product Master'!$A$7:$A$1000)-ROW('Product Master'!$A$7)+1)/(('Product Master'!$A$7:$A$1000&lt;&gt;"")*('Product Master'!$P$7:$P$1000="Low Stock")),ROWS($A$12:A584))),"")</f>
        <v/>
      </c>
      <c r="B584" t="str">
        <f>IF($A584="","",INDEX('Product Master'!$B$7:$B$1000,MATCH($A584,'Product Master'!$A$7:$A$1000,0)))</f>
        <v/>
      </c>
      <c r="C584" t="str">
        <f>IF($A584="","",INDEX('Product Master'!$C$7:$C$1000,MATCH($A584,'Product Master'!$A$7:$A$1000,0)))</f>
        <v/>
      </c>
      <c r="D584" t="str">
        <f>IF($A584="","",INDEX('Product Master'!$M$7:$M$1000,MATCH($A584,'Product Master'!$A$7:$A$1000,0)))</f>
        <v/>
      </c>
      <c r="E584" t="str">
        <f>IF($A584="","",INDEX('Product Master'!$N$7:$N$1000,MATCH($A584,'Product Master'!$A$7:$A$1000,0)))</f>
        <v/>
      </c>
      <c r="F584" t="str">
        <f>IF($A584="","",INDEX('Product Master'!$P$7:$P$1000,MATCH($A584,'Product Master'!$A$7:$A$1000,0)))</f>
        <v/>
      </c>
      <c r="I584" t="str">
        <f>IFERROR(INDEX('Product Master'!$A$7:$A$1000,_xlfn.AGGREGATE(15,6,(ROW('Product Master'!$A$7:$A$1000)-ROW('Product Master'!$A$7)+1)/(('Product Master'!$A$7:$A$1000&lt;&gt;"")*('Product Master'!$P$7:$P$1000="Out of Stock")),ROWS($I$12:I584))),"")</f>
        <v/>
      </c>
      <c r="J584" t="str">
        <f>IF($I584="","",INDEX('Product Master'!$B$7:$B$1000,MATCH($I584,'Product Master'!$A$7:$A$1000,0)))</f>
        <v/>
      </c>
      <c r="K584" t="str">
        <f>IF($I584="","",INDEX('Product Master'!$C$7:$C$1000,MATCH($I584,'Product Master'!$A$7:$A$1000,0)))</f>
        <v/>
      </c>
      <c r="L584" t="str">
        <f>IF($I584="","",INDEX('Product Master'!$M$7:$M$1000,MATCH($I584,'Product Master'!$A$7:$A$1000,0)))</f>
        <v/>
      </c>
      <c r="M584" t="str">
        <f>IF($I584="","",INDEX('Product Master'!$N$7:$N$1000,MATCH($I584,'Product Master'!$A$7:$A$1000,0)))</f>
        <v/>
      </c>
    </row>
    <row r="585" spans="1:13" x14ac:dyDescent="0.3">
      <c r="A585" t="str">
        <f>IFERROR(INDEX('Product Master'!$A$7:$A$1000,_xlfn.AGGREGATE(15,6,(ROW('Product Master'!$A$7:$A$1000)-ROW('Product Master'!$A$7)+1)/(('Product Master'!$A$7:$A$1000&lt;&gt;"")*('Product Master'!$P$7:$P$1000="Low Stock")),ROWS($A$12:A585))),"")</f>
        <v/>
      </c>
      <c r="B585" t="str">
        <f>IF($A585="","",INDEX('Product Master'!$B$7:$B$1000,MATCH($A585,'Product Master'!$A$7:$A$1000,0)))</f>
        <v/>
      </c>
      <c r="C585" t="str">
        <f>IF($A585="","",INDEX('Product Master'!$C$7:$C$1000,MATCH($A585,'Product Master'!$A$7:$A$1000,0)))</f>
        <v/>
      </c>
      <c r="D585" t="str">
        <f>IF($A585="","",INDEX('Product Master'!$M$7:$M$1000,MATCH($A585,'Product Master'!$A$7:$A$1000,0)))</f>
        <v/>
      </c>
      <c r="E585" t="str">
        <f>IF($A585="","",INDEX('Product Master'!$N$7:$N$1000,MATCH($A585,'Product Master'!$A$7:$A$1000,0)))</f>
        <v/>
      </c>
      <c r="F585" t="str">
        <f>IF($A585="","",INDEX('Product Master'!$P$7:$P$1000,MATCH($A585,'Product Master'!$A$7:$A$1000,0)))</f>
        <v/>
      </c>
      <c r="I585" t="str">
        <f>IFERROR(INDEX('Product Master'!$A$7:$A$1000,_xlfn.AGGREGATE(15,6,(ROW('Product Master'!$A$7:$A$1000)-ROW('Product Master'!$A$7)+1)/(('Product Master'!$A$7:$A$1000&lt;&gt;"")*('Product Master'!$P$7:$P$1000="Out of Stock")),ROWS($I$12:I585))),"")</f>
        <v/>
      </c>
      <c r="J585" t="str">
        <f>IF($I585="","",INDEX('Product Master'!$B$7:$B$1000,MATCH($I585,'Product Master'!$A$7:$A$1000,0)))</f>
        <v/>
      </c>
      <c r="K585" t="str">
        <f>IF($I585="","",INDEX('Product Master'!$C$7:$C$1000,MATCH($I585,'Product Master'!$A$7:$A$1000,0)))</f>
        <v/>
      </c>
      <c r="L585" t="str">
        <f>IF($I585="","",INDEX('Product Master'!$M$7:$M$1000,MATCH($I585,'Product Master'!$A$7:$A$1000,0)))</f>
        <v/>
      </c>
      <c r="M585" t="str">
        <f>IF($I585="","",INDEX('Product Master'!$N$7:$N$1000,MATCH($I585,'Product Master'!$A$7:$A$1000,0)))</f>
        <v/>
      </c>
    </row>
    <row r="586" spans="1:13" x14ac:dyDescent="0.3">
      <c r="A586" t="str">
        <f>IFERROR(INDEX('Product Master'!$A$7:$A$1000,_xlfn.AGGREGATE(15,6,(ROW('Product Master'!$A$7:$A$1000)-ROW('Product Master'!$A$7)+1)/(('Product Master'!$A$7:$A$1000&lt;&gt;"")*('Product Master'!$P$7:$P$1000="Low Stock")),ROWS($A$12:A586))),"")</f>
        <v/>
      </c>
      <c r="B586" t="str">
        <f>IF($A586="","",INDEX('Product Master'!$B$7:$B$1000,MATCH($A586,'Product Master'!$A$7:$A$1000,0)))</f>
        <v/>
      </c>
      <c r="C586" t="str">
        <f>IF($A586="","",INDEX('Product Master'!$C$7:$C$1000,MATCH($A586,'Product Master'!$A$7:$A$1000,0)))</f>
        <v/>
      </c>
      <c r="D586" t="str">
        <f>IF($A586="","",INDEX('Product Master'!$M$7:$M$1000,MATCH($A586,'Product Master'!$A$7:$A$1000,0)))</f>
        <v/>
      </c>
      <c r="E586" t="str">
        <f>IF($A586="","",INDEX('Product Master'!$N$7:$N$1000,MATCH($A586,'Product Master'!$A$7:$A$1000,0)))</f>
        <v/>
      </c>
      <c r="F586" t="str">
        <f>IF($A586="","",INDEX('Product Master'!$P$7:$P$1000,MATCH($A586,'Product Master'!$A$7:$A$1000,0)))</f>
        <v/>
      </c>
      <c r="I586" t="str">
        <f>IFERROR(INDEX('Product Master'!$A$7:$A$1000,_xlfn.AGGREGATE(15,6,(ROW('Product Master'!$A$7:$A$1000)-ROW('Product Master'!$A$7)+1)/(('Product Master'!$A$7:$A$1000&lt;&gt;"")*('Product Master'!$P$7:$P$1000="Out of Stock")),ROWS($I$12:I586))),"")</f>
        <v/>
      </c>
      <c r="J586" t="str">
        <f>IF($I586="","",INDEX('Product Master'!$B$7:$B$1000,MATCH($I586,'Product Master'!$A$7:$A$1000,0)))</f>
        <v/>
      </c>
      <c r="K586" t="str">
        <f>IF($I586="","",INDEX('Product Master'!$C$7:$C$1000,MATCH($I586,'Product Master'!$A$7:$A$1000,0)))</f>
        <v/>
      </c>
      <c r="L586" t="str">
        <f>IF($I586="","",INDEX('Product Master'!$M$7:$M$1000,MATCH($I586,'Product Master'!$A$7:$A$1000,0)))</f>
        <v/>
      </c>
      <c r="M586" t="str">
        <f>IF($I586="","",INDEX('Product Master'!$N$7:$N$1000,MATCH($I586,'Product Master'!$A$7:$A$1000,0)))</f>
        <v/>
      </c>
    </row>
    <row r="587" spans="1:13" x14ac:dyDescent="0.3">
      <c r="A587" t="str">
        <f>IFERROR(INDEX('Product Master'!$A$7:$A$1000,_xlfn.AGGREGATE(15,6,(ROW('Product Master'!$A$7:$A$1000)-ROW('Product Master'!$A$7)+1)/(('Product Master'!$A$7:$A$1000&lt;&gt;"")*('Product Master'!$P$7:$P$1000="Low Stock")),ROWS($A$12:A587))),"")</f>
        <v/>
      </c>
      <c r="B587" t="str">
        <f>IF($A587="","",INDEX('Product Master'!$B$7:$B$1000,MATCH($A587,'Product Master'!$A$7:$A$1000,0)))</f>
        <v/>
      </c>
      <c r="C587" t="str">
        <f>IF($A587="","",INDEX('Product Master'!$C$7:$C$1000,MATCH($A587,'Product Master'!$A$7:$A$1000,0)))</f>
        <v/>
      </c>
      <c r="D587" t="str">
        <f>IF($A587="","",INDEX('Product Master'!$M$7:$M$1000,MATCH($A587,'Product Master'!$A$7:$A$1000,0)))</f>
        <v/>
      </c>
      <c r="E587" t="str">
        <f>IF($A587="","",INDEX('Product Master'!$N$7:$N$1000,MATCH($A587,'Product Master'!$A$7:$A$1000,0)))</f>
        <v/>
      </c>
      <c r="F587" t="str">
        <f>IF($A587="","",INDEX('Product Master'!$P$7:$P$1000,MATCH($A587,'Product Master'!$A$7:$A$1000,0)))</f>
        <v/>
      </c>
      <c r="I587" t="str">
        <f>IFERROR(INDEX('Product Master'!$A$7:$A$1000,_xlfn.AGGREGATE(15,6,(ROW('Product Master'!$A$7:$A$1000)-ROW('Product Master'!$A$7)+1)/(('Product Master'!$A$7:$A$1000&lt;&gt;"")*('Product Master'!$P$7:$P$1000="Out of Stock")),ROWS($I$12:I587))),"")</f>
        <v/>
      </c>
      <c r="J587" t="str">
        <f>IF($I587="","",INDEX('Product Master'!$B$7:$B$1000,MATCH($I587,'Product Master'!$A$7:$A$1000,0)))</f>
        <v/>
      </c>
      <c r="K587" t="str">
        <f>IF($I587="","",INDEX('Product Master'!$C$7:$C$1000,MATCH($I587,'Product Master'!$A$7:$A$1000,0)))</f>
        <v/>
      </c>
      <c r="L587" t="str">
        <f>IF($I587="","",INDEX('Product Master'!$M$7:$M$1000,MATCH($I587,'Product Master'!$A$7:$A$1000,0)))</f>
        <v/>
      </c>
      <c r="M587" t="str">
        <f>IF($I587="","",INDEX('Product Master'!$N$7:$N$1000,MATCH($I587,'Product Master'!$A$7:$A$1000,0)))</f>
        <v/>
      </c>
    </row>
    <row r="588" spans="1:13" x14ac:dyDescent="0.3">
      <c r="A588" t="str">
        <f>IFERROR(INDEX('Product Master'!$A$7:$A$1000,_xlfn.AGGREGATE(15,6,(ROW('Product Master'!$A$7:$A$1000)-ROW('Product Master'!$A$7)+1)/(('Product Master'!$A$7:$A$1000&lt;&gt;"")*('Product Master'!$P$7:$P$1000="Low Stock")),ROWS($A$12:A588))),"")</f>
        <v/>
      </c>
      <c r="B588" t="str">
        <f>IF($A588="","",INDEX('Product Master'!$B$7:$B$1000,MATCH($A588,'Product Master'!$A$7:$A$1000,0)))</f>
        <v/>
      </c>
      <c r="C588" t="str">
        <f>IF($A588="","",INDEX('Product Master'!$C$7:$C$1000,MATCH($A588,'Product Master'!$A$7:$A$1000,0)))</f>
        <v/>
      </c>
      <c r="D588" t="str">
        <f>IF($A588="","",INDEX('Product Master'!$M$7:$M$1000,MATCH($A588,'Product Master'!$A$7:$A$1000,0)))</f>
        <v/>
      </c>
      <c r="E588" t="str">
        <f>IF($A588="","",INDEX('Product Master'!$N$7:$N$1000,MATCH($A588,'Product Master'!$A$7:$A$1000,0)))</f>
        <v/>
      </c>
      <c r="F588" t="str">
        <f>IF($A588="","",INDEX('Product Master'!$P$7:$P$1000,MATCH($A588,'Product Master'!$A$7:$A$1000,0)))</f>
        <v/>
      </c>
      <c r="I588" t="str">
        <f>IFERROR(INDEX('Product Master'!$A$7:$A$1000,_xlfn.AGGREGATE(15,6,(ROW('Product Master'!$A$7:$A$1000)-ROW('Product Master'!$A$7)+1)/(('Product Master'!$A$7:$A$1000&lt;&gt;"")*('Product Master'!$P$7:$P$1000="Out of Stock")),ROWS($I$12:I588))),"")</f>
        <v/>
      </c>
      <c r="J588" t="str">
        <f>IF($I588="","",INDEX('Product Master'!$B$7:$B$1000,MATCH($I588,'Product Master'!$A$7:$A$1000,0)))</f>
        <v/>
      </c>
      <c r="K588" t="str">
        <f>IF($I588="","",INDEX('Product Master'!$C$7:$C$1000,MATCH($I588,'Product Master'!$A$7:$A$1000,0)))</f>
        <v/>
      </c>
      <c r="L588" t="str">
        <f>IF($I588="","",INDEX('Product Master'!$M$7:$M$1000,MATCH($I588,'Product Master'!$A$7:$A$1000,0)))</f>
        <v/>
      </c>
      <c r="M588" t="str">
        <f>IF($I588="","",INDEX('Product Master'!$N$7:$N$1000,MATCH($I588,'Product Master'!$A$7:$A$1000,0)))</f>
        <v/>
      </c>
    </row>
    <row r="589" spans="1:13" x14ac:dyDescent="0.3">
      <c r="A589" t="str">
        <f>IFERROR(INDEX('Product Master'!$A$7:$A$1000,_xlfn.AGGREGATE(15,6,(ROW('Product Master'!$A$7:$A$1000)-ROW('Product Master'!$A$7)+1)/(('Product Master'!$A$7:$A$1000&lt;&gt;"")*('Product Master'!$P$7:$P$1000="Low Stock")),ROWS($A$12:A589))),"")</f>
        <v/>
      </c>
      <c r="B589" t="str">
        <f>IF($A589="","",INDEX('Product Master'!$B$7:$B$1000,MATCH($A589,'Product Master'!$A$7:$A$1000,0)))</f>
        <v/>
      </c>
      <c r="C589" t="str">
        <f>IF($A589="","",INDEX('Product Master'!$C$7:$C$1000,MATCH($A589,'Product Master'!$A$7:$A$1000,0)))</f>
        <v/>
      </c>
      <c r="D589" t="str">
        <f>IF($A589="","",INDEX('Product Master'!$M$7:$M$1000,MATCH($A589,'Product Master'!$A$7:$A$1000,0)))</f>
        <v/>
      </c>
      <c r="E589" t="str">
        <f>IF($A589="","",INDEX('Product Master'!$N$7:$N$1000,MATCH($A589,'Product Master'!$A$7:$A$1000,0)))</f>
        <v/>
      </c>
      <c r="F589" t="str">
        <f>IF($A589="","",INDEX('Product Master'!$P$7:$P$1000,MATCH($A589,'Product Master'!$A$7:$A$1000,0)))</f>
        <v/>
      </c>
      <c r="I589" t="str">
        <f>IFERROR(INDEX('Product Master'!$A$7:$A$1000,_xlfn.AGGREGATE(15,6,(ROW('Product Master'!$A$7:$A$1000)-ROW('Product Master'!$A$7)+1)/(('Product Master'!$A$7:$A$1000&lt;&gt;"")*('Product Master'!$P$7:$P$1000="Out of Stock")),ROWS($I$12:I589))),"")</f>
        <v/>
      </c>
      <c r="J589" t="str">
        <f>IF($I589="","",INDEX('Product Master'!$B$7:$B$1000,MATCH($I589,'Product Master'!$A$7:$A$1000,0)))</f>
        <v/>
      </c>
      <c r="K589" t="str">
        <f>IF($I589="","",INDEX('Product Master'!$C$7:$C$1000,MATCH($I589,'Product Master'!$A$7:$A$1000,0)))</f>
        <v/>
      </c>
      <c r="L589" t="str">
        <f>IF($I589="","",INDEX('Product Master'!$M$7:$M$1000,MATCH($I589,'Product Master'!$A$7:$A$1000,0)))</f>
        <v/>
      </c>
      <c r="M589" t="str">
        <f>IF($I589="","",INDEX('Product Master'!$N$7:$N$1000,MATCH($I589,'Product Master'!$A$7:$A$1000,0)))</f>
        <v/>
      </c>
    </row>
    <row r="590" spans="1:13" x14ac:dyDescent="0.3">
      <c r="A590" t="str">
        <f>IFERROR(INDEX('Product Master'!$A$7:$A$1000,_xlfn.AGGREGATE(15,6,(ROW('Product Master'!$A$7:$A$1000)-ROW('Product Master'!$A$7)+1)/(('Product Master'!$A$7:$A$1000&lt;&gt;"")*('Product Master'!$P$7:$P$1000="Low Stock")),ROWS($A$12:A590))),"")</f>
        <v/>
      </c>
      <c r="B590" t="str">
        <f>IF($A590="","",INDEX('Product Master'!$B$7:$B$1000,MATCH($A590,'Product Master'!$A$7:$A$1000,0)))</f>
        <v/>
      </c>
      <c r="C590" t="str">
        <f>IF($A590="","",INDEX('Product Master'!$C$7:$C$1000,MATCH($A590,'Product Master'!$A$7:$A$1000,0)))</f>
        <v/>
      </c>
      <c r="D590" t="str">
        <f>IF($A590="","",INDEX('Product Master'!$M$7:$M$1000,MATCH($A590,'Product Master'!$A$7:$A$1000,0)))</f>
        <v/>
      </c>
      <c r="E590" t="str">
        <f>IF($A590="","",INDEX('Product Master'!$N$7:$N$1000,MATCH($A590,'Product Master'!$A$7:$A$1000,0)))</f>
        <v/>
      </c>
      <c r="F590" t="str">
        <f>IF($A590="","",INDEX('Product Master'!$P$7:$P$1000,MATCH($A590,'Product Master'!$A$7:$A$1000,0)))</f>
        <v/>
      </c>
      <c r="I590" t="str">
        <f>IFERROR(INDEX('Product Master'!$A$7:$A$1000,_xlfn.AGGREGATE(15,6,(ROW('Product Master'!$A$7:$A$1000)-ROW('Product Master'!$A$7)+1)/(('Product Master'!$A$7:$A$1000&lt;&gt;"")*('Product Master'!$P$7:$P$1000="Out of Stock")),ROWS($I$12:I590))),"")</f>
        <v/>
      </c>
      <c r="J590" t="str">
        <f>IF($I590="","",INDEX('Product Master'!$B$7:$B$1000,MATCH($I590,'Product Master'!$A$7:$A$1000,0)))</f>
        <v/>
      </c>
      <c r="K590" t="str">
        <f>IF($I590="","",INDEX('Product Master'!$C$7:$C$1000,MATCH($I590,'Product Master'!$A$7:$A$1000,0)))</f>
        <v/>
      </c>
      <c r="L590" t="str">
        <f>IF($I590="","",INDEX('Product Master'!$M$7:$M$1000,MATCH($I590,'Product Master'!$A$7:$A$1000,0)))</f>
        <v/>
      </c>
      <c r="M590" t="str">
        <f>IF($I590="","",INDEX('Product Master'!$N$7:$N$1000,MATCH($I590,'Product Master'!$A$7:$A$1000,0)))</f>
        <v/>
      </c>
    </row>
    <row r="591" spans="1:13" x14ac:dyDescent="0.3">
      <c r="A591" t="str">
        <f>IFERROR(INDEX('Product Master'!$A$7:$A$1000,_xlfn.AGGREGATE(15,6,(ROW('Product Master'!$A$7:$A$1000)-ROW('Product Master'!$A$7)+1)/(('Product Master'!$A$7:$A$1000&lt;&gt;"")*('Product Master'!$P$7:$P$1000="Low Stock")),ROWS($A$12:A591))),"")</f>
        <v/>
      </c>
      <c r="B591" t="str">
        <f>IF($A591="","",INDEX('Product Master'!$B$7:$B$1000,MATCH($A591,'Product Master'!$A$7:$A$1000,0)))</f>
        <v/>
      </c>
      <c r="C591" t="str">
        <f>IF($A591="","",INDEX('Product Master'!$C$7:$C$1000,MATCH($A591,'Product Master'!$A$7:$A$1000,0)))</f>
        <v/>
      </c>
      <c r="D591" t="str">
        <f>IF($A591="","",INDEX('Product Master'!$M$7:$M$1000,MATCH($A591,'Product Master'!$A$7:$A$1000,0)))</f>
        <v/>
      </c>
      <c r="E591" t="str">
        <f>IF($A591="","",INDEX('Product Master'!$N$7:$N$1000,MATCH($A591,'Product Master'!$A$7:$A$1000,0)))</f>
        <v/>
      </c>
      <c r="F591" t="str">
        <f>IF($A591="","",INDEX('Product Master'!$P$7:$P$1000,MATCH($A591,'Product Master'!$A$7:$A$1000,0)))</f>
        <v/>
      </c>
      <c r="I591" t="str">
        <f>IFERROR(INDEX('Product Master'!$A$7:$A$1000,_xlfn.AGGREGATE(15,6,(ROW('Product Master'!$A$7:$A$1000)-ROW('Product Master'!$A$7)+1)/(('Product Master'!$A$7:$A$1000&lt;&gt;"")*('Product Master'!$P$7:$P$1000="Out of Stock")),ROWS($I$12:I591))),"")</f>
        <v/>
      </c>
      <c r="J591" t="str">
        <f>IF($I591="","",INDEX('Product Master'!$B$7:$B$1000,MATCH($I591,'Product Master'!$A$7:$A$1000,0)))</f>
        <v/>
      </c>
      <c r="K591" t="str">
        <f>IF($I591="","",INDEX('Product Master'!$C$7:$C$1000,MATCH($I591,'Product Master'!$A$7:$A$1000,0)))</f>
        <v/>
      </c>
      <c r="L591" t="str">
        <f>IF($I591="","",INDEX('Product Master'!$M$7:$M$1000,MATCH($I591,'Product Master'!$A$7:$A$1000,0)))</f>
        <v/>
      </c>
      <c r="M591" t="str">
        <f>IF($I591="","",INDEX('Product Master'!$N$7:$N$1000,MATCH($I591,'Product Master'!$A$7:$A$1000,0)))</f>
        <v/>
      </c>
    </row>
    <row r="592" spans="1:13" x14ac:dyDescent="0.3">
      <c r="A592" t="str">
        <f>IFERROR(INDEX('Product Master'!$A$7:$A$1000,_xlfn.AGGREGATE(15,6,(ROW('Product Master'!$A$7:$A$1000)-ROW('Product Master'!$A$7)+1)/(('Product Master'!$A$7:$A$1000&lt;&gt;"")*('Product Master'!$P$7:$P$1000="Low Stock")),ROWS($A$12:A592))),"")</f>
        <v/>
      </c>
      <c r="B592" t="str">
        <f>IF($A592="","",INDEX('Product Master'!$B$7:$B$1000,MATCH($A592,'Product Master'!$A$7:$A$1000,0)))</f>
        <v/>
      </c>
      <c r="C592" t="str">
        <f>IF($A592="","",INDEX('Product Master'!$C$7:$C$1000,MATCH($A592,'Product Master'!$A$7:$A$1000,0)))</f>
        <v/>
      </c>
      <c r="D592" t="str">
        <f>IF($A592="","",INDEX('Product Master'!$M$7:$M$1000,MATCH($A592,'Product Master'!$A$7:$A$1000,0)))</f>
        <v/>
      </c>
      <c r="E592" t="str">
        <f>IF($A592="","",INDEX('Product Master'!$N$7:$N$1000,MATCH($A592,'Product Master'!$A$7:$A$1000,0)))</f>
        <v/>
      </c>
      <c r="F592" t="str">
        <f>IF($A592="","",INDEX('Product Master'!$P$7:$P$1000,MATCH($A592,'Product Master'!$A$7:$A$1000,0)))</f>
        <v/>
      </c>
      <c r="I592" t="str">
        <f>IFERROR(INDEX('Product Master'!$A$7:$A$1000,_xlfn.AGGREGATE(15,6,(ROW('Product Master'!$A$7:$A$1000)-ROW('Product Master'!$A$7)+1)/(('Product Master'!$A$7:$A$1000&lt;&gt;"")*('Product Master'!$P$7:$P$1000="Out of Stock")),ROWS($I$12:I592))),"")</f>
        <v/>
      </c>
      <c r="J592" t="str">
        <f>IF($I592="","",INDEX('Product Master'!$B$7:$B$1000,MATCH($I592,'Product Master'!$A$7:$A$1000,0)))</f>
        <v/>
      </c>
      <c r="K592" t="str">
        <f>IF($I592="","",INDEX('Product Master'!$C$7:$C$1000,MATCH($I592,'Product Master'!$A$7:$A$1000,0)))</f>
        <v/>
      </c>
      <c r="L592" t="str">
        <f>IF($I592="","",INDEX('Product Master'!$M$7:$M$1000,MATCH($I592,'Product Master'!$A$7:$A$1000,0)))</f>
        <v/>
      </c>
      <c r="M592" t="str">
        <f>IF($I592="","",INDEX('Product Master'!$N$7:$N$1000,MATCH($I592,'Product Master'!$A$7:$A$1000,0)))</f>
        <v/>
      </c>
    </row>
    <row r="593" spans="1:13" x14ac:dyDescent="0.3">
      <c r="A593" t="str">
        <f>IFERROR(INDEX('Product Master'!$A$7:$A$1000,_xlfn.AGGREGATE(15,6,(ROW('Product Master'!$A$7:$A$1000)-ROW('Product Master'!$A$7)+1)/(('Product Master'!$A$7:$A$1000&lt;&gt;"")*('Product Master'!$P$7:$P$1000="Low Stock")),ROWS($A$12:A593))),"")</f>
        <v/>
      </c>
      <c r="B593" t="str">
        <f>IF($A593="","",INDEX('Product Master'!$B$7:$B$1000,MATCH($A593,'Product Master'!$A$7:$A$1000,0)))</f>
        <v/>
      </c>
      <c r="C593" t="str">
        <f>IF($A593="","",INDEX('Product Master'!$C$7:$C$1000,MATCH($A593,'Product Master'!$A$7:$A$1000,0)))</f>
        <v/>
      </c>
      <c r="D593" t="str">
        <f>IF($A593="","",INDEX('Product Master'!$M$7:$M$1000,MATCH($A593,'Product Master'!$A$7:$A$1000,0)))</f>
        <v/>
      </c>
      <c r="E593" t="str">
        <f>IF($A593="","",INDEX('Product Master'!$N$7:$N$1000,MATCH($A593,'Product Master'!$A$7:$A$1000,0)))</f>
        <v/>
      </c>
      <c r="F593" t="str">
        <f>IF($A593="","",INDEX('Product Master'!$P$7:$P$1000,MATCH($A593,'Product Master'!$A$7:$A$1000,0)))</f>
        <v/>
      </c>
      <c r="I593" t="str">
        <f>IFERROR(INDEX('Product Master'!$A$7:$A$1000,_xlfn.AGGREGATE(15,6,(ROW('Product Master'!$A$7:$A$1000)-ROW('Product Master'!$A$7)+1)/(('Product Master'!$A$7:$A$1000&lt;&gt;"")*('Product Master'!$P$7:$P$1000="Out of Stock")),ROWS($I$12:I593))),"")</f>
        <v/>
      </c>
      <c r="J593" t="str">
        <f>IF($I593="","",INDEX('Product Master'!$B$7:$B$1000,MATCH($I593,'Product Master'!$A$7:$A$1000,0)))</f>
        <v/>
      </c>
      <c r="K593" t="str">
        <f>IF($I593="","",INDEX('Product Master'!$C$7:$C$1000,MATCH($I593,'Product Master'!$A$7:$A$1000,0)))</f>
        <v/>
      </c>
      <c r="L593" t="str">
        <f>IF($I593="","",INDEX('Product Master'!$M$7:$M$1000,MATCH($I593,'Product Master'!$A$7:$A$1000,0)))</f>
        <v/>
      </c>
      <c r="M593" t="str">
        <f>IF($I593="","",INDEX('Product Master'!$N$7:$N$1000,MATCH($I593,'Product Master'!$A$7:$A$1000,0)))</f>
        <v/>
      </c>
    </row>
    <row r="594" spans="1:13" x14ac:dyDescent="0.3">
      <c r="A594" t="str">
        <f>IFERROR(INDEX('Product Master'!$A$7:$A$1000,_xlfn.AGGREGATE(15,6,(ROW('Product Master'!$A$7:$A$1000)-ROW('Product Master'!$A$7)+1)/(('Product Master'!$A$7:$A$1000&lt;&gt;"")*('Product Master'!$P$7:$P$1000="Low Stock")),ROWS($A$12:A594))),"")</f>
        <v/>
      </c>
      <c r="B594" t="str">
        <f>IF($A594="","",INDEX('Product Master'!$B$7:$B$1000,MATCH($A594,'Product Master'!$A$7:$A$1000,0)))</f>
        <v/>
      </c>
      <c r="C594" t="str">
        <f>IF($A594="","",INDEX('Product Master'!$C$7:$C$1000,MATCH($A594,'Product Master'!$A$7:$A$1000,0)))</f>
        <v/>
      </c>
      <c r="D594" t="str">
        <f>IF($A594="","",INDEX('Product Master'!$M$7:$M$1000,MATCH($A594,'Product Master'!$A$7:$A$1000,0)))</f>
        <v/>
      </c>
      <c r="E594" t="str">
        <f>IF($A594="","",INDEX('Product Master'!$N$7:$N$1000,MATCH($A594,'Product Master'!$A$7:$A$1000,0)))</f>
        <v/>
      </c>
      <c r="F594" t="str">
        <f>IF($A594="","",INDEX('Product Master'!$P$7:$P$1000,MATCH($A594,'Product Master'!$A$7:$A$1000,0)))</f>
        <v/>
      </c>
      <c r="I594" t="str">
        <f>IFERROR(INDEX('Product Master'!$A$7:$A$1000,_xlfn.AGGREGATE(15,6,(ROW('Product Master'!$A$7:$A$1000)-ROW('Product Master'!$A$7)+1)/(('Product Master'!$A$7:$A$1000&lt;&gt;"")*('Product Master'!$P$7:$P$1000="Out of Stock")),ROWS($I$12:I594))),"")</f>
        <v/>
      </c>
      <c r="J594" t="str">
        <f>IF($I594="","",INDEX('Product Master'!$B$7:$B$1000,MATCH($I594,'Product Master'!$A$7:$A$1000,0)))</f>
        <v/>
      </c>
      <c r="K594" t="str">
        <f>IF($I594="","",INDEX('Product Master'!$C$7:$C$1000,MATCH($I594,'Product Master'!$A$7:$A$1000,0)))</f>
        <v/>
      </c>
      <c r="L594" t="str">
        <f>IF($I594="","",INDEX('Product Master'!$M$7:$M$1000,MATCH($I594,'Product Master'!$A$7:$A$1000,0)))</f>
        <v/>
      </c>
      <c r="M594" t="str">
        <f>IF($I594="","",INDEX('Product Master'!$N$7:$N$1000,MATCH($I594,'Product Master'!$A$7:$A$1000,0)))</f>
        <v/>
      </c>
    </row>
    <row r="595" spans="1:13" x14ac:dyDescent="0.3">
      <c r="A595" t="str">
        <f>IFERROR(INDEX('Product Master'!$A$7:$A$1000,_xlfn.AGGREGATE(15,6,(ROW('Product Master'!$A$7:$A$1000)-ROW('Product Master'!$A$7)+1)/(('Product Master'!$A$7:$A$1000&lt;&gt;"")*('Product Master'!$P$7:$P$1000="Low Stock")),ROWS($A$12:A595))),"")</f>
        <v/>
      </c>
      <c r="B595" t="str">
        <f>IF($A595="","",INDEX('Product Master'!$B$7:$B$1000,MATCH($A595,'Product Master'!$A$7:$A$1000,0)))</f>
        <v/>
      </c>
      <c r="C595" t="str">
        <f>IF($A595="","",INDEX('Product Master'!$C$7:$C$1000,MATCH($A595,'Product Master'!$A$7:$A$1000,0)))</f>
        <v/>
      </c>
      <c r="D595" t="str">
        <f>IF($A595="","",INDEX('Product Master'!$M$7:$M$1000,MATCH($A595,'Product Master'!$A$7:$A$1000,0)))</f>
        <v/>
      </c>
      <c r="E595" t="str">
        <f>IF($A595="","",INDEX('Product Master'!$N$7:$N$1000,MATCH($A595,'Product Master'!$A$7:$A$1000,0)))</f>
        <v/>
      </c>
      <c r="F595" t="str">
        <f>IF($A595="","",INDEX('Product Master'!$P$7:$P$1000,MATCH($A595,'Product Master'!$A$7:$A$1000,0)))</f>
        <v/>
      </c>
      <c r="I595" t="str">
        <f>IFERROR(INDEX('Product Master'!$A$7:$A$1000,_xlfn.AGGREGATE(15,6,(ROW('Product Master'!$A$7:$A$1000)-ROW('Product Master'!$A$7)+1)/(('Product Master'!$A$7:$A$1000&lt;&gt;"")*('Product Master'!$P$7:$P$1000="Out of Stock")),ROWS($I$12:I595))),"")</f>
        <v/>
      </c>
      <c r="J595" t="str">
        <f>IF($I595="","",INDEX('Product Master'!$B$7:$B$1000,MATCH($I595,'Product Master'!$A$7:$A$1000,0)))</f>
        <v/>
      </c>
      <c r="K595" t="str">
        <f>IF($I595="","",INDEX('Product Master'!$C$7:$C$1000,MATCH($I595,'Product Master'!$A$7:$A$1000,0)))</f>
        <v/>
      </c>
      <c r="L595" t="str">
        <f>IF($I595="","",INDEX('Product Master'!$M$7:$M$1000,MATCH($I595,'Product Master'!$A$7:$A$1000,0)))</f>
        <v/>
      </c>
      <c r="M595" t="str">
        <f>IF($I595="","",INDEX('Product Master'!$N$7:$N$1000,MATCH($I595,'Product Master'!$A$7:$A$1000,0)))</f>
        <v/>
      </c>
    </row>
    <row r="596" spans="1:13" x14ac:dyDescent="0.3">
      <c r="A596" t="str">
        <f>IFERROR(INDEX('Product Master'!$A$7:$A$1000,_xlfn.AGGREGATE(15,6,(ROW('Product Master'!$A$7:$A$1000)-ROW('Product Master'!$A$7)+1)/(('Product Master'!$A$7:$A$1000&lt;&gt;"")*('Product Master'!$P$7:$P$1000="Low Stock")),ROWS($A$12:A596))),"")</f>
        <v/>
      </c>
      <c r="B596" t="str">
        <f>IF($A596="","",INDEX('Product Master'!$B$7:$B$1000,MATCH($A596,'Product Master'!$A$7:$A$1000,0)))</f>
        <v/>
      </c>
      <c r="C596" t="str">
        <f>IF($A596="","",INDEX('Product Master'!$C$7:$C$1000,MATCH($A596,'Product Master'!$A$7:$A$1000,0)))</f>
        <v/>
      </c>
      <c r="D596" t="str">
        <f>IF($A596="","",INDEX('Product Master'!$M$7:$M$1000,MATCH($A596,'Product Master'!$A$7:$A$1000,0)))</f>
        <v/>
      </c>
      <c r="E596" t="str">
        <f>IF($A596="","",INDEX('Product Master'!$N$7:$N$1000,MATCH($A596,'Product Master'!$A$7:$A$1000,0)))</f>
        <v/>
      </c>
      <c r="F596" t="str">
        <f>IF($A596="","",INDEX('Product Master'!$P$7:$P$1000,MATCH($A596,'Product Master'!$A$7:$A$1000,0)))</f>
        <v/>
      </c>
      <c r="I596" t="str">
        <f>IFERROR(INDEX('Product Master'!$A$7:$A$1000,_xlfn.AGGREGATE(15,6,(ROW('Product Master'!$A$7:$A$1000)-ROW('Product Master'!$A$7)+1)/(('Product Master'!$A$7:$A$1000&lt;&gt;"")*('Product Master'!$P$7:$P$1000="Out of Stock")),ROWS($I$12:I596))),"")</f>
        <v/>
      </c>
      <c r="J596" t="str">
        <f>IF($I596="","",INDEX('Product Master'!$B$7:$B$1000,MATCH($I596,'Product Master'!$A$7:$A$1000,0)))</f>
        <v/>
      </c>
      <c r="K596" t="str">
        <f>IF($I596="","",INDEX('Product Master'!$C$7:$C$1000,MATCH($I596,'Product Master'!$A$7:$A$1000,0)))</f>
        <v/>
      </c>
      <c r="L596" t="str">
        <f>IF($I596="","",INDEX('Product Master'!$M$7:$M$1000,MATCH($I596,'Product Master'!$A$7:$A$1000,0)))</f>
        <v/>
      </c>
      <c r="M596" t="str">
        <f>IF($I596="","",INDEX('Product Master'!$N$7:$N$1000,MATCH($I596,'Product Master'!$A$7:$A$1000,0)))</f>
        <v/>
      </c>
    </row>
    <row r="597" spans="1:13" x14ac:dyDescent="0.3">
      <c r="A597" t="str">
        <f>IFERROR(INDEX('Product Master'!$A$7:$A$1000,_xlfn.AGGREGATE(15,6,(ROW('Product Master'!$A$7:$A$1000)-ROW('Product Master'!$A$7)+1)/(('Product Master'!$A$7:$A$1000&lt;&gt;"")*('Product Master'!$P$7:$P$1000="Low Stock")),ROWS($A$12:A597))),"")</f>
        <v/>
      </c>
      <c r="B597" t="str">
        <f>IF($A597="","",INDEX('Product Master'!$B$7:$B$1000,MATCH($A597,'Product Master'!$A$7:$A$1000,0)))</f>
        <v/>
      </c>
      <c r="C597" t="str">
        <f>IF($A597="","",INDEX('Product Master'!$C$7:$C$1000,MATCH($A597,'Product Master'!$A$7:$A$1000,0)))</f>
        <v/>
      </c>
      <c r="D597" t="str">
        <f>IF($A597="","",INDEX('Product Master'!$M$7:$M$1000,MATCH($A597,'Product Master'!$A$7:$A$1000,0)))</f>
        <v/>
      </c>
      <c r="E597" t="str">
        <f>IF($A597="","",INDEX('Product Master'!$N$7:$N$1000,MATCH($A597,'Product Master'!$A$7:$A$1000,0)))</f>
        <v/>
      </c>
      <c r="F597" t="str">
        <f>IF($A597="","",INDEX('Product Master'!$P$7:$P$1000,MATCH($A597,'Product Master'!$A$7:$A$1000,0)))</f>
        <v/>
      </c>
      <c r="I597" t="str">
        <f>IFERROR(INDEX('Product Master'!$A$7:$A$1000,_xlfn.AGGREGATE(15,6,(ROW('Product Master'!$A$7:$A$1000)-ROW('Product Master'!$A$7)+1)/(('Product Master'!$A$7:$A$1000&lt;&gt;"")*('Product Master'!$P$7:$P$1000="Out of Stock")),ROWS($I$12:I597))),"")</f>
        <v/>
      </c>
      <c r="J597" t="str">
        <f>IF($I597="","",INDEX('Product Master'!$B$7:$B$1000,MATCH($I597,'Product Master'!$A$7:$A$1000,0)))</f>
        <v/>
      </c>
      <c r="K597" t="str">
        <f>IF($I597="","",INDEX('Product Master'!$C$7:$C$1000,MATCH($I597,'Product Master'!$A$7:$A$1000,0)))</f>
        <v/>
      </c>
      <c r="L597" t="str">
        <f>IF($I597="","",INDEX('Product Master'!$M$7:$M$1000,MATCH($I597,'Product Master'!$A$7:$A$1000,0)))</f>
        <v/>
      </c>
      <c r="M597" t="str">
        <f>IF($I597="","",INDEX('Product Master'!$N$7:$N$1000,MATCH($I597,'Product Master'!$A$7:$A$1000,0)))</f>
        <v/>
      </c>
    </row>
    <row r="598" spans="1:13" x14ac:dyDescent="0.3">
      <c r="A598" t="str">
        <f>IFERROR(INDEX('Product Master'!$A$7:$A$1000,_xlfn.AGGREGATE(15,6,(ROW('Product Master'!$A$7:$A$1000)-ROW('Product Master'!$A$7)+1)/(('Product Master'!$A$7:$A$1000&lt;&gt;"")*('Product Master'!$P$7:$P$1000="Low Stock")),ROWS($A$12:A598))),"")</f>
        <v/>
      </c>
      <c r="B598" t="str">
        <f>IF($A598="","",INDEX('Product Master'!$B$7:$B$1000,MATCH($A598,'Product Master'!$A$7:$A$1000,0)))</f>
        <v/>
      </c>
      <c r="C598" t="str">
        <f>IF($A598="","",INDEX('Product Master'!$C$7:$C$1000,MATCH($A598,'Product Master'!$A$7:$A$1000,0)))</f>
        <v/>
      </c>
      <c r="D598" t="str">
        <f>IF($A598="","",INDEX('Product Master'!$M$7:$M$1000,MATCH($A598,'Product Master'!$A$7:$A$1000,0)))</f>
        <v/>
      </c>
      <c r="E598" t="str">
        <f>IF($A598="","",INDEX('Product Master'!$N$7:$N$1000,MATCH($A598,'Product Master'!$A$7:$A$1000,0)))</f>
        <v/>
      </c>
      <c r="F598" t="str">
        <f>IF($A598="","",INDEX('Product Master'!$P$7:$P$1000,MATCH($A598,'Product Master'!$A$7:$A$1000,0)))</f>
        <v/>
      </c>
      <c r="I598" t="str">
        <f>IFERROR(INDEX('Product Master'!$A$7:$A$1000,_xlfn.AGGREGATE(15,6,(ROW('Product Master'!$A$7:$A$1000)-ROW('Product Master'!$A$7)+1)/(('Product Master'!$A$7:$A$1000&lt;&gt;"")*('Product Master'!$P$7:$P$1000="Out of Stock")),ROWS($I$12:I598))),"")</f>
        <v/>
      </c>
      <c r="J598" t="str">
        <f>IF($I598="","",INDEX('Product Master'!$B$7:$B$1000,MATCH($I598,'Product Master'!$A$7:$A$1000,0)))</f>
        <v/>
      </c>
      <c r="K598" t="str">
        <f>IF($I598="","",INDEX('Product Master'!$C$7:$C$1000,MATCH($I598,'Product Master'!$A$7:$A$1000,0)))</f>
        <v/>
      </c>
      <c r="L598" t="str">
        <f>IF($I598="","",INDEX('Product Master'!$M$7:$M$1000,MATCH($I598,'Product Master'!$A$7:$A$1000,0)))</f>
        <v/>
      </c>
      <c r="M598" t="str">
        <f>IF($I598="","",INDEX('Product Master'!$N$7:$N$1000,MATCH($I598,'Product Master'!$A$7:$A$1000,0)))</f>
        <v/>
      </c>
    </row>
    <row r="599" spans="1:13" x14ac:dyDescent="0.3">
      <c r="A599" t="str">
        <f>IFERROR(INDEX('Product Master'!$A$7:$A$1000,_xlfn.AGGREGATE(15,6,(ROW('Product Master'!$A$7:$A$1000)-ROW('Product Master'!$A$7)+1)/(('Product Master'!$A$7:$A$1000&lt;&gt;"")*('Product Master'!$P$7:$P$1000="Low Stock")),ROWS($A$12:A599))),"")</f>
        <v/>
      </c>
      <c r="B599" t="str">
        <f>IF($A599="","",INDEX('Product Master'!$B$7:$B$1000,MATCH($A599,'Product Master'!$A$7:$A$1000,0)))</f>
        <v/>
      </c>
      <c r="C599" t="str">
        <f>IF($A599="","",INDEX('Product Master'!$C$7:$C$1000,MATCH($A599,'Product Master'!$A$7:$A$1000,0)))</f>
        <v/>
      </c>
      <c r="D599" t="str">
        <f>IF($A599="","",INDEX('Product Master'!$M$7:$M$1000,MATCH($A599,'Product Master'!$A$7:$A$1000,0)))</f>
        <v/>
      </c>
      <c r="E599" t="str">
        <f>IF($A599="","",INDEX('Product Master'!$N$7:$N$1000,MATCH($A599,'Product Master'!$A$7:$A$1000,0)))</f>
        <v/>
      </c>
      <c r="F599" t="str">
        <f>IF($A599="","",INDEX('Product Master'!$P$7:$P$1000,MATCH($A599,'Product Master'!$A$7:$A$1000,0)))</f>
        <v/>
      </c>
      <c r="I599" t="str">
        <f>IFERROR(INDEX('Product Master'!$A$7:$A$1000,_xlfn.AGGREGATE(15,6,(ROW('Product Master'!$A$7:$A$1000)-ROW('Product Master'!$A$7)+1)/(('Product Master'!$A$7:$A$1000&lt;&gt;"")*('Product Master'!$P$7:$P$1000="Out of Stock")),ROWS($I$12:I599))),"")</f>
        <v/>
      </c>
      <c r="J599" t="str">
        <f>IF($I599="","",INDEX('Product Master'!$B$7:$B$1000,MATCH($I599,'Product Master'!$A$7:$A$1000,0)))</f>
        <v/>
      </c>
      <c r="K599" t="str">
        <f>IF($I599="","",INDEX('Product Master'!$C$7:$C$1000,MATCH($I599,'Product Master'!$A$7:$A$1000,0)))</f>
        <v/>
      </c>
      <c r="L599" t="str">
        <f>IF($I599="","",INDEX('Product Master'!$M$7:$M$1000,MATCH($I599,'Product Master'!$A$7:$A$1000,0)))</f>
        <v/>
      </c>
      <c r="M599" t="str">
        <f>IF($I599="","",INDEX('Product Master'!$N$7:$N$1000,MATCH($I599,'Product Master'!$A$7:$A$1000,0)))</f>
        <v/>
      </c>
    </row>
    <row r="600" spans="1:13" x14ac:dyDescent="0.3">
      <c r="A600" t="str">
        <f>IFERROR(INDEX('Product Master'!$A$7:$A$1000,_xlfn.AGGREGATE(15,6,(ROW('Product Master'!$A$7:$A$1000)-ROW('Product Master'!$A$7)+1)/(('Product Master'!$A$7:$A$1000&lt;&gt;"")*('Product Master'!$P$7:$P$1000="Low Stock")),ROWS($A$12:A600))),"")</f>
        <v/>
      </c>
      <c r="B600" t="str">
        <f>IF($A600="","",INDEX('Product Master'!$B$7:$B$1000,MATCH($A600,'Product Master'!$A$7:$A$1000,0)))</f>
        <v/>
      </c>
      <c r="C600" t="str">
        <f>IF($A600="","",INDEX('Product Master'!$C$7:$C$1000,MATCH($A600,'Product Master'!$A$7:$A$1000,0)))</f>
        <v/>
      </c>
      <c r="D600" t="str">
        <f>IF($A600="","",INDEX('Product Master'!$M$7:$M$1000,MATCH($A600,'Product Master'!$A$7:$A$1000,0)))</f>
        <v/>
      </c>
      <c r="E600" t="str">
        <f>IF($A600="","",INDEX('Product Master'!$N$7:$N$1000,MATCH($A600,'Product Master'!$A$7:$A$1000,0)))</f>
        <v/>
      </c>
      <c r="F600" t="str">
        <f>IF($A600="","",INDEX('Product Master'!$P$7:$P$1000,MATCH($A600,'Product Master'!$A$7:$A$1000,0)))</f>
        <v/>
      </c>
      <c r="I600" t="str">
        <f>IFERROR(INDEX('Product Master'!$A$7:$A$1000,_xlfn.AGGREGATE(15,6,(ROW('Product Master'!$A$7:$A$1000)-ROW('Product Master'!$A$7)+1)/(('Product Master'!$A$7:$A$1000&lt;&gt;"")*('Product Master'!$P$7:$P$1000="Out of Stock")),ROWS($I$12:I600))),"")</f>
        <v/>
      </c>
      <c r="J600" t="str">
        <f>IF($I600="","",INDEX('Product Master'!$B$7:$B$1000,MATCH($I600,'Product Master'!$A$7:$A$1000,0)))</f>
        <v/>
      </c>
      <c r="K600" t="str">
        <f>IF($I600="","",INDEX('Product Master'!$C$7:$C$1000,MATCH($I600,'Product Master'!$A$7:$A$1000,0)))</f>
        <v/>
      </c>
      <c r="L600" t="str">
        <f>IF($I600="","",INDEX('Product Master'!$M$7:$M$1000,MATCH($I600,'Product Master'!$A$7:$A$1000,0)))</f>
        <v/>
      </c>
      <c r="M600" t="str">
        <f>IF($I600="","",INDEX('Product Master'!$N$7:$N$1000,MATCH($I600,'Product Master'!$A$7:$A$1000,0)))</f>
        <v/>
      </c>
    </row>
    <row r="601" spans="1:13" x14ac:dyDescent="0.3">
      <c r="A601" t="str">
        <f>IFERROR(INDEX('Product Master'!$A$7:$A$1000,_xlfn.AGGREGATE(15,6,(ROW('Product Master'!$A$7:$A$1000)-ROW('Product Master'!$A$7)+1)/(('Product Master'!$A$7:$A$1000&lt;&gt;"")*('Product Master'!$P$7:$P$1000="Low Stock")),ROWS($A$12:A601))),"")</f>
        <v/>
      </c>
      <c r="B601" t="str">
        <f>IF($A601="","",INDEX('Product Master'!$B$7:$B$1000,MATCH($A601,'Product Master'!$A$7:$A$1000,0)))</f>
        <v/>
      </c>
      <c r="C601" t="str">
        <f>IF($A601="","",INDEX('Product Master'!$C$7:$C$1000,MATCH($A601,'Product Master'!$A$7:$A$1000,0)))</f>
        <v/>
      </c>
      <c r="D601" t="str">
        <f>IF($A601="","",INDEX('Product Master'!$M$7:$M$1000,MATCH($A601,'Product Master'!$A$7:$A$1000,0)))</f>
        <v/>
      </c>
      <c r="E601" t="str">
        <f>IF($A601="","",INDEX('Product Master'!$N$7:$N$1000,MATCH($A601,'Product Master'!$A$7:$A$1000,0)))</f>
        <v/>
      </c>
      <c r="F601" t="str">
        <f>IF($A601="","",INDEX('Product Master'!$P$7:$P$1000,MATCH($A601,'Product Master'!$A$7:$A$1000,0)))</f>
        <v/>
      </c>
      <c r="I601" t="str">
        <f>IFERROR(INDEX('Product Master'!$A$7:$A$1000,_xlfn.AGGREGATE(15,6,(ROW('Product Master'!$A$7:$A$1000)-ROW('Product Master'!$A$7)+1)/(('Product Master'!$A$7:$A$1000&lt;&gt;"")*('Product Master'!$P$7:$P$1000="Out of Stock")),ROWS($I$12:I601))),"")</f>
        <v/>
      </c>
      <c r="J601" t="str">
        <f>IF($I601="","",INDEX('Product Master'!$B$7:$B$1000,MATCH($I601,'Product Master'!$A$7:$A$1000,0)))</f>
        <v/>
      </c>
      <c r="K601" t="str">
        <f>IF($I601="","",INDEX('Product Master'!$C$7:$C$1000,MATCH($I601,'Product Master'!$A$7:$A$1000,0)))</f>
        <v/>
      </c>
      <c r="L601" t="str">
        <f>IF($I601="","",INDEX('Product Master'!$M$7:$M$1000,MATCH($I601,'Product Master'!$A$7:$A$1000,0)))</f>
        <v/>
      </c>
      <c r="M601" t="str">
        <f>IF($I601="","",INDEX('Product Master'!$N$7:$N$1000,MATCH($I601,'Product Master'!$A$7:$A$1000,0)))</f>
        <v/>
      </c>
    </row>
    <row r="602" spans="1:13" x14ac:dyDescent="0.3">
      <c r="A602" t="str">
        <f>IFERROR(INDEX('Product Master'!$A$7:$A$1000,_xlfn.AGGREGATE(15,6,(ROW('Product Master'!$A$7:$A$1000)-ROW('Product Master'!$A$7)+1)/(('Product Master'!$A$7:$A$1000&lt;&gt;"")*('Product Master'!$P$7:$P$1000="Low Stock")),ROWS($A$12:A602))),"")</f>
        <v/>
      </c>
      <c r="B602" t="str">
        <f>IF($A602="","",INDEX('Product Master'!$B$7:$B$1000,MATCH($A602,'Product Master'!$A$7:$A$1000,0)))</f>
        <v/>
      </c>
      <c r="C602" t="str">
        <f>IF($A602="","",INDEX('Product Master'!$C$7:$C$1000,MATCH($A602,'Product Master'!$A$7:$A$1000,0)))</f>
        <v/>
      </c>
      <c r="D602" t="str">
        <f>IF($A602="","",INDEX('Product Master'!$M$7:$M$1000,MATCH($A602,'Product Master'!$A$7:$A$1000,0)))</f>
        <v/>
      </c>
      <c r="E602" t="str">
        <f>IF($A602="","",INDEX('Product Master'!$N$7:$N$1000,MATCH($A602,'Product Master'!$A$7:$A$1000,0)))</f>
        <v/>
      </c>
      <c r="F602" t="str">
        <f>IF($A602="","",INDEX('Product Master'!$P$7:$P$1000,MATCH($A602,'Product Master'!$A$7:$A$1000,0)))</f>
        <v/>
      </c>
      <c r="I602" t="str">
        <f>IFERROR(INDEX('Product Master'!$A$7:$A$1000,_xlfn.AGGREGATE(15,6,(ROW('Product Master'!$A$7:$A$1000)-ROW('Product Master'!$A$7)+1)/(('Product Master'!$A$7:$A$1000&lt;&gt;"")*('Product Master'!$P$7:$P$1000="Out of Stock")),ROWS($I$12:I602))),"")</f>
        <v/>
      </c>
      <c r="J602" t="str">
        <f>IF($I602="","",INDEX('Product Master'!$B$7:$B$1000,MATCH($I602,'Product Master'!$A$7:$A$1000,0)))</f>
        <v/>
      </c>
      <c r="K602" t="str">
        <f>IF($I602="","",INDEX('Product Master'!$C$7:$C$1000,MATCH($I602,'Product Master'!$A$7:$A$1000,0)))</f>
        <v/>
      </c>
      <c r="L602" t="str">
        <f>IF($I602="","",INDEX('Product Master'!$M$7:$M$1000,MATCH($I602,'Product Master'!$A$7:$A$1000,0)))</f>
        <v/>
      </c>
      <c r="M602" t="str">
        <f>IF($I602="","",INDEX('Product Master'!$N$7:$N$1000,MATCH($I602,'Product Master'!$A$7:$A$1000,0)))</f>
        <v/>
      </c>
    </row>
    <row r="603" spans="1:13" x14ac:dyDescent="0.3">
      <c r="A603" t="str">
        <f>IFERROR(INDEX('Product Master'!$A$7:$A$1000,_xlfn.AGGREGATE(15,6,(ROW('Product Master'!$A$7:$A$1000)-ROW('Product Master'!$A$7)+1)/(('Product Master'!$A$7:$A$1000&lt;&gt;"")*('Product Master'!$P$7:$P$1000="Low Stock")),ROWS($A$12:A603))),"")</f>
        <v/>
      </c>
      <c r="B603" t="str">
        <f>IF($A603="","",INDEX('Product Master'!$B$7:$B$1000,MATCH($A603,'Product Master'!$A$7:$A$1000,0)))</f>
        <v/>
      </c>
      <c r="C603" t="str">
        <f>IF($A603="","",INDEX('Product Master'!$C$7:$C$1000,MATCH($A603,'Product Master'!$A$7:$A$1000,0)))</f>
        <v/>
      </c>
      <c r="D603" t="str">
        <f>IF($A603="","",INDEX('Product Master'!$M$7:$M$1000,MATCH($A603,'Product Master'!$A$7:$A$1000,0)))</f>
        <v/>
      </c>
      <c r="E603" t="str">
        <f>IF($A603="","",INDEX('Product Master'!$N$7:$N$1000,MATCH($A603,'Product Master'!$A$7:$A$1000,0)))</f>
        <v/>
      </c>
      <c r="F603" t="str">
        <f>IF($A603="","",INDEX('Product Master'!$P$7:$P$1000,MATCH($A603,'Product Master'!$A$7:$A$1000,0)))</f>
        <v/>
      </c>
      <c r="I603" t="str">
        <f>IFERROR(INDEX('Product Master'!$A$7:$A$1000,_xlfn.AGGREGATE(15,6,(ROW('Product Master'!$A$7:$A$1000)-ROW('Product Master'!$A$7)+1)/(('Product Master'!$A$7:$A$1000&lt;&gt;"")*('Product Master'!$P$7:$P$1000="Out of Stock")),ROWS($I$12:I603))),"")</f>
        <v/>
      </c>
      <c r="J603" t="str">
        <f>IF($I603="","",INDEX('Product Master'!$B$7:$B$1000,MATCH($I603,'Product Master'!$A$7:$A$1000,0)))</f>
        <v/>
      </c>
      <c r="K603" t="str">
        <f>IF($I603="","",INDEX('Product Master'!$C$7:$C$1000,MATCH($I603,'Product Master'!$A$7:$A$1000,0)))</f>
        <v/>
      </c>
      <c r="L603" t="str">
        <f>IF($I603="","",INDEX('Product Master'!$M$7:$M$1000,MATCH($I603,'Product Master'!$A$7:$A$1000,0)))</f>
        <v/>
      </c>
      <c r="M603" t="str">
        <f>IF($I603="","",INDEX('Product Master'!$N$7:$N$1000,MATCH($I603,'Product Master'!$A$7:$A$1000,0)))</f>
        <v/>
      </c>
    </row>
    <row r="604" spans="1:13" x14ac:dyDescent="0.3">
      <c r="A604" t="str">
        <f>IFERROR(INDEX('Product Master'!$A$7:$A$1000,_xlfn.AGGREGATE(15,6,(ROW('Product Master'!$A$7:$A$1000)-ROW('Product Master'!$A$7)+1)/(('Product Master'!$A$7:$A$1000&lt;&gt;"")*('Product Master'!$P$7:$P$1000="Low Stock")),ROWS($A$12:A604))),"")</f>
        <v/>
      </c>
      <c r="B604" t="str">
        <f>IF($A604="","",INDEX('Product Master'!$B$7:$B$1000,MATCH($A604,'Product Master'!$A$7:$A$1000,0)))</f>
        <v/>
      </c>
      <c r="C604" t="str">
        <f>IF($A604="","",INDEX('Product Master'!$C$7:$C$1000,MATCH($A604,'Product Master'!$A$7:$A$1000,0)))</f>
        <v/>
      </c>
      <c r="D604" t="str">
        <f>IF($A604="","",INDEX('Product Master'!$M$7:$M$1000,MATCH($A604,'Product Master'!$A$7:$A$1000,0)))</f>
        <v/>
      </c>
      <c r="E604" t="str">
        <f>IF($A604="","",INDEX('Product Master'!$N$7:$N$1000,MATCH($A604,'Product Master'!$A$7:$A$1000,0)))</f>
        <v/>
      </c>
      <c r="F604" t="str">
        <f>IF($A604="","",INDEX('Product Master'!$P$7:$P$1000,MATCH($A604,'Product Master'!$A$7:$A$1000,0)))</f>
        <v/>
      </c>
      <c r="I604" t="str">
        <f>IFERROR(INDEX('Product Master'!$A$7:$A$1000,_xlfn.AGGREGATE(15,6,(ROW('Product Master'!$A$7:$A$1000)-ROW('Product Master'!$A$7)+1)/(('Product Master'!$A$7:$A$1000&lt;&gt;"")*('Product Master'!$P$7:$P$1000="Out of Stock")),ROWS($I$12:I604))),"")</f>
        <v/>
      </c>
      <c r="J604" t="str">
        <f>IF($I604="","",INDEX('Product Master'!$B$7:$B$1000,MATCH($I604,'Product Master'!$A$7:$A$1000,0)))</f>
        <v/>
      </c>
      <c r="K604" t="str">
        <f>IF($I604="","",INDEX('Product Master'!$C$7:$C$1000,MATCH($I604,'Product Master'!$A$7:$A$1000,0)))</f>
        <v/>
      </c>
      <c r="L604" t="str">
        <f>IF($I604="","",INDEX('Product Master'!$M$7:$M$1000,MATCH($I604,'Product Master'!$A$7:$A$1000,0)))</f>
        <v/>
      </c>
      <c r="M604" t="str">
        <f>IF($I604="","",INDEX('Product Master'!$N$7:$N$1000,MATCH($I604,'Product Master'!$A$7:$A$1000,0)))</f>
        <v/>
      </c>
    </row>
    <row r="605" spans="1:13" x14ac:dyDescent="0.3">
      <c r="A605" t="str">
        <f>IFERROR(INDEX('Product Master'!$A$7:$A$1000,_xlfn.AGGREGATE(15,6,(ROW('Product Master'!$A$7:$A$1000)-ROW('Product Master'!$A$7)+1)/(('Product Master'!$A$7:$A$1000&lt;&gt;"")*('Product Master'!$P$7:$P$1000="Low Stock")),ROWS($A$12:A605))),"")</f>
        <v/>
      </c>
      <c r="B605" t="str">
        <f>IF($A605="","",INDEX('Product Master'!$B$7:$B$1000,MATCH($A605,'Product Master'!$A$7:$A$1000,0)))</f>
        <v/>
      </c>
      <c r="C605" t="str">
        <f>IF($A605="","",INDEX('Product Master'!$C$7:$C$1000,MATCH($A605,'Product Master'!$A$7:$A$1000,0)))</f>
        <v/>
      </c>
      <c r="D605" t="str">
        <f>IF($A605="","",INDEX('Product Master'!$M$7:$M$1000,MATCH($A605,'Product Master'!$A$7:$A$1000,0)))</f>
        <v/>
      </c>
      <c r="E605" t="str">
        <f>IF($A605="","",INDEX('Product Master'!$N$7:$N$1000,MATCH($A605,'Product Master'!$A$7:$A$1000,0)))</f>
        <v/>
      </c>
      <c r="F605" t="str">
        <f>IF($A605="","",INDEX('Product Master'!$P$7:$P$1000,MATCH($A605,'Product Master'!$A$7:$A$1000,0)))</f>
        <v/>
      </c>
      <c r="I605" t="str">
        <f>IFERROR(INDEX('Product Master'!$A$7:$A$1000,_xlfn.AGGREGATE(15,6,(ROW('Product Master'!$A$7:$A$1000)-ROW('Product Master'!$A$7)+1)/(('Product Master'!$A$7:$A$1000&lt;&gt;"")*('Product Master'!$P$7:$P$1000="Out of Stock")),ROWS($I$12:I605))),"")</f>
        <v/>
      </c>
      <c r="J605" t="str">
        <f>IF($I605="","",INDEX('Product Master'!$B$7:$B$1000,MATCH($I605,'Product Master'!$A$7:$A$1000,0)))</f>
        <v/>
      </c>
      <c r="K605" t="str">
        <f>IF($I605="","",INDEX('Product Master'!$C$7:$C$1000,MATCH($I605,'Product Master'!$A$7:$A$1000,0)))</f>
        <v/>
      </c>
      <c r="L605" t="str">
        <f>IF($I605="","",INDEX('Product Master'!$M$7:$M$1000,MATCH($I605,'Product Master'!$A$7:$A$1000,0)))</f>
        <v/>
      </c>
      <c r="M605" t="str">
        <f>IF($I605="","",INDEX('Product Master'!$N$7:$N$1000,MATCH($I605,'Product Master'!$A$7:$A$1000,0)))</f>
        <v/>
      </c>
    </row>
    <row r="606" spans="1:13" x14ac:dyDescent="0.3">
      <c r="A606" t="str">
        <f>IFERROR(INDEX('Product Master'!$A$7:$A$1000,_xlfn.AGGREGATE(15,6,(ROW('Product Master'!$A$7:$A$1000)-ROW('Product Master'!$A$7)+1)/(('Product Master'!$A$7:$A$1000&lt;&gt;"")*('Product Master'!$P$7:$P$1000="Low Stock")),ROWS($A$12:A606))),"")</f>
        <v/>
      </c>
      <c r="B606" t="str">
        <f>IF($A606="","",INDEX('Product Master'!$B$7:$B$1000,MATCH($A606,'Product Master'!$A$7:$A$1000,0)))</f>
        <v/>
      </c>
      <c r="C606" t="str">
        <f>IF($A606="","",INDEX('Product Master'!$C$7:$C$1000,MATCH($A606,'Product Master'!$A$7:$A$1000,0)))</f>
        <v/>
      </c>
      <c r="D606" t="str">
        <f>IF($A606="","",INDEX('Product Master'!$M$7:$M$1000,MATCH($A606,'Product Master'!$A$7:$A$1000,0)))</f>
        <v/>
      </c>
      <c r="E606" t="str">
        <f>IF($A606="","",INDEX('Product Master'!$N$7:$N$1000,MATCH($A606,'Product Master'!$A$7:$A$1000,0)))</f>
        <v/>
      </c>
      <c r="F606" t="str">
        <f>IF($A606="","",INDEX('Product Master'!$P$7:$P$1000,MATCH($A606,'Product Master'!$A$7:$A$1000,0)))</f>
        <v/>
      </c>
      <c r="I606" t="str">
        <f>IFERROR(INDEX('Product Master'!$A$7:$A$1000,_xlfn.AGGREGATE(15,6,(ROW('Product Master'!$A$7:$A$1000)-ROW('Product Master'!$A$7)+1)/(('Product Master'!$A$7:$A$1000&lt;&gt;"")*('Product Master'!$P$7:$P$1000="Out of Stock")),ROWS($I$12:I606))),"")</f>
        <v/>
      </c>
      <c r="J606" t="str">
        <f>IF($I606="","",INDEX('Product Master'!$B$7:$B$1000,MATCH($I606,'Product Master'!$A$7:$A$1000,0)))</f>
        <v/>
      </c>
      <c r="K606" t="str">
        <f>IF($I606="","",INDEX('Product Master'!$C$7:$C$1000,MATCH($I606,'Product Master'!$A$7:$A$1000,0)))</f>
        <v/>
      </c>
      <c r="L606" t="str">
        <f>IF($I606="","",INDEX('Product Master'!$M$7:$M$1000,MATCH($I606,'Product Master'!$A$7:$A$1000,0)))</f>
        <v/>
      </c>
      <c r="M606" t="str">
        <f>IF($I606="","",INDEX('Product Master'!$N$7:$N$1000,MATCH($I606,'Product Master'!$A$7:$A$1000,0)))</f>
        <v/>
      </c>
    </row>
    <row r="607" spans="1:13" x14ac:dyDescent="0.3">
      <c r="A607" t="str">
        <f>IFERROR(INDEX('Product Master'!$A$7:$A$1000,_xlfn.AGGREGATE(15,6,(ROW('Product Master'!$A$7:$A$1000)-ROW('Product Master'!$A$7)+1)/(('Product Master'!$A$7:$A$1000&lt;&gt;"")*('Product Master'!$P$7:$P$1000="Low Stock")),ROWS($A$12:A607))),"")</f>
        <v/>
      </c>
      <c r="B607" t="str">
        <f>IF($A607="","",INDEX('Product Master'!$B$7:$B$1000,MATCH($A607,'Product Master'!$A$7:$A$1000,0)))</f>
        <v/>
      </c>
      <c r="C607" t="str">
        <f>IF($A607="","",INDEX('Product Master'!$C$7:$C$1000,MATCH($A607,'Product Master'!$A$7:$A$1000,0)))</f>
        <v/>
      </c>
      <c r="D607" t="str">
        <f>IF($A607="","",INDEX('Product Master'!$M$7:$M$1000,MATCH($A607,'Product Master'!$A$7:$A$1000,0)))</f>
        <v/>
      </c>
      <c r="E607" t="str">
        <f>IF($A607="","",INDEX('Product Master'!$N$7:$N$1000,MATCH($A607,'Product Master'!$A$7:$A$1000,0)))</f>
        <v/>
      </c>
      <c r="F607" t="str">
        <f>IF($A607="","",INDEX('Product Master'!$P$7:$P$1000,MATCH($A607,'Product Master'!$A$7:$A$1000,0)))</f>
        <v/>
      </c>
      <c r="I607" t="str">
        <f>IFERROR(INDEX('Product Master'!$A$7:$A$1000,_xlfn.AGGREGATE(15,6,(ROW('Product Master'!$A$7:$A$1000)-ROW('Product Master'!$A$7)+1)/(('Product Master'!$A$7:$A$1000&lt;&gt;"")*('Product Master'!$P$7:$P$1000="Out of Stock")),ROWS($I$12:I607))),"")</f>
        <v/>
      </c>
      <c r="J607" t="str">
        <f>IF($I607="","",INDEX('Product Master'!$B$7:$B$1000,MATCH($I607,'Product Master'!$A$7:$A$1000,0)))</f>
        <v/>
      </c>
      <c r="K607" t="str">
        <f>IF($I607="","",INDEX('Product Master'!$C$7:$C$1000,MATCH($I607,'Product Master'!$A$7:$A$1000,0)))</f>
        <v/>
      </c>
      <c r="L607" t="str">
        <f>IF($I607="","",INDEX('Product Master'!$M$7:$M$1000,MATCH($I607,'Product Master'!$A$7:$A$1000,0)))</f>
        <v/>
      </c>
      <c r="M607" t="str">
        <f>IF($I607="","",INDEX('Product Master'!$N$7:$N$1000,MATCH($I607,'Product Master'!$A$7:$A$1000,0)))</f>
        <v/>
      </c>
    </row>
    <row r="608" spans="1:13" x14ac:dyDescent="0.3">
      <c r="A608" t="str">
        <f>IFERROR(INDEX('Product Master'!$A$7:$A$1000,_xlfn.AGGREGATE(15,6,(ROW('Product Master'!$A$7:$A$1000)-ROW('Product Master'!$A$7)+1)/(('Product Master'!$A$7:$A$1000&lt;&gt;"")*('Product Master'!$P$7:$P$1000="Low Stock")),ROWS($A$12:A608))),"")</f>
        <v/>
      </c>
      <c r="B608" t="str">
        <f>IF($A608="","",INDEX('Product Master'!$B$7:$B$1000,MATCH($A608,'Product Master'!$A$7:$A$1000,0)))</f>
        <v/>
      </c>
      <c r="C608" t="str">
        <f>IF($A608="","",INDEX('Product Master'!$C$7:$C$1000,MATCH($A608,'Product Master'!$A$7:$A$1000,0)))</f>
        <v/>
      </c>
      <c r="D608" t="str">
        <f>IF($A608="","",INDEX('Product Master'!$M$7:$M$1000,MATCH($A608,'Product Master'!$A$7:$A$1000,0)))</f>
        <v/>
      </c>
      <c r="E608" t="str">
        <f>IF($A608="","",INDEX('Product Master'!$N$7:$N$1000,MATCH($A608,'Product Master'!$A$7:$A$1000,0)))</f>
        <v/>
      </c>
      <c r="F608" t="str">
        <f>IF($A608="","",INDEX('Product Master'!$P$7:$P$1000,MATCH($A608,'Product Master'!$A$7:$A$1000,0)))</f>
        <v/>
      </c>
      <c r="I608" t="str">
        <f>IFERROR(INDEX('Product Master'!$A$7:$A$1000,_xlfn.AGGREGATE(15,6,(ROW('Product Master'!$A$7:$A$1000)-ROW('Product Master'!$A$7)+1)/(('Product Master'!$A$7:$A$1000&lt;&gt;"")*('Product Master'!$P$7:$P$1000="Out of Stock")),ROWS($I$12:I608))),"")</f>
        <v/>
      </c>
      <c r="J608" t="str">
        <f>IF($I608="","",INDEX('Product Master'!$B$7:$B$1000,MATCH($I608,'Product Master'!$A$7:$A$1000,0)))</f>
        <v/>
      </c>
      <c r="K608" t="str">
        <f>IF($I608="","",INDEX('Product Master'!$C$7:$C$1000,MATCH($I608,'Product Master'!$A$7:$A$1000,0)))</f>
        <v/>
      </c>
      <c r="L608" t="str">
        <f>IF($I608="","",INDEX('Product Master'!$M$7:$M$1000,MATCH($I608,'Product Master'!$A$7:$A$1000,0)))</f>
        <v/>
      </c>
      <c r="M608" t="str">
        <f>IF($I608="","",INDEX('Product Master'!$N$7:$N$1000,MATCH($I608,'Product Master'!$A$7:$A$1000,0)))</f>
        <v/>
      </c>
    </row>
    <row r="609" spans="1:13" x14ac:dyDescent="0.3">
      <c r="A609" t="str">
        <f>IFERROR(INDEX('Product Master'!$A$7:$A$1000,_xlfn.AGGREGATE(15,6,(ROW('Product Master'!$A$7:$A$1000)-ROW('Product Master'!$A$7)+1)/(('Product Master'!$A$7:$A$1000&lt;&gt;"")*('Product Master'!$P$7:$P$1000="Low Stock")),ROWS($A$12:A609))),"")</f>
        <v/>
      </c>
      <c r="B609" t="str">
        <f>IF($A609="","",INDEX('Product Master'!$B$7:$B$1000,MATCH($A609,'Product Master'!$A$7:$A$1000,0)))</f>
        <v/>
      </c>
      <c r="C609" t="str">
        <f>IF($A609="","",INDEX('Product Master'!$C$7:$C$1000,MATCH($A609,'Product Master'!$A$7:$A$1000,0)))</f>
        <v/>
      </c>
      <c r="D609" t="str">
        <f>IF($A609="","",INDEX('Product Master'!$M$7:$M$1000,MATCH($A609,'Product Master'!$A$7:$A$1000,0)))</f>
        <v/>
      </c>
      <c r="E609" t="str">
        <f>IF($A609="","",INDEX('Product Master'!$N$7:$N$1000,MATCH($A609,'Product Master'!$A$7:$A$1000,0)))</f>
        <v/>
      </c>
      <c r="F609" t="str">
        <f>IF($A609="","",INDEX('Product Master'!$P$7:$P$1000,MATCH($A609,'Product Master'!$A$7:$A$1000,0)))</f>
        <v/>
      </c>
      <c r="I609" t="str">
        <f>IFERROR(INDEX('Product Master'!$A$7:$A$1000,_xlfn.AGGREGATE(15,6,(ROW('Product Master'!$A$7:$A$1000)-ROW('Product Master'!$A$7)+1)/(('Product Master'!$A$7:$A$1000&lt;&gt;"")*('Product Master'!$P$7:$P$1000="Out of Stock")),ROWS($I$12:I609))),"")</f>
        <v/>
      </c>
      <c r="J609" t="str">
        <f>IF($I609="","",INDEX('Product Master'!$B$7:$B$1000,MATCH($I609,'Product Master'!$A$7:$A$1000,0)))</f>
        <v/>
      </c>
      <c r="K609" t="str">
        <f>IF($I609="","",INDEX('Product Master'!$C$7:$C$1000,MATCH($I609,'Product Master'!$A$7:$A$1000,0)))</f>
        <v/>
      </c>
      <c r="L609" t="str">
        <f>IF($I609="","",INDEX('Product Master'!$M$7:$M$1000,MATCH($I609,'Product Master'!$A$7:$A$1000,0)))</f>
        <v/>
      </c>
      <c r="M609" t="str">
        <f>IF($I609="","",INDEX('Product Master'!$N$7:$N$1000,MATCH($I609,'Product Master'!$A$7:$A$1000,0)))</f>
        <v/>
      </c>
    </row>
    <row r="610" spans="1:13" x14ac:dyDescent="0.3">
      <c r="A610" t="str">
        <f>IFERROR(INDEX('Product Master'!$A$7:$A$1000,_xlfn.AGGREGATE(15,6,(ROW('Product Master'!$A$7:$A$1000)-ROW('Product Master'!$A$7)+1)/(('Product Master'!$A$7:$A$1000&lt;&gt;"")*('Product Master'!$P$7:$P$1000="Low Stock")),ROWS($A$12:A610))),"")</f>
        <v/>
      </c>
      <c r="B610" t="str">
        <f>IF($A610="","",INDEX('Product Master'!$B$7:$B$1000,MATCH($A610,'Product Master'!$A$7:$A$1000,0)))</f>
        <v/>
      </c>
      <c r="C610" t="str">
        <f>IF($A610="","",INDEX('Product Master'!$C$7:$C$1000,MATCH($A610,'Product Master'!$A$7:$A$1000,0)))</f>
        <v/>
      </c>
      <c r="D610" t="str">
        <f>IF($A610="","",INDEX('Product Master'!$M$7:$M$1000,MATCH($A610,'Product Master'!$A$7:$A$1000,0)))</f>
        <v/>
      </c>
      <c r="E610" t="str">
        <f>IF($A610="","",INDEX('Product Master'!$N$7:$N$1000,MATCH($A610,'Product Master'!$A$7:$A$1000,0)))</f>
        <v/>
      </c>
      <c r="F610" t="str">
        <f>IF($A610="","",INDEX('Product Master'!$P$7:$P$1000,MATCH($A610,'Product Master'!$A$7:$A$1000,0)))</f>
        <v/>
      </c>
      <c r="I610" t="str">
        <f>IFERROR(INDEX('Product Master'!$A$7:$A$1000,_xlfn.AGGREGATE(15,6,(ROW('Product Master'!$A$7:$A$1000)-ROW('Product Master'!$A$7)+1)/(('Product Master'!$A$7:$A$1000&lt;&gt;"")*('Product Master'!$P$7:$P$1000="Out of Stock")),ROWS($I$12:I610))),"")</f>
        <v/>
      </c>
      <c r="J610" t="str">
        <f>IF($I610="","",INDEX('Product Master'!$B$7:$B$1000,MATCH($I610,'Product Master'!$A$7:$A$1000,0)))</f>
        <v/>
      </c>
      <c r="K610" t="str">
        <f>IF($I610="","",INDEX('Product Master'!$C$7:$C$1000,MATCH($I610,'Product Master'!$A$7:$A$1000,0)))</f>
        <v/>
      </c>
      <c r="L610" t="str">
        <f>IF($I610="","",INDEX('Product Master'!$M$7:$M$1000,MATCH($I610,'Product Master'!$A$7:$A$1000,0)))</f>
        <v/>
      </c>
      <c r="M610" t="str">
        <f>IF($I610="","",INDEX('Product Master'!$N$7:$N$1000,MATCH($I610,'Product Master'!$A$7:$A$1000,0)))</f>
        <v/>
      </c>
    </row>
    <row r="611" spans="1:13" x14ac:dyDescent="0.3">
      <c r="A611" t="str">
        <f>IFERROR(INDEX('Product Master'!$A$7:$A$1000,_xlfn.AGGREGATE(15,6,(ROW('Product Master'!$A$7:$A$1000)-ROW('Product Master'!$A$7)+1)/(('Product Master'!$A$7:$A$1000&lt;&gt;"")*('Product Master'!$P$7:$P$1000="Low Stock")),ROWS($A$12:A611))),"")</f>
        <v/>
      </c>
      <c r="B611" t="str">
        <f>IF($A611="","",INDEX('Product Master'!$B$7:$B$1000,MATCH($A611,'Product Master'!$A$7:$A$1000,0)))</f>
        <v/>
      </c>
      <c r="C611" t="str">
        <f>IF($A611="","",INDEX('Product Master'!$C$7:$C$1000,MATCH($A611,'Product Master'!$A$7:$A$1000,0)))</f>
        <v/>
      </c>
      <c r="D611" t="str">
        <f>IF($A611="","",INDEX('Product Master'!$M$7:$M$1000,MATCH($A611,'Product Master'!$A$7:$A$1000,0)))</f>
        <v/>
      </c>
      <c r="E611" t="str">
        <f>IF($A611="","",INDEX('Product Master'!$N$7:$N$1000,MATCH($A611,'Product Master'!$A$7:$A$1000,0)))</f>
        <v/>
      </c>
      <c r="F611" t="str">
        <f>IF($A611="","",INDEX('Product Master'!$P$7:$P$1000,MATCH($A611,'Product Master'!$A$7:$A$1000,0)))</f>
        <v/>
      </c>
      <c r="I611" t="str">
        <f>IFERROR(INDEX('Product Master'!$A$7:$A$1000,_xlfn.AGGREGATE(15,6,(ROW('Product Master'!$A$7:$A$1000)-ROW('Product Master'!$A$7)+1)/(('Product Master'!$A$7:$A$1000&lt;&gt;"")*('Product Master'!$P$7:$P$1000="Out of Stock")),ROWS($I$12:I611))),"")</f>
        <v/>
      </c>
      <c r="J611" t="str">
        <f>IF($I611="","",INDEX('Product Master'!$B$7:$B$1000,MATCH($I611,'Product Master'!$A$7:$A$1000,0)))</f>
        <v/>
      </c>
      <c r="K611" t="str">
        <f>IF($I611="","",INDEX('Product Master'!$C$7:$C$1000,MATCH($I611,'Product Master'!$A$7:$A$1000,0)))</f>
        <v/>
      </c>
      <c r="L611" t="str">
        <f>IF($I611="","",INDEX('Product Master'!$M$7:$M$1000,MATCH($I611,'Product Master'!$A$7:$A$1000,0)))</f>
        <v/>
      </c>
      <c r="M611" t="str">
        <f>IF($I611="","",INDEX('Product Master'!$N$7:$N$1000,MATCH($I611,'Product Master'!$A$7:$A$1000,0)))</f>
        <v/>
      </c>
    </row>
    <row r="612" spans="1:13" x14ac:dyDescent="0.3">
      <c r="A612" t="str">
        <f>IFERROR(INDEX('Product Master'!$A$7:$A$1000,_xlfn.AGGREGATE(15,6,(ROW('Product Master'!$A$7:$A$1000)-ROW('Product Master'!$A$7)+1)/(('Product Master'!$A$7:$A$1000&lt;&gt;"")*('Product Master'!$P$7:$P$1000="Low Stock")),ROWS($A$12:A612))),"")</f>
        <v/>
      </c>
      <c r="B612" t="str">
        <f>IF($A612="","",INDEX('Product Master'!$B$7:$B$1000,MATCH($A612,'Product Master'!$A$7:$A$1000,0)))</f>
        <v/>
      </c>
      <c r="C612" t="str">
        <f>IF($A612="","",INDEX('Product Master'!$C$7:$C$1000,MATCH($A612,'Product Master'!$A$7:$A$1000,0)))</f>
        <v/>
      </c>
      <c r="D612" t="str">
        <f>IF($A612="","",INDEX('Product Master'!$M$7:$M$1000,MATCH($A612,'Product Master'!$A$7:$A$1000,0)))</f>
        <v/>
      </c>
      <c r="E612" t="str">
        <f>IF($A612="","",INDEX('Product Master'!$N$7:$N$1000,MATCH($A612,'Product Master'!$A$7:$A$1000,0)))</f>
        <v/>
      </c>
      <c r="F612" t="str">
        <f>IF($A612="","",INDEX('Product Master'!$P$7:$P$1000,MATCH($A612,'Product Master'!$A$7:$A$1000,0)))</f>
        <v/>
      </c>
      <c r="I612" t="str">
        <f>IFERROR(INDEX('Product Master'!$A$7:$A$1000,_xlfn.AGGREGATE(15,6,(ROW('Product Master'!$A$7:$A$1000)-ROW('Product Master'!$A$7)+1)/(('Product Master'!$A$7:$A$1000&lt;&gt;"")*('Product Master'!$P$7:$P$1000="Out of Stock")),ROWS($I$12:I612))),"")</f>
        <v/>
      </c>
      <c r="J612" t="str">
        <f>IF($I612="","",INDEX('Product Master'!$B$7:$B$1000,MATCH($I612,'Product Master'!$A$7:$A$1000,0)))</f>
        <v/>
      </c>
      <c r="K612" t="str">
        <f>IF($I612="","",INDEX('Product Master'!$C$7:$C$1000,MATCH($I612,'Product Master'!$A$7:$A$1000,0)))</f>
        <v/>
      </c>
      <c r="L612" t="str">
        <f>IF($I612="","",INDEX('Product Master'!$M$7:$M$1000,MATCH($I612,'Product Master'!$A$7:$A$1000,0)))</f>
        <v/>
      </c>
      <c r="M612" t="str">
        <f>IF($I612="","",INDEX('Product Master'!$N$7:$N$1000,MATCH($I612,'Product Master'!$A$7:$A$1000,0)))</f>
        <v/>
      </c>
    </row>
    <row r="613" spans="1:13" x14ac:dyDescent="0.3">
      <c r="A613" t="str">
        <f>IFERROR(INDEX('Product Master'!$A$7:$A$1000,_xlfn.AGGREGATE(15,6,(ROW('Product Master'!$A$7:$A$1000)-ROW('Product Master'!$A$7)+1)/(('Product Master'!$A$7:$A$1000&lt;&gt;"")*('Product Master'!$P$7:$P$1000="Low Stock")),ROWS($A$12:A613))),"")</f>
        <v/>
      </c>
      <c r="B613" t="str">
        <f>IF($A613="","",INDEX('Product Master'!$B$7:$B$1000,MATCH($A613,'Product Master'!$A$7:$A$1000,0)))</f>
        <v/>
      </c>
      <c r="C613" t="str">
        <f>IF($A613="","",INDEX('Product Master'!$C$7:$C$1000,MATCH($A613,'Product Master'!$A$7:$A$1000,0)))</f>
        <v/>
      </c>
      <c r="D613" t="str">
        <f>IF($A613="","",INDEX('Product Master'!$M$7:$M$1000,MATCH($A613,'Product Master'!$A$7:$A$1000,0)))</f>
        <v/>
      </c>
      <c r="E613" t="str">
        <f>IF($A613="","",INDEX('Product Master'!$N$7:$N$1000,MATCH($A613,'Product Master'!$A$7:$A$1000,0)))</f>
        <v/>
      </c>
      <c r="F613" t="str">
        <f>IF($A613="","",INDEX('Product Master'!$P$7:$P$1000,MATCH($A613,'Product Master'!$A$7:$A$1000,0)))</f>
        <v/>
      </c>
      <c r="I613" t="str">
        <f>IFERROR(INDEX('Product Master'!$A$7:$A$1000,_xlfn.AGGREGATE(15,6,(ROW('Product Master'!$A$7:$A$1000)-ROW('Product Master'!$A$7)+1)/(('Product Master'!$A$7:$A$1000&lt;&gt;"")*('Product Master'!$P$7:$P$1000="Out of Stock")),ROWS($I$12:I613))),"")</f>
        <v/>
      </c>
      <c r="J613" t="str">
        <f>IF($I613="","",INDEX('Product Master'!$B$7:$B$1000,MATCH($I613,'Product Master'!$A$7:$A$1000,0)))</f>
        <v/>
      </c>
      <c r="K613" t="str">
        <f>IF($I613="","",INDEX('Product Master'!$C$7:$C$1000,MATCH($I613,'Product Master'!$A$7:$A$1000,0)))</f>
        <v/>
      </c>
      <c r="L613" t="str">
        <f>IF($I613="","",INDEX('Product Master'!$M$7:$M$1000,MATCH($I613,'Product Master'!$A$7:$A$1000,0)))</f>
        <v/>
      </c>
      <c r="M613" t="str">
        <f>IF($I613="","",INDEX('Product Master'!$N$7:$N$1000,MATCH($I613,'Product Master'!$A$7:$A$1000,0)))</f>
        <v/>
      </c>
    </row>
    <row r="614" spans="1:13" x14ac:dyDescent="0.3">
      <c r="A614" t="str">
        <f>IFERROR(INDEX('Product Master'!$A$7:$A$1000,_xlfn.AGGREGATE(15,6,(ROW('Product Master'!$A$7:$A$1000)-ROW('Product Master'!$A$7)+1)/(('Product Master'!$A$7:$A$1000&lt;&gt;"")*('Product Master'!$P$7:$P$1000="Low Stock")),ROWS($A$12:A614))),"")</f>
        <v/>
      </c>
      <c r="B614" t="str">
        <f>IF($A614="","",INDEX('Product Master'!$B$7:$B$1000,MATCH($A614,'Product Master'!$A$7:$A$1000,0)))</f>
        <v/>
      </c>
      <c r="C614" t="str">
        <f>IF($A614="","",INDEX('Product Master'!$C$7:$C$1000,MATCH($A614,'Product Master'!$A$7:$A$1000,0)))</f>
        <v/>
      </c>
      <c r="D614" t="str">
        <f>IF($A614="","",INDEX('Product Master'!$M$7:$M$1000,MATCH($A614,'Product Master'!$A$7:$A$1000,0)))</f>
        <v/>
      </c>
      <c r="E614" t="str">
        <f>IF($A614="","",INDEX('Product Master'!$N$7:$N$1000,MATCH($A614,'Product Master'!$A$7:$A$1000,0)))</f>
        <v/>
      </c>
      <c r="F614" t="str">
        <f>IF($A614="","",INDEX('Product Master'!$P$7:$P$1000,MATCH($A614,'Product Master'!$A$7:$A$1000,0)))</f>
        <v/>
      </c>
      <c r="I614" t="str">
        <f>IFERROR(INDEX('Product Master'!$A$7:$A$1000,_xlfn.AGGREGATE(15,6,(ROW('Product Master'!$A$7:$A$1000)-ROW('Product Master'!$A$7)+1)/(('Product Master'!$A$7:$A$1000&lt;&gt;"")*('Product Master'!$P$7:$P$1000="Out of Stock")),ROWS($I$12:I614))),"")</f>
        <v/>
      </c>
      <c r="J614" t="str">
        <f>IF($I614="","",INDEX('Product Master'!$B$7:$B$1000,MATCH($I614,'Product Master'!$A$7:$A$1000,0)))</f>
        <v/>
      </c>
      <c r="K614" t="str">
        <f>IF($I614="","",INDEX('Product Master'!$C$7:$C$1000,MATCH($I614,'Product Master'!$A$7:$A$1000,0)))</f>
        <v/>
      </c>
      <c r="L614" t="str">
        <f>IF($I614="","",INDEX('Product Master'!$M$7:$M$1000,MATCH($I614,'Product Master'!$A$7:$A$1000,0)))</f>
        <v/>
      </c>
      <c r="M614" t="str">
        <f>IF($I614="","",INDEX('Product Master'!$N$7:$N$1000,MATCH($I614,'Product Master'!$A$7:$A$1000,0)))</f>
        <v/>
      </c>
    </row>
    <row r="615" spans="1:13" x14ac:dyDescent="0.3">
      <c r="A615" t="str">
        <f>IFERROR(INDEX('Product Master'!$A$7:$A$1000,_xlfn.AGGREGATE(15,6,(ROW('Product Master'!$A$7:$A$1000)-ROW('Product Master'!$A$7)+1)/(('Product Master'!$A$7:$A$1000&lt;&gt;"")*('Product Master'!$P$7:$P$1000="Low Stock")),ROWS($A$12:A615))),"")</f>
        <v/>
      </c>
      <c r="B615" t="str">
        <f>IF($A615="","",INDEX('Product Master'!$B$7:$B$1000,MATCH($A615,'Product Master'!$A$7:$A$1000,0)))</f>
        <v/>
      </c>
      <c r="C615" t="str">
        <f>IF($A615="","",INDEX('Product Master'!$C$7:$C$1000,MATCH($A615,'Product Master'!$A$7:$A$1000,0)))</f>
        <v/>
      </c>
      <c r="D615" t="str">
        <f>IF($A615="","",INDEX('Product Master'!$M$7:$M$1000,MATCH($A615,'Product Master'!$A$7:$A$1000,0)))</f>
        <v/>
      </c>
      <c r="E615" t="str">
        <f>IF($A615="","",INDEX('Product Master'!$N$7:$N$1000,MATCH($A615,'Product Master'!$A$7:$A$1000,0)))</f>
        <v/>
      </c>
      <c r="F615" t="str">
        <f>IF($A615="","",INDEX('Product Master'!$P$7:$P$1000,MATCH($A615,'Product Master'!$A$7:$A$1000,0)))</f>
        <v/>
      </c>
      <c r="I615" t="str">
        <f>IFERROR(INDEX('Product Master'!$A$7:$A$1000,_xlfn.AGGREGATE(15,6,(ROW('Product Master'!$A$7:$A$1000)-ROW('Product Master'!$A$7)+1)/(('Product Master'!$A$7:$A$1000&lt;&gt;"")*('Product Master'!$P$7:$P$1000="Out of Stock")),ROWS($I$12:I615))),"")</f>
        <v/>
      </c>
      <c r="J615" t="str">
        <f>IF($I615="","",INDEX('Product Master'!$B$7:$B$1000,MATCH($I615,'Product Master'!$A$7:$A$1000,0)))</f>
        <v/>
      </c>
      <c r="K615" t="str">
        <f>IF($I615="","",INDEX('Product Master'!$C$7:$C$1000,MATCH($I615,'Product Master'!$A$7:$A$1000,0)))</f>
        <v/>
      </c>
      <c r="L615" t="str">
        <f>IF($I615="","",INDEX('Product Master'!$M$7:$M$1000,MATCH($I615,'Product Master'!$A$7:$A$1000,0)))</f>
        <v/>
      </c>
      <c r="M615" t="str">
        <f>IF($I615="","",INDEX('Product Master'!$N$7:$N$1000,MATCH($I615,'Product Master'!$A$7:$A$1000,0)))</f>
        <v/>
      </c>
    </row>
    <row r="616" spans="1:13" x14ac:dyDescent="0.3">
      <c r="A616" t="str">
        <f>IFERROR(INDEX('Product Master'!$A$7:$A$1000,_xlfn.AGGREGATE(15,6,(ROW('Product Master'!$A$7:$A$1000)-ROW('Product Master'!$A$7)+1)/(('Product Master'!$A$7:$A$1000&lt;&gt;"")*('Product Master'!$P$7:$P$1000="Low Stock")),ROWS($A$12:A616))),"")</f>
        <v/>
      </c>
      <c r="B616" t="str">
        <f>IF($A616="","",INDEX('Product Master'!$B$7:$B$1000,MATCH($A616,'Product Master'!$A$7:$A$1000,0)))</f>
        <v/>
      </c>
      <c r="C616" t="str">
        <f>IF($A616="","",INDEX('Product Master'!$C$7:$C$1000,MATCH($A616,'Product Master'!$A$7:$A$1000,0)))</f>
        <v/>
      </c>
      <c r="D616" t="str">
        <f>IF($A616="","",INDEX('Product Master'!$M$7:$M$1000,MATCH($A616,'Product Master'!$A$7:$A$1000,0)))</f>
        <v/>
      </c>
      <c r="E616" t="str">
        <f>IF($A616="","",INDEX('Product Master'!$N$7:$N$1000,MATCH($A616,'Product Master'!$A$7:$A$1000,0)))</f>
        <v/>
      </c>
      <c r="F616" t="str">
        <f>IF($A616="","",INDEX('Product Master'!$P$7:$P$1000,MATCH($A616,'Product Master'!$A$7:$A$1000,0)))</f>
        <v/>
      </c>
      <c r="I616" t="str">
        <f>IFERROR(INDEX('Product Master'!$A$7:$A$1000,_xlfn.AGGREGATE(15,6,(ROW('Product Master'!$A$7:$A$1000)-ROW('Product Master'!$A$7)+1)/(('Product Master'!$A$7:$A$1000&lt;&gt;"")*('Product Master'!$P$7:$P$1000="Out of Stock")),ROWS($I$12:I616))),"")</f>
        <v/>
      </c>
      <c r="J616" t="str">
        <f>IF($I616="","",INDEX('Product Master'!$B$7:$B$1000,MATCH($I616,'Product Master'!$A$7:$A$1000,0)))</f>
        <v/>
      </c>
      <c r="K616" t="str">
        <f>IF($I616="","",INDEX('Product Master'!$C$7:$C$1000,MATCH($I616,'Product Master'!$A$7:$A$1000,0)))</f>
        <v/>
      </c>
      <c r="L616" t="str">
        <f>IF($I616="","",INDEX('Product Master'!$M$7:$M$1000,MATCH($I616,'Product Master'!$A$7:$A$1000,0)))</f>
        <v/>
      </c>
      <c r="M616" t="str">
        <f>IF($I616="","",INDEX('Product Master'!$N$7:$N$1000,MATCH($I616,'Product Master'!$A$7:$A$1000,0)))</f>
        <v/>
      </c>
    </row>
    <row r="617" spans="1:13" x14ac:dyDescent="0.3">
      <c r="A617" t="str">
        <f>IFERROR(INDEX('Product Master'!$A$7:$A$1000,_xlfn.AGGREGATE(15,6,(ROW('Product Master'!$A$7:$A$1000)-ROW('Product Master'!$A$7)+1)/(('Product Master'!$A$7:$A$1000&lt;&gt;"")*('Product Master'!$P$7:$P$1000="Low Stock")),ROWS($A$12:A617))),"")</f>
        <v/>
      </c>
      <c r="B617" t="str">
        <f>IF($A617="","",INDEX('Product Master'!$B$7:$B$1000,MATCH($A617,'Product Master'!$A$7:$A$1000,0)))</f>
        <v/>
      </c>
      <c r="C617" t="str">
        <f>IF($A617="","",INDEX('Product Master'!$C$7:$C$1000,MATCH($A617,'Product Master'!$A$7:$A$1000,0)))</f>
        <v/>
      </c>
      <c r="D617" t="str">
        <f>IF($A617="","",INDEX('Product Master'!$M$7:$M$1000,MATCH($A617,'Product Master'!$A$7:$A$1000,0)))</f>
        <v/>
      </c>
      <c r="E617" t="str">
        <f>IF($A617="","",INDEX('Product Master'!$N$7:$N$1000,MATCH($A617,'Product Master'!$A$7:$A$1000,0)))</f>
        <v/>
      </c>
      <c r="F617" t="str">
        <f>IF($A617="","",INDEX('Product Master'!$P$7:$P$1000,MATCH($A617,'Product Master'!$A$7:$A$1000,0)))</f>
        <v/>
      </c>
      <c r="I617" t="str">
        <f>IFERROR(INDEX('Product Master'!$A$7:$A$1000,_xlfn.AGGREGATE(15,6,(ROW('Product Master'!$A$7:$A$1000)-ROW('Product Master'!$A$7)+1)/(('Product Master'!$A$7:$A$1000&lt;&gt;"")*('Product Master'!$P$7:$P$1000="Out of Stock")),ROWS($I$12:I617))),"")</f>
        <v/>
      </c>
      <c r="J617" t="str">
        <f>IF($I617="","",INDEX('Product Master'!$B$7:$B$1000,MATCH($I617,'Product Master'!$A$7:$A$1000,0)))</f>
        <v/>
      </c>
      <c r="K617" t="str">
        <f>IF($I617="","",INDEX('Product Master'!$C$7:$C$1000,MATCH($I617,'Product Master'!$A$7:$A$1000,0)))</f>
        <v/>
      </c>
      <c r="L617" t="str">
        <f>IF($I617="","",INDEX('Product Master'!$M$7:$M$1000,MATCH($I617,'Product Master'!$A$7:$A$1000,0)))</f>
        <v/>
      </c>
      <c r="M617" t="str">
        <f>IF($I617="","",INDEX('Product Master'!$N$7:$N$1000,MATCH($I617,'Product Master'!$A$7:$A$1000,0)))</f>
        <v/>
      </c>
    </row>
    <row r="618" spans="1:13" x14ac:dyDescent="0.3">
      <c r="A618" t="str">
        <f>IFERROR(INDEX('Product Master'!$A$7:$A$1000,_xlfn.AGGREGATE(15,6,(ROW('Product Master'!$A$7:$A$1000)-ROW('Product Master'!$A$7)+1)/(('Product Master'!$A$7:$A$1000&lt;&gt;"")*('Product Master'!$P$7:$P$1000="Low Stock")),ROWS($A$12:A618))),"")</f>
        <v/>
      </c>
      <c r="B618" t="str">
        <f>IF($A618="","",INDEX('Product Master'!$B$7:$B$1000,MATCH($A618,'Product Master'!$A$7:$A$1000,0)))</f>
        <v/>
      </c>
      <c r="C618" t="str">
        <f>IF($A618="","",INDEX('Product Master'!$C$7:$C$1000,MATCH($A618,'Product Master'!$A$7:$A$1000,0)))</f>
        <v/>
      </c>
      <c r="D618" t="str">
        <f>IF($A618="","",INDEX('Product Master'!$M$7:$M$1000,MATCH($A618,'Product Master'!$A$7:$A$1000,0)))</f>
        <v/>
      </c>
      <c r="E618" t="str">
        <f>IF($A618="","",INDEX('Product Master'!$N$7:$N$1000,MATCH($A618,'Product Master'!$A$7:$A$1000,0)))</f>
        <v/>
      </c>
      <c r="F618" t="str">
        <f>IF($A618="","",INDEX('Product Master'!$P$7:$P$1000,MATCH($A618,'Product Master'!$A$7:$A$1000,0)))</f>
        <v/>
      </c>
      <c r="I618" t="str">
        <f>IFERROR(INDEX('Product Master'!$A$7:$A$1000,_xlfn.AGGREGATE(15,6,(ROW('Product Master'!$A$7:$A$1000)-ROW('Product Master'!$A$7)+1)/(('Product Master'!$A$7:$A$1000&lt;&gt;"")*('Product Master'!$P$7:$P$1000="Out of Stock")),ROWS($I$12:I618))),"")</f>
        <v/>
      </c>
      <c r="J618" t="str">
        <f>IF($I618="","",INDEX('Product Master'!$B$7:$B$1000,MATCH($I618,'Product Master'!$A$7:$A$1000,0)))</f>
        <v/>
      </c>
      <c r="K618" t="str">
        <f>IF($I618="","",INDEX('Product Master'!$C$7:$C$1000,MATCH($I618,'Product Master'!$A$7:$A$1000,0)))</f>
        <v/>
      </c>
      <c r="L618" t="str">
        <f>IF($I618="","",INDEX('Product Master'!$M$7:$M$1000,MATCH($I618,'Product Master'!$A$7:$A$1000,0)))</f>
        <v/>
      </c>
      <c r="M618" t="str">
        <f>IF($I618="","",INDEX('Product Master'!$N$7:$N$1000,MATCH($I618,'Product Master'!$A$7:$A$1000,0)))</f>
        <v/>
      </c>
    </row>
    <row r="619" spans="1:13" x14ac:dyDescent="0.3">
      <c r="A619" t="str">
        <f>IFERROR(INDEX('Product Master'!$A$7:$A$1000,_xlfn.AGGREGATE(15,6,(ROW('Product Master'!$A$7:$A$1000)-ROW('Product Master'!$A$7)+1)/(('Product Master'!$A$7:$A$1000&lt;&gt;"")*('Product Master'!$P$7:$P$1000="Low Stock")),ROWS($A$12:A619))),"")</f>
        <v/>
      </c>
      <c r="B619" t="str">
        <f>IF($A619="","",INDEX('Product Master'!$B$7:$B$1000,MATCH($A619,'Product Master'!$A$7:$A$1000,0)))</f>
        <v/>
      </c>
      <c r="C619" t="str">
        <f>IF($A619="","",INDEX('Product Master'!$C$7:$C$1000,MATCH($A619,'Product Master'!$A$7:$A$1000,0)))</f>
        <v/>
      </c>
      <c r="D619" t="str">
        <f>IF($A619="","",INDEX('Product Master'!$M$7:$M$1000,MATCH($A619,'Product Master'!$A$7:$A$1000,0)))</f>
        <v/>
      </c>
      <c r="E619" t="str">
        <f>IF($A619="","",INDEX('Product Master'!$N$7:$N$1000,MATCH($A619,'Product Master'!$A$7:$A$1000,0)))</f>
        <v/>
      </c>
      <c r="F619" t="str">
        <f>IF($A619="","",INDEX('Product Master'!$P$7:$P$1000,MATCH($A619,'Product Master'!$A$7:$A$1000,0)))</f>
        <v/>
      </c>
      <c r="I619" t="str">
        <f>IFERROR(INDEX('Product Master'!$A$7:$A$1000,_xlfn.AGGREGATE(15,6,(ROW('Product Master'!$A$7:$A$1000)-ROW('Product Master'!$A$7)+1)/(('Product Master'!$A$7:$A$1000&lt;&gt;"")*('Product Master'!$P$7:$P$1000="Out of Stock")),ROWS($I$12:I619))),"")</f>
        <v/>
      </c>
      <c r="J619" t="str">
        <f>IF($I619="","",INDEX('Product Master'!$B$7:$B$1000,MATCH($I619,'Product Master'!$A$7:$A$1000,0)))</f>
        <v/>
      </c>
      <c r="K619" t="str">
        <f>IF($I619="","",INDEX('Product Master'!$C$7:$C$1000,MATCH($I619,'Product Master'!$A$7:$A$1000,0)))</f>
        <v/>
      </c>
      <c r="L619" t="str">
        <f>IF($I619="","",INDEX('Product Master'!$M$7:$M$1000,MATCH($I619,'Product Master'!$A$7:$A$1000,0)))</f>
        <v/>
      </c>
      <c r="M619" t="str">
        <f>IF($I619="","",INDEX('Product Master'!$N$7:$N$1000,MATCH($I619,'Product Master'!$A$7:$A$1000,0)))</f>
        <v/>
      </c>
    </row>
    <row r="620" spans="1:13" x14ac:dyDescent="0.3">
      <c r="A620" t="str">
        <f>IFERROR(INDEX('Product Master'!$A$7:$A$1000,_xlfn.AGGREGATE(15,6,(ROW('Product Master'!$A$7:$A$1000)-ROW('Product Master'!$A$7)+1)/(('Product Master'!$A$7:$A$1000&lt;&gt;"")*('Product Master'!$P$7:$P$1000="Low Stock")),ROWS($A$12:A620))),"")</f>
        <v/>
      </c>
      <c r="B620" t="str">
        <f>IF($A620="","",INDEX('Product Master'!$B$7:$B$1000,MATCH($A620,'Product Master'!$A$7:$A$1000,0)))</f>
        <v/>
      </c>
      <c r="C620" t="str">
        <f>IF($A620="","",INDEX('Product Master'!$C$7:$C$1000,MATCH($A620,'Product Master'!$A$7:$A$1000,0)))</f>
        <v/>
      </c>
      <c r="D620" t="str">
        <f>IF($A620="","",INDEX('Product Master'!$M$7:$M$1000,MATCH($A620,'Product Master'!$A$7:$A$1000,0)))</f>
        <v/>
      </c>
      <c r="E620" t="str">
        <f>IF($A620="","",INDEX('Product Master'!$N$7:$N$1000,MATCH($A620,'Product Master'!$A$7:$A$1000,0)))</f>
        <v/>
      </c>
      <c r="F620" t="str">
        <f>IF($A620="","",INDEX('Product Master'!$P$7:$P$1000,MATCH($A620,'Product Master'!$A$7:$A$1000,0)))</f>
        <v/>
      </c>
      <c r="I620" t="str">
        <f>IFERROR(INDEX('Product Master'!$A$7:$A$1000,_xlfn.AGGREGATE(15,6,(ROW('Product Master'!$A$7:$A$1000)-ROW('Product Master'!$A$7)+1)/(('Product Master'!$A$7:$A$1000&lt;&gt;"")*('Product Master'!$P$7:$P$1000="Out of Stock")),ROWS($I$12:I620))),"")</f>
        <v/>
      </c>
      <c r="J620" t="str">
        <f>IF($I620="","",INDEX('Product Master'!$B$7:$B$1000,MATCH($I620,'Product Master'!$A$7:$A$1000,0)))</f>
        <v/>
      </c>
      <c r="K620" t="str">
        <f>IF($I620="","",INDEX('Product Master'!$C$7:$C$1000,MATCH($I620,'Product Master'!$A$7:$A$1000,0)))</f>
        <v/>
      </c>
      <c r="L620" t="str">
        <f>IF($I620="","",INDEX('Product Master'!$M$7:$M$1000,MATCH($I620,'Product Master'!$A$7:$A$1000,0)))</f>
        <v/>
      </c>
      <c r="M620" t="str">
        <f>IF($I620="","",INDEX('Product Master'!$N$7:$N$1000,MATCH($I620,'Product Master'!$A$7:$A$1000,0)))</f>
        <v/>
      </c>
    </row>
    <row r="621" spans="1:13" x14ac:dyDescent="0.3">
      <c r="A621" t="str">
        <f>IFERROR(INDEX('Product Master'!$A$7:$A$1000,_xlfn.AGGREGATE(15,6,(ROW('Product Master'!$A$7:$A$1000)-ROW('Product Master'!$A$7)+1)/(('Product Master'!$A$7:$A$1000&lt;&gt;"")*('Product Master'!$P$7:$P$1000="Low Stock")),ROWS($A$12:A621))),"")</f>
        <v/>
      </c>
      <c r="B621" t="str">
        <f>IF($A621="","",INDEX('Product Master'!$B$7:$B$1000,MATCH($A621,'Product Master'!$A$7:$A$1000,0)))</f>
        <v/>
      </c>
      <c r="C621" t="str">
        <f>IF($A621="","",INDEX('Product Master'!$C$7:$C$1000,MATCH($A621,'Product Master'!$A$7:$A$1000,0)))</f>
        <v/>
      </c>
      <c r="D621" t="str">
        <f>IF($A621="","",INDEX('Product Master'!$M$7:$M$1000,MATCH($A621,'Product Master'!$A$7:$A$1000,0)))</f>
        <v/>
      </c>
      <c r="E621" t="str">
        <f>IF($A621="","",INDEX('Product Master'!$N$7:$N$1000,MATCH($A621,'Product Master'!$A$7:$A$1000,0)))</f>
        <v/>
      </c>
      <c r="F621" t="str">
        <f>IF($A621="","",INDEX('Product Master'!$P$7:$P$1000,MATCH($A621,'Product Master'!$A$7:$A$1000,0)))</f>
        <v/>
      </c>
      <c r="I621" t="str">
        <f>IFERROR(INDEX('Product Master'!$A$7:$A$1000,_xlfn.AGGREGATE(15,6,(ROW('Product Master'!$A$7:$A$1000)-ROW('Product Master'!$A$7)+1)/(('Product Master'!$A$7:$A$1000&lt;&gt;"")*('Product Master'!$P$7:$P$1000="Out of Stock")),ROWS($I$12:I621))),"")</f>
        <v/>
      </c>
      <c r="J621" t="str">
        <f>IF($I621="","",INDEX('Product Master'!$B$7:$B$1000,MATCH($I621,'Product Master'!$A$7:$A$1000,0)))</f>
        <v/>
      </c>
      <c r="K621" t="str">
        <f>IF($I621="","",INDEX('Product Master'!$C$7:$C$1000,MATCH($I621,'Product Master'!$A$7:$A$1000,0)))</f>
        <v/>
      </c>
      <c r="L621" t="str">
        <f>IF($I621="","",INDEX('Product Master'!$M$7:$M$1000,MATCH($I621,'Product Master'!$A$7:$A$1000,0)))</f>
        <v/>
      </c>
      <c r="M621" t="str">
        <f>IF($I621="","",INDEX('Product Master'!$N$7:$N$1000,MATCH($I621,'Product Master'!$A$7:$A$1000,0)))</f>
        <v/>
      </c>
    </row>
    <row r="622" spans="1:13" x14ac:dyDescent="0.3">
      <c r="A622" t="str">
        <f>IFERROR(INDEX('Product Master'!$A$7:$A$1000,_xlfn.AGGREGATE(15,6,(ROW('Product Master'!$A$7:$A$1000)-ROW('Product Master'!$A$7)+1)/(('Product Master'!$A$7:$A$1000&lt;&gt;"")*('Product Master'!$P$7:$P$1000="Low Stock")),ROWS($A$12:A622))),"")</f>
        <v/>
      </c>
      <c r="B622" t="str">
        <f>IF($A622="","",INDEX('Product Master'!$B$7:$B$1000,MATCH($A622,'Product Master'!$A$7:$A$1000,0)))</f>
        <v/>
      </c>
      <c r="C622" t="str">
        <f>IF($A622="","",INDEX('Product Master'!$C$7:$C$1000,MATCH($A622,'Product Master'!$A$7:$A$1000,0)))</f>
        <v/>
      </c>
      <c r="D622" t="str">
        <f>IF($A622="","",INDEX('Product Master'!$M$7:$M$1000,MATCH($A622,'Product Master'!$A$7:$A$1000,0)))</f>
        <v/>
      </c>
      <c r="E622" t="str">
        <f>IF($A622="","",INDEX('Product Master'!$N$7:$N$1000,MATCH($A622,'Product Master'!$A$7:$A$1000,0)))</f>
        <v/>
      </c>
      <c r="F622" t="str">
        <f>IF($A622="","",INDEX('Product Master'!$P$7:$P$1000,MATCH($A622,'Product Master'!$A$7:$A$1000,0)))</f>
        <v/>
      </c>
      <c r="I622" t="str">
        <f>IFERROR(INDEX('Product Master'!$A$7:$A$1000,_xlfn.AGGREGATE(15,6,(ROW('Product Master'!$A$7:$A$1000)-ROW('Product Master'!$A$7)+1)/(('Product Master'!$A$7:$A$1000&lt;&gt;"")*('Product Master'!$P$7:$P$1000="Out of Stock")),ROWS($I$12:I622))),"")</f>
        <v/>
      </c>
      <c r="J622" t="str">
        <f>IF($I622="","",INDEX('Product Master'!$B$7:$B$1000,MATCH($I622,'Product Master'!$A$7:$A$1000,0)))</f>
        <v/>
      </c>
      <c r="K622" t="str">
        <f>IF($I622="","",INDEX('Product Master'!$C$7:$C$1000,MATCH($I622,'Product Master'!$A$7:$A$1000,0)))</f>
        <v/>
      </c>
      <c r="L622" t="str">
        <f>IF($I622="","",INDEX('Product Master'!$M$7:$M$1000,MATCH($I622,'Product Master'!$A$7:$A$1000,0)))</f>
        <v/>
      </c>
      <c r="M622" t="str">
        <f>IF($I622="","",INDEX('Product Master'!$N$7:$N$1000,MATCH($I622,'Product Master'!$A$7:$A$1000,0)))</f>
        <v/>
      </c>
    </row>
    <row r="623" spans="1:13" x14ac:dyDescent="0.3">
      <c r="A623" t="str">
        <f>IFERROR(INDEX('Product Master'!$A$7:$A$1000,_xlfn.AGGREGATE(15,6,(ROW('Product Master'!$A$7:$A$1000)-ROW('Product Master'!$A$7)+1)/(('Product Master'!$A$7:$A$1000&lt;&gt;"")*('Product Master'!$P$7:$P$1000="Low Stock")),ROWS($A$12:A623))),"")</f>
        <v/>
      </c>
      <c r="B623" t="str">
        <f>IF($A623="","",INDEX('Product Master'!$B$7:$B$1000,MATCH($A623,'Product Master'!$A$7:$A$1000,0)))</f>
        <v/>
      </c>
      <c r="C623" t="str">
        <f>IF($A623="","",INDEX('Product Master'!$C$7:$C$1000,MATCH($A623,'Product Master'!$A$7:$A$1000,0)))</f>
        <v/>
      </c>
      <c r="D623" t="str">
        <f>IF($A623="","",INDEX('Product Master'!$M$7:$M$1000,MATCH($A623,'Product Master'!$A$7:$A$1000,0)))</f>
        <v/>
      </c>
      <c r="E623" t="str">
        <f>IF($A623="","",INDEX('Product Master'!$N$7:$N$1000,MATCH($A623,'Product Master'!$A$7:$A$1000,0)))</f>
        <v/>
      </c>
      <c r="F623" t="str">
        <f>IF($A623="","",INDEX('Product Master'!$P$7:$P$1000,MATCH($A623,'Product Master'!$A$7:$A$1000,0)))</f>
        <v/>
      </c>
      <c r="I623" t="str">
        <f>IFERROR(INDEX('Product Master'!$A$7:$A$1000,_xlfn.AGGREGATE(15,6,(ROW('Product Master'!$A$7:$A$1000)-ROW('Product Master'!$A$7)+1)/(('Product Master'!$A$7:$A$1000&lt;&gt;"")*('Product Master'!$P$7:$P$1000="Out of Stock")),ROWS($I$12:I623))),"")</f>
        <v/>
      </c>
      <c r="J623" t="str">
        <f>IF($I623="","",INDEX('Product Master'!$B$7:$B$1000,MATCH($I623,'Product Master'!$A$7:$A$1000,0)))</f>
        <v/>
      </c>
      <c r="K623" t="str">
        <f>IF($I623="","",INDEX('Product Master'!$C$7:$C$1000,MATCH($I623,'Product Master'!$A$7:$A$1000,0)))</f>
        <v/>
      </c>
      <c r="L623" t="str">
        <f>IF($I623="","",INDEX('Product Master'!$M$7:$M$1000,MATCH($I623,'Product Master'!$A$7:$A$1000,0)))</f>
        <v/>
      </c>
      <c r="M623" t="str">
        <f>IF($I623="","",INDEX('Product Master'!$N$7:$N$1000,MATCH($I623,'Product Master'!$A$7:$A$1000,0)))</f>
        <v/>
      </c>
    </row>
    <row r="624" spans="1:13" x14ac:dyDescent="0.3">
      <c r="A624" t="str">
        <f>IFERROR(INDEX('Product Master'!$A$7:$A$1000,_xlfn.AGGREGATE(15,6,(ROW('Product Master'!$A$7:$A$1000)-ROW('Product Master'!$A$7)+1)/(('Product Master'!$A$7:$A$1000&lt;&gt;"")*('Product Master'!$P$7:$P$1000="Low Stock")),ROWS($A$12:A624))),"")</f>
        <v/>
      </c>
      <c r="B624" t="str">
        <f>IF($A624="","",INDEX('Product Master'!$B$7:$B$1000,MATCH($A624,'Product Master'!$A$7:$A$1000,0)))</f>
        <v/>
      </c>
      <c r="C624" t="str">
        <f>IF($A624="","",INDEX('Product Master'!$C$7:$C$1000,MATCH($A624,'Product Master'!$A$7:$A$1000,0)))</f>
        <v/>
      </c>
      <c r="D624" t="str">
        <f>IF($A624="","",INDEX('Product Master'!$M$7:$M$1000,MATCH($A624,'Product Master'!$A$7:$A$1000,0)))</f>
        <v/>
      </c>
      <c r="E624" t="str">
        <f>IF($A624="","",INDEX('Product Master'!$N$7:$N$1000,MATCH($A624,'Product Master'!$A$7:$A$1000,0)))</f>
        <v/>
      </c>
      <c r="F624" t="str">
        <f>IF($A624="","",INDEX('Product Master'!$P$7:$P$1000,MATCH($A624,'Product Master'!$A$7:$A$1000,0)))</f>
        <v/>
      </c>
      <c r="I624" t="str">
        <f>IFERROR(INDEX('Product Master'!$A$7:$A$1000,_xlfn.AGGREGATE(15,6,(ROW('Product Master'!$A$7:$A$1000)-ROW('Product Master'!$A$7)+1)/(('Product Master'!$A$7:$A$1000&lt;&gt;"")*('Product Master'!$P$7:$P$1000="Out of Stock")),ROWS($I$12:I624))),"")</f>
        <v/>
      </c>
      <c r="J624" t="str">
        <f>IF($I624="","",INDEX('Product Master'!$B$7:$B$1000,MATCH($I624,'Product Master'!$A$7:$A$1000,0)))</f>
        <v/>
      </c>
      <c r="K624" t="str">
        <f>IF($I624="","",INDEX('Product Master'!$C$7:$C$1000,MATCH($I624,'Product Master'!$A$7:$A$1000,0)))</f>
        <v/>
      </c>
      <c r="L624" t="str">
        <f>IF($I624="","",INDEX('Product Master'!$M$7:$M$1000,MATCH($I624,'Product Master'!$A$7:$A$1000,0)))</f>
        <v/>
      </c>
      <c r="M624" t="str">
        <f>IF($I624="","",INDEX('Product Master'!$N$7:$N$1000,MATCH($I624,'Product Master'!$A$7:$A$1000,0)))</f>
        <v/>
      </c>
    </row>
    <row r="625" spans="1:13" x14ac:dyDescent="0.3">
      <c r="A625" t="str">
        <f>IFERROR(INDEX('Product Master'!$A$7:$A$1000,_xlfn.AGGREGATE(15,6,(ROW('Product Master'!$A$7:$A$1000)-ROW('Product Master'!$A$7)+1)/(('Product Master'!$A$7:$A$1000&lt;&gt;"")*('Product Master'!$P$7:$P$1000="Low Stock")),ROWS($A$12:A625))),"")</f>
        <v/>
      </c>
      <c r="B625" t="str">
        <f>IF($A625="","",INDEX('Product Master'!$B$7:$B$1000,MATCH($A625,'Product Master'!$A$7:$A$1000,0)))</f>
        <v/>
      </c>
      <c r="C625" t="str">
        <f>IF($A625="","",INDEX('Product Master'!$C$7:$C$1000,MATCH($A625,'Product Master'!$A$7:$A$1000,0)))</f>
        <v/>
      </c>
      <c r="D625" t="str">
        <f>IF($A625="","",INDEX('Product Master'!$M$7:$M$1000,MATCH($A625,'Product Master'!$A$7:$A$1000,0)))</f>
        <v/>
      </c>
      <c r="E625" t="str">
        <f>IF($A625="","",INDEX('Product Master'!$N$7:$N$1000,MATCH($A625,'Product Master'!$A$7:$A$1000,0)))</f>
        <v/>
      </c>
      <c r="F625" t="str">
        <f>IF($A625="","",INDEX('Product Master'!$P$7:$P$1000,MATCH($A625,'Product Master'!$A$7:$A$1000,0)))</f>
        <v/>
      </c>
      <c r="I625" t="str">
        <f>IFERROR(INDEX('Product Master'!$A$7:$A$1000,_xlfn.AGGREGATE(15,6,(ROW('Product Master'!$A$7:$A$1000)-ROW('Product Master'!$A$7)+1)/(('Product Master'!$A$7:$A$1000&lt;&gt;"")*('Product Master'!$P$7:$P$1000="Out of Stock")),ROWS($I$12:I625))),"")</f>
        <v/>
      </c>
      <c r="J625" t="str">
        <f>IF($I625="","",INDEX('Product Master'!$B$7:$B$1000,MATCH($I625,'Product Master'!$A$7:$A$1000,0)))</f>
        <v/>
      </c>
      <c r="K625" t="str">
        <f>IF($I625="","",INDEX('Product Master'!$C$7:$C$1000,MATCH($I625,'Product Master'!$A$7:$A$1000,0)))</f>
        <v/>
      </c>
      <c r="L625" t="str">
        <f>IF($I625="","",INDEX('Product Master'!$M$7:$M$1000,MATCH($I625,'Product Master'!$A$7:$A$1000,0)))</f>
        <v/>
      </c>
      <c r="M625" t="str">
        <f>IF($I625="","",INDEX('Product Master'!$N$7:$N$1000,MATCH($I625,'Product Master'!$A$7:$A$1000,0)))</f>
        <v/>
      </c>
    </row>
    <row r="626" spans="1:13" x14ac:dyDescent="0.3">
      <c r="A626" t="str">
        <f>IFERROR(INDEX('Product Master'!$A$7:$A$1000,_xlfn.AGGREGATE(15,6,(ROW('Product Master'!$A$7:$A$1000)-ROW('Product Master'!$A$7)+1)/(('Product Master'!$A$7:$A$1000&lt;&gt;"")*('Product Master'!$P$7:$P$1000="Low Stock")),ROWS($A$12:A626))),"")</f>
        <v/>
      </c>
      <c r="B626" t="str">
        <f>IF($A626="","",INDEX('Product Master'!$B$7:$B$1000,MATCH($A626,'Product Master'!$A$7:$A$1000,0)))</f>
        <v/>
      </c>
      <c r="C626" t="str">
        <f>IF($A626="","",INDEX('Product Master'!$C$7:$C$1000,MATCH($A626,'Product Master'!$A$7:$A$1000,0)))</f>
        <v/>
      </c>
      <c r="D626" t="str">
        <f>IF($A626="","",INDEX('Product Master'!$M$7:$M$1000,MATCH($A626,'Product Master'!$A$7:$A$1000,0)))</f>
        <v/>
      </c>
      <c r="E626" t="str">
        <f>IF($A626="","",INDEX('Product Master'!$N$7:$N$1000,MATCH($A626,'Product Master'!$A$7:$A$1000,0)))</f>
        <v/>
      </c>
      <c r="F626" t="str">
        <f>IF($A626="","",INDEX('Product Master'!$P$7:$P$1000,MATCH($A626,'Product Master'!$A$7:$A$1000,0)))</f>
        <v/>
      </c>
      <c r="I626" t="str">
        <f>IFERROR(INDEX('Product Master'!$A$7:$A$1000,_xlfn.AGGREGATE(15,6,(ROW('Product Master'!$A$7:$A$1000)-ROW('Product Master'!$A$7)+1)/(('Product Master'!$A$7:$A$1000&lt;&gt;"")*('Product Master'!$P$7:$P$1000="Out of Stock")),ROWS($I$12:I626))),"")</f>
        <v/>
      </c>
      <c r="J626" t="str">
        <f>IF($I626="","",INDEX('Product Master'!$B$7:$B$1000,MATCH($I626,'Product Master'!$A$7:$A$1000,0)))</f>
        <v/>
      </c>
      <c r="K626" t="str">
        <f>IF($I626="","",INDEX('Product Master'!$C$7:$C$1000,MATCH($I626,'Product Master'!$A$7:$A$1000,0)))</f>
        <v/>
      </c>
      <c r="L626" t="str">
        <f>IF($I626="","",INDEX('Product Master'!$M$7:$M$1000,MATCH($I626,'Product Master'!$A$7:$A$1000,0)))</f>
        <v/>
      </c>
      <c r="M626" t="str">
        <f>IF($I626="","",INDEX('Product Master'!$N$7:$N$1000,MATCH($I626,'Product Master'!$A$7:$A$1000,0)))</f>
        <v/>
      </c>
    </row>
    <row r="627" spans="1:13" x14ac:dyDescent="0.3">
      <c r="A627" t="str">
        <f>IFERROR(INDEX('Product Master'!$A$7:$A$1000,_xlfn.AGGREGATE(15,6,(ROW('Product Master'!$A$7:$A$1000)-ROW('Product Master'!$A$7)+1)/(('Product Master'!$A$7:$A$1000&lt;&gt;"")*('Product Master'!$P$7:$P$1000="Low Stock")),ROWS($A$12:A627))),"")</f>
        <v/>
      </c>
      <c r="B627" t="str">
        <f>IF($A627="","",INDEX('Product Master'!$B$7:$B$1000,MATCH($A627,'Product Master'!$A$7:$A$1000,0)))</f>
        <v/>
      </c>
      <c r="C627" t="str">
        <f>IF($A627="","",INDEX('Product Master'!$C$7:$C$1000,MATCH($A627,'Product Master'!$A$7:$A$1000,0)))</f>
        <v/>
      </c>
      <c r="D627" t="str">
        <f>IF($A627="","",INDEX('Product Master'!$M$7:$M$1000,MATCH($A627,'Product Master'!$A$7:$A$1000,0)))</f>
        <v/>
      </c>
      <c r="E627" t="str">
        <f>IF($A627="","",INDEX('Product Master'!$N$7:$N$1000,MATCH($A627,'Product Master'!$A$7:$A$1000,0)))</f>
        <v/>
      </c>
      <c r="F627" t="str">
        <f>IF($A627="","",INDEX('Product Master'!$P$7:$P$1000,MATCH($A627,'Product Master'!$A$7:$A$1000,0)))</f>
        <v/>
      </c>
      <c r="I627" t="str">
        <f>IFERROR(INDEX('Product Master'!$A$7:$A$1000,_xlfn.AGGREGATE(15,6,(ROW('Product Master'!$A$7:$A$1000)-ROW('Product Master'!$A$7)+1)/(('Product Master'!$A$7:$A$1000&lt;&gt;"")*('Product Master'!$P$7:$P$1000="Out of Stock")),ROWS($I$12:I627))),"")</f>
        <v/>
      </c>
      <c r="J627" t="str">
        <f>IF($I627="","",INDEX('Product Master'!$B$7:$B$1000,MATCH($I627,'Product Master'!$A$7:$A$1000,0)))</f>
        <v/>
      </c>
      <c r="K627" t="str">
        <f>IF($I627="","",INDEX('Product Master'!$C$7:$C$1000,MATCH($I627,'Product Master'!$A$7:$A$1000,0)))</f>
        <v/>
      </c>
      <c r="L627" t="str">
        <f>IF($I627="","",INDEX('Product Master'!$M$7:$M$1000,MATCH($I627,'Product Master'!$A$7:$A$1000,0)))</f>
        <v/>
      </c>
      <c r="M627" t="str">
        <f>IF($I627="","",INDEX('Product Master'!$N$7:$N$1000,MATCH($I627,'Product Master'!$A$7:$A$1000,0)))</f>
        <v/>
      </c>
    </row>
    <row r="628" spans="1:13" x14ac:dyDescent="0.3">
      <c r="A628" t="str">
        <f>IFERROR(INDEX('Product Master'!$A$7:$A$1000,_xlfn.AGGREGATE(15,6,(ROW('Product Master'!$A$7:$A$1000)-ROW('Product Master'!$A$7)+1)/(('Product Master'!$A$7:$A$1000&lt;&gt;"")*('Product Master'!$P$7:$P$1000="Low Stock")),ROWS($A$12:A628))),"")</f>
        <v/>
      </c>
      <c r="B628" t="str">
        <f>IF($A628="","",INDEX('Product Master'!$B$7:$B$1000,MATCH($A628,'Product Master'!$A$7:$A$1000,0)))</f>
        <v/>
      </c>
      <c r="C628" t="str">
        <f>IF($A628="","",INDEX('Product Master'!$C$7:$C$1000,MATCH($A628,'Product Master'!$A$7:$A$1000,0)))</f>
        <v/>
      </c>
      <c r="D628" t="str">
        <f>IF($A628="","",INDEX('Product Master'!$M$7:$M$1000,MATCH($A628,'Product Master'!$A$7:$A$1000,0)))</f>
        <v/>
      </c>
      <c r="E628" t="str">
        <f>IF($A628="","",INDEX('Product Master'!$N$7:$N$1000,MATCH($A628,'Product Master'!$A$7:$A$1000,0)))</f>
        <v/>
      </c>
      <c r="F628" t="str">
        <f>IF($A628="","",INDEX('Product Master'!$P$7:$P$1000,MATCH($A628,'Product Master'!$A$7:$A$1000,0)))</f>
        <v/>
      </c>
      <c r="I628" t="str">
        <f>IFERROR(INDEX('Product Master'!$A$7:$A$1000,_xlfn.AGGREGATE(15,6,(ROW('Product Master'!$A$7:$A$1000)-ROW('Product Master'!$A$7)+1)/(('Product Master'!$A$7:$A$1000&lt;&gt;"")*('Product Master'!$P$7:$P$1000="Out of Stock")),ROWS($I$12:I628))),"")</f>
        <v/>
      </c>
      <c r="J628" t="str">
        <f>IF($I628="","",INDEX('Product Master'!$B$7:$B$1000,MATCH($I628,'Product Master'!$A$7:$A$1000,0)))</f>
        <v/>
      </c>
      <c r="K628" t="str">
        <f>IF($I628="","",INDEX('Product Master'!$C$7:$C$1000,MATCH($I628,'Product Master'!$A$7:$A$1000,0)))</f>
        <v/>
      </c>
      <c r="L628" t="str">
        <f>IF($I628="","",INDEX('Product Master'!$M$7:$M$1000,MATCH($I628,'Product Master'!$A$7:$A$1000,0)))</f>
        <v/>
      </c>
      <c r="M628" t="str">
        <f>IF($I628="","",INDEX('Product Master'!$N$7:$N$1000,MATCH($I628,'Product Master'!$A$7:$A$1000,0)))</f>
        <v/>
      </c>
    </row>
    <row r="629" spans="1:13" x14ac:dyDescent="0.3">
      <c r="A629" t="str">
        <f>IFERROR(INDEX('Product Master'!$A$7:$A$1000,_xlfn.AGGREGATE(15,6,(ROW('Product Master'!$A$7:$A$1000)-ROW('Product Master'!$A$7)+1)/(('Product Master'!$A$7:$A$1000&lt;&gt;"")*('Product Master'!$P$7:$P$1000="Low Stock")),ROWS($A$12:A629))),"")</f>
        <v/>
      </c>
      <c r="B629" t="str">
        <f>IF($A629="","",INDEX('Product Master'!$B$7:$B$1000,MATCH($A629,'Product Master'!$A$7:$A$1000,0)))</f>
        <v/>
      </c>
      <c r="C629" t="str">
        <f>IF($A629="","",INDEX('Product Master'!$C$7:$C$1000,MATCH($A629,'Product Master'!$A$7:$A$1000,0)))</f>
        <v/>
      </c>
      <c r="D629" t="str">
        <f>IF($A629="","",INDEX('Product Master'!$M$7:$M$1000,MATCH($A629,'Product Master'!$A$7:$A$1000,0)))</f>
        <v/>
      </c>
      <c r="E629" t="str">
        <f>IF($A629="","",INDEX('Product Master'!$N$7:$N$1000,MATCH($A629,'Product Master'!$A$7:$A$1000,0)))</f>
        <v/>
      </c>
      <c r="F629" t="str">
        <f>IF($A629="","",INDEX('Product Master'!$P$7:$P$1000,MATCH($A629,'Product Master'!$A$7:$A$1000,0)))</f>
        <v/>
      </c>
      <c r="I629" t="str">
        <f>IFERROR(INDEX('Product Master'!$A$7:$A$1000,_xlfn.AGGREGATE(15,6,(ROW('Product Master'!$A$7:$A$1000)-ROW('Product Master'!$A$7)+1)/(('Product Master'!$A$7:$A$1000&lt;&gt;"")*('Product Master'!$P$7:$P$1000="Out of Stock")),ROWS($I$12:I629))),"")</f>
        <v/>
      </c>
      <c r="J629" t="str">
        <f>IF($I629="","",INDEX('Product Master'!$B$7:$B$1000,MATCH($I629,'Product Master'!$A$7:$A$1000,0)))</f>
        <v/>
      </c>
      <c r="K629" t="str">
        <f>IF($I629="","",INDEX('Product Master'!$C$7:$C$1000,MATCH($I629,'Product Master'!$A$7:$A$1000,0)))</f>
        <v/>
      </c>
      <c r="L629" t="str">
        <f>IF($I629="","",INDEX('Product Master'!$M$7:$M$1000,MATCH($I629,'Product Master'!$A$7:$A$1000,0)))</f>
        <v/>
      </c>
      <c r="M629" t="str">
        <f>IF($I629="","",INDEX('Product Master'!$N$7:$N$1000,MATCH($I629,'Product Master'!$A$7:$A$1000,0)))</f>
        <v/>
      </c>
    </row>
    <row r="630" spans="1:13" x14ac:dyDescent="0.3">
      <c r="A630" t="str">
        <f>IFERROR(INDEX('Product Master'!$A$7:$A$1000,_xlfn.AGGREGATE(15,6,(ROW('Product Master'!$A$7:$A$1000)-ROW('Product Master'!$A$7)+1)/(('Product Master'!$A$7:$A$1000&lt;&gt;"")*('Product Master'!$P$7:$P$1000="Low Stock")),ROWS($A$12:A630))),"")</f>
        <v/>
      </c>
      <c r="B630" t="str">
        <f>IF($A630="","",INDEX('Product Master'!$B$7:$B$1000,MATCH($A630,'Product Master'!$A$7:$A$1000,0)))</f>
        <v/>
      </c>
      <c r="C630" t="str">
        <f>IF($A630="","",INDEX('Product Master'!$C$7:$C$1000,MATCH($A630,'Product Master'!$A$7:$A$1000,0)))</f>
        <v/>
      </c>
      <c r="D630" t="str">
        <f>IF($A630="","",INDEX('Product Master'!$M$7:$M$1000,MATCH($A630,'Product Master'!$A$7:$A$1000,0)))</f>
        <v/>
      </c>
      <c r="E630" t="str">
        <f>IF($A630="","",INDEX('Product Master'!$N$7:$N$1000,MATCH($A630,'Product Master'!$A$7:$A$1000,0)))</f>
        <v/>
      </c>
      <c r="F630" t="str">
        <f>IF($A630="","",INDEX('Product Master'!$P$7:$P$1000,MATCH($A630,'Product Master'!$A$7:$A$1000,0)))</f>
        <v/>
      </c>
      <c r="I630" t="str">
        <f>IFERROR(INDEX('Product Master'!$A$7:$A$1000,_xlfn.AGGREGATE(15,6,(ROW('Product Master'!$A$7:$A$1000)-ROW('Product Master'!$A$7)+1)/(('Product Master'!$A$7:$A$1000&lt;&gt;"")*('Product Master'!$P$7:$P$1000="Out of Stock")),ROWS($I$12:I630))),"")</f>
        <v/>
      </c>
      <c r="J630" t="str">
        <f>IF($I630="","",INDEX('Product Master'!$B$7:$B$1000,MATCH($I630,'Product Master'!$A$7:$A$1000,0)))</f>
        <v/>
      </c>
      <c r="K630" t="str">
        <f>IF($I630="","",INDEX('Product Master'!$C$7:$C$1000,MATCH($I630,'Product Master'!$A$7:$A$1000,0)))</f>
        <v/>
      </c>
      <c r="L630" t="str">
        <f>IF($I630="","",INDEX('Product Master'!$M$7:$M$1000,MATCH($I630,'Product Master'!$A$7:$A$1000,0)))</f>
        <v/>
      </c>
      <c r="M630" t="str">
        <f>IF($I630="","",INDEX('Product Master'!$N$7:$N$1000,MATCH($I630,'Product Master'!$A$7:$A$1000,0)))</f>
        <v/>
      </c>
    </row>
    <row r="631" spans="1:13" x14ac:dyDescent="0.3">
      <c r="A631" t="str">
        <f>IFERROR(INDEX('Product Master'!$A$7:$A$1000,_xlfn.AGGREGATE(15,6,(ROW('Product Master'!$A$7:$A$1000)-ROW('Product Master'!$A$7)+1)/(('Product Master'!$A$7:$A$1000&lt;&gt;"")*('Product Master'!$P$7:$P$1000="Low Stock")),ROWS($A$12:A631))),"")</f>
        <v/>
      </c>
      <c r="B631" t="str">
        <f>IF($A631="","",INDEX('Product Master'!$B$7:$B$1000,MATCH($A631,'Product Master'!$A$7:$A$1000,0)))</f>
        <v/>
      </c>
      <c r="C631" t="str">
        <f>IF($A631="","",INDEX('Product Master'!$C$7:$C$1000,MATCH($A631,'Product Master'!$A$7:$A$1000,0)))</f>
        <v/>
      </c>
      <c r="D631" t="str">
        <f>IF($A631="","",INDEX('Product Master'!$M$7:$M$1000,MATCH($A631,'Product Master'!$A$7:$A$1000,0)))</f>
        <v/>
      </c>
      <c r="E631" t="str">
        <f>IF($A631="","",INDEX('Product Master'!$N$7:$N$1000,MATCH($A631,'Product Master'!$A$7:$A$1000,0)))</f>
        <v/>
      </c>
      <c r="F631" t="str">
        <f>IF($A631="","",INDEX('Product Master'!$P$7:$P$1000,MATCH($A631,'Product Master'!$A$7:$A$1000,0)))</f>
        <v/>
      </c>
      <c r="I631" t="str">
        <f>IFERROR(INDEX('Product Master'!$A$7:$A$1000,_xlfn.AGGREGATE(15,6,(ROW('Product Master'!$A$7:$A$1000)-ROW('Product Master'!$A$7)+1)/(('Product Master'!$A$7:$A$1000&lt;&gt;"")*('Product Master'!$P$7:$P$1000="Out of Stock")),ROWS($I$12:I631))),"")</f>
        <v/>
      </c>
      <c r="J631" t="str">
        <f>IF($I631="","",INDEX('Product Master'!$B$7:$B$1000,MATCH($I631,'Product Master'!$A$7:$A$1000,0)))</f>
        <v/>
      </c>
      <c r="K631" t="str">
        <f>IF($I631="","",INDEX('Product Master'!$C$7:$C$1000,MATCH($I631,'Product Master'!$A$7:$A$1000,0)))</f>
        <v/>
      </c>
      <c r="L631" t="str">
        <f>IF($I631="","",INDEX('Product Master'!$M$7:$M$1000,MATCH($I631,'Product Master'!$A$7:$A$1000,0)))</f>
        <v/>
      </c>
      <c r="M631" t="str">
        <f>IF($I631="","",INDEX('Product Master'!$N$7:$N$1000,MATCH($I631,'Product Master'!$A$7:$A$1000,0)))</f>
        <v/>
      </c>
    </row>
    <row r="632" spans="1:13" x14ac:dyDescent="0.3">
      <c r="A632" t="str">
        <f>IFERROR(INDEX('Product Master'!$A$7:$A$1000,_xlfn.AGGREGATE(15,6,(ROW('Product Master'!$A$7:$A$1000)-ROW('Product Master'!$A$7)+1)/(('Product Master'!$A$7:$A$1000&lt;&gt;"")*('Product Master'!$P$7:$P$1000="Low Stock")),ROWS($A$12:A632))),"")</f>
        <v/>
      </c>
      <c r="B632" t="str">
        <f>IF($A632="","",INDEX('Product Master'!$B$7:$B$1000,MATCH($A632,'Product Master'!$A$7:$A$1000,0)))</f>
        <v/>
      </c>
      <c r="C632" t="str">
        <f>IF($A632="","",INDEX('Product Master'!$C$7:$C$1000,MATCH($A632,'Product Master'!$A$7:$A$1000,0)))</f>
        <v/>
      </c>
      <c r="D632" t="str">
        <f>IF($A632="","",INDEX('Product Master'!$M$7:$M$1000,MATCH($A632,'Product Master'!$A$7:$A$1000,0)))</f>
        <v/>
      </c>
      <c r="E632" t="str">
        <f>IF($A632="","",INDEX('Product Master'!$N$7:$N$1000,MATCH($A632,'Product Master'!$A$7:$A$1000,0)))</f>
        <v/>
      </c>
      <c r="F632" t="str">
        <f>IF($A632="","",INDEX('Product Master'!$P$7:$P$1000,MATCH($A632,'Product Master'!$A$7:$A$1000,0)))</f>
        <v/>
      </c>
      <c r="I632" t="str">
        <f>IFERROR(INDEX('Product Master'!$A$7:$A$1000,_xlfn.AGGREGATE(15,6,(ROW('Product Master'!$A$7:$A$1000)-ROW('Product Master'!$A$7)+1)/(('Product Master'!$A$7:$A$1000&lt;&gt;"")*('Product Master'!$P$7:$P$1000="Out of Stock")),ROWS($I$12:I632))),"")</f>
        <v/>
      </c>
      <c r="J632" t="str">
        <f>IF($I632="","",INDEX('Product Master'!$B$7:$B$1000,MATCH($I632,'Product Master'!$A$7:$A$1000,0)))</f>
        <v/>
      </c>
      <c r="K632" t="str">
        <f>IF($I632="","",INDEX('Product Master'!$C$7:$C$1000,MATCH($I632,'Product Master'!$A$7:$A$1000,0)))</f>
        <v/>
      </c>
      <c r="L632" t="str">
        <f>IF($I632="","",INDEX('Product Master'!$M$7:$M$1000,MATCH($I632,'Product Master'!$A$7:$A$1000,0)))</f>
        <v/>
      </c>
      <c r="M632" t="str">
        <f>IF($I632="","",INDEX('Product Master'!$N$7:$N$1000,MATCH($I632,'Product Master'!$A$7:$A$1000,0)))</f>
        <v/>
      </c>
    </row>
    <row r="633" spans="1:13" x14ac:dyDescent="0.3">
      <c r="A633" t="str">
        <f>IFERROR(INDEX('Product Master'!$A$7:$A$1000,_xlfn.AGGREGATE(15,6,(ROW('Product Master'!$A$7:$A$1000)-ROW('Product Master'!$A$7)+1)/(('Product Master'!$A$7:$A$1000&lt;&gt;"")*('Product Master'!$P$7:$P$1000="Low Stock")),ROWS($A$12:A633))),"")</f>
        <v/>
      </c>
      <c r="B633" t="str">
        <f>IF($A633="","",INDEX('Product Master'!$B$7:$B$1000,MATCH($A633,'Product Master'!$A$7:$A$1000,0)))</f>
        <v/>
      </c>
      <c r="C633" t="str">
        <f>IF($A633="","",INDEX('Product Master'!$C$7:$C$1000,MATCH($A633,'Product Master'!$A$7:$A$1000,0)))</f>
        <v/>
      </c>
      <c r="D633" t="str">
        <f>IF($A633="","",INDEX('Product Master'!$M$7:$M$1000,MATCH($A633,'Product Master'!$A$7:$A$1000,0)))</f>
        <v/>
      </c>
      <c r="E633" t="str">
        <f>IF($A633="","",INDEX('Product Master'!$N$7:$N$1000,MATCH($A633,'Product Master'!$A$7:$A$1000,0)))</f>
        <v/>
      </c>
      <c r="F633" t="str">
        <f>IF($A633="","",INDEX('Product Master'!$P$7:$P$1000,MATCH($A633,'Product Master'!$A$7:$A$1000,0)))</f>
        <v/>
      </c>
      <c r="I633" t="str">
        <f>IFERROR(INDEX('Product Master'!$A$7:$A$1000,_xlfn.AGGREGATE(15,6,(ROW('Product Master'!$A$7:$A$1000)-ROW('Product Master'!$A$7)+1)/(('Product Master'!$A$7:$A$1000&lt;&gt;"")*('Product Master'!$P$7:$P$1000="Out of Stock")),ROWS($I$12:I633))),"")</f>
        <v/>
      </c>
      <c r="J633" t="str">
        <f>IF($I633="","",INDEX('Product Master'!$B$7:$B$1000,MATCH($I633,'Product Master'!$A$7:$A$1000,0)))</f>
        <v/>
      </c>
      <c r="K633" t="str">
        <f>IF($I633="","",INDEX('Product Master'!$C$7:$C$1000,MATCH($I633,'Product Master'!$A$7:$A$1000,0)))</f>
        <v/>
      </c>
      <c r="L633" t="str">
        <f>IF($I633="","",INDEX('Product Master'!$M$7:$M$1000,MATCH($I633,'Product Master'!$A$7:$A$1000,0)))</f>
        <v/>
      </c>
      <c r="M633" t="str">
        <f>IF($I633="","",INDEX('Product Master'!$N$7:$N$1000,MATCH($I633,'Product Master'!$A$7:$A$1000,0)))</f>
        <v/>
      </c>
    </row>
    <row r="634" spans="1:13" x14ac:dyDescent="0.3">
      <c r="A634" t="str">
        <f>IFERROR(INDEX('Product Master'!$A$7:$A$1000,_xlfn.AGGREGATE(15,6,(ROW('Product Master'!$A$7:$A$1000)-ROW('Product Master'!$A$7)+1)/(('Product Master'!$A$7:$A$1000&lt;&gt;"")*('Product Master'!$P$7:$P$1000="Low Stock")),ROWS($A$12:A634))),"")</f>
        <v/>
      </c>
      <c r="B634" t="str">
        <f>IF($A634="","",INDEX('Product Master'!$B$7:$B$1000,MATCH($A634,'Product Master'!$A$7:$A$1000,0)))</f>
        <v/>
      </c>
      <c r="C634" t="str">
        <f>IF($A634="","",INDEX('Product Master'!$C$7:$C$1000,MATCH($A634,'Product Master'!$A$7:$A$1000,0)))</f>
        <v/>
      </c>
      <c r="D634" t="str">
        <f>IF($A634="","",INDEX('Product Master'!$M$7:$M$1000,MATCH($A634,'Product Master'!$A$7:$A$1000,0)))</f>
        <v/>
      </c>
      <c r="E634" t="str">
        <f>IF($A634="","",INDEX('Product Master'!$N$7:$N$1000,MATCH($A634,'Product Master'!$A$7:$A$1000,0)))</f>
        <v/>
      </c>
      <c r="F634" t="str">
        <f>IF($A634="","",INDEX('Product Master'!$P$7:$P$1000,MATCH($A634,'Product Master'!$A$7:$A$1000,0)))</f>
        <v/>
      </c>
      <c r="I634" t="str">
        <f>IFERROR(INDEX('Product Master'!$A$7:$A$1000,_xlfn.AGGREGATE(15,6,(ROW('Product Master'!$A$7:$A$1000)-ROW('Product Master'!$A$7)+1)/(('Product Master'!$A$7:$A$1000&lt;&gt;"")*('Product Master'!$P$7:$P$1000="Out of Stock")),ROWS($I$12:I634))),"")</f>
        <v/>
      </c>
      <c r="J634" t="str">
        <f>IF($I634="","",INDEX('Product Master'!$B$7:$B$1000,MATCH($I634,'Product Master'!$A$7:$A$1000,0)))</f>
        <v/>
      </c>
      <c r="K634" t="str">
        <f>IF($I634="","",INDEX('Product Master'!$C$7:$C$1000,MATCH($I634,'Product Master'!$A$7:$A$1000,0)))</f>
        <v/>
      </c>
      <c r="L634" t="str">
        <f>IF($I634="","",INDEX('Product Master'!$M$7:$M$1000,MATCH($I634,'Product Master'!$A$7:$A$1000,0)))</f>
        <v/>
      </c>
      <c r="M634" t="str">
        <f>IF($I634="","",INDEX('Product Master'!$N$7:$N$1000,MATCH($I634,'Product Master'!$A$7:$A$1000,0)))</f>
        <v/>
      </c>
    </row>
    <row r="635" spans="1:13" x14ac:dyDescent="0.3">
      <c r="A635" t="str">
        <f>IFERROR(INDEX('Product Master'!$A$7:$A$1000,_xlfn.AGGREGATE(15,6,(ROW('Product Master'!$A$7:$A$1000)-ROW('Product Master'!$A$7)+1)/(('Product Master'!$A$7:$A$1000&lt;&gt;"")*('Product Master'!$P$7:$P$1000="Low Stock")),ROWS($A$12:A635))),"")</f>
        <v/>
      </c>
      <c r="B635" t="str">
        <f>IF($A635="","",INDEX('Product Master'!$B$7:$B$1000,MATCH($A635,'Product Master'!$A$7:$A$1000,0)))</f>
        <v/>
      </c>
      <c r="C635" t="str">
        <f>IF($A635="","",INDEX('Product Master'!$C$7:$C$1000,MATCH($A635,'Product Master'!$A$7:$A$1000,0)))</f>
        <v/>
      </c>
      <c r="D635" t="str">
        <f>IF($A635="","",INDEX('Product Master'!$M$7:$M$1000,MATCH($A635,'Product Master'!$A$7:$A$1000,0)))</f>
        <v/>
      </c>
      <c r="E635" t="str">
        <f>IF($A635="","",INDEX('Product Master'!$N$7:$N$1000,MATCH($A635,'Product Master'!$A$7:$A$1000,0)))</f>
        <v/>
      </c>
      <c r="F635" t="str">
        <f>IF($A635="","",INDEX('Product Master'!$P$7:$P$1000,MATCH($A635,'Product Master'!$A$7:$A$1000,0)))</f>
        <v/>
      </c>
      <c r="I635" t="str">
        <f>IFERROR(INDEX('Product Master'!$A$7:$A$1000,_xlfn.AGGREGATE(15,6,(ROW('Product Master'!$A$7:$A$1000)-ROW('Product Master'!$A$7)+1)/(('Product Master'!$A$7:$A$1000&lt;&gt;"")*('Product Master'!$P$7:$P$1000="Out of Stock")),ROWS($I$12:I635))),"")</f>
        <v/>
      </c>
      <c r="J635" t="str">
        <f>IF($I635="","",INDEX('Product Master'!$B$7:$B$1000,MATCH($I635,'Product Master'!$A$7:$A$1000,0)))</f>
        <v/>
      </c>
      <c r="K635" t="str">
        <f>IF($I635="","",INDEX('Product Master'!$C$7:$C$1000,MATCH($I635,'Product Master'!$A$7:$A$1000,0)))</f>
        <v/>
      </c>
      <c r="L635" t="str">
        <f>IF($I635="","",INDEX('Product Master'!$M$7:$M$1000,MATCH($I635,'Product Master'!$A$7:$A$1000,0)))</f>
        <v/>
      </c>
      <c r="M635" t="str">
        <f>IF($I635="","",INDEX('Product Master'!$N$7:$N$1000,MATCH($I635,'Product Master'!$A$7:$A$1000,0)))</f>
        <v/>
      </c>
    </row>
    <row r="636" spans="1:13" x14ac:dyDescent="0.3">
      <c r="A636" t="str">
        <f>IFERROR(INDEX('Product Master'!$A$7:$A$1000,_xlfn.AGGREGATE(15,6,(ROW('Product Master'!$A$7:$A$1000)-ROW('Product Master'!$A$7)+1)/(('Product Master'!$A$7:$A$1000&lt;&gt;"")*('Product Master'!$P$7:$P$1000="Low Stock")),ROWS($A$12:A636))),"")</f>
        <v/>
      </c>
      <c r="B636" t="str">
        <f>IF($A636="","",INDEX('Product Master'!$B$7:$B$1000,MATCH($A636,'Product Master'!$A$7:$A$1000,0)))</f>
        <v/>
      </c>
      <c r="C636" t="str">
        <f>IF($A636="","",INDEX('Product Master'!$C$7:$C$1000,MATCH($A636,'Product Master'!$A$7:$A$1000,0)))</f>
        <v/>
      </c>
      <c r="D636" t="str">
        <f>IF($A636="","",INDEX('Product Master'!$M$7:$M$1000,MATCH($A636,'Product Master'!$A$7:$A$1000,0)))</f>
        <v/>
      </c>
      <c r="E636" t="str">
        <f>IF($A636="","",INDEX('Product Master'!$N$7:$N$1000,MATCH($A636,'Product Master'!$A$7:$A$1000,0)))</f>
        <v/>
      </c>
      <c r="F636" t="str">
        <f>IF($A636="","",INDEX('Product Master'!$P$7:$P$1000,MATCH($A636,'Product Master'!$A$7:$A$1000,0)))</f>
        <v/>
      </c>
      <c r="I636" t="str">
        <f>IFERROR(INDEX('Product Master'!$A$7:$A$1000,_xlfn.AGGREGATE(15,6,(ROW('Product Master'!$A$7:$A$1000)-ROW('Product Master'!$A$7)+1)/(('Product Master'!$A$7:$A$1000&lt;&gt;"")*('Product Master'!$P$7:$P$1000="Out of Stock")),ROWS($I$12:I636))),"")</f>
        <v/>
      </c>
      <c r="J636" t="str">
        <f>IF($I636="","",INDEX('Product Master'!$B$7:$B$1000,MATCH($I636,'Product Master'!$A$7:$A$1000,0)))</f>
        <v/>
      </c>
      <c r="K636" t="str">
        <f>IF($I636="","",INDEX('Product Master'!$C$7:$C$1000,MATCH($I636,'Product Master'!$A$7:$A$1000,0)))</f>
        <v/>
      </c>
      <c r="L636" t="str">
        <f>IF($I636="","",INDEX('Product Master'!$M$7:$M$1000,MATCH($I636,'Product Master'!$A$7:$A$1000,0)))</f>
        <v/>
      </c>
      <c r="M636" t="str">
        <f>IF($I636="","",INDEX('Product Master'!$N$7:$N$1000,MATCH($I636,'Product Master'!$A$7:$A$1000,0)))</f>
        <v/>
      </c>
    </row>
    <row r="637" spans="1:13" x14ac:dyDescent="0.3">
      <c r="A637" t="str">
        <f>IFERROR(INDEX('Product Master'!$A$7:$A$1000,_xlfn.AGGREGATE(15,6,(ROW('Product Master'!$A$7:$A$1000)-ROW('Product Master'!$A$7)+1)/(('Product Master'!$A$7:$A$1000&lt;&gt;"")*('Product Master'!$P$7:$P$1000="Low Stock")),ROWS($A$12:A637))),"")</f>
        <v/>
      </c>
      <c r="B637" t="str">
        <f>IF($A637="","",INDEX('Product Master'!$B$7:$B$1000,MATCH($A637,'Product Master'!$A$7:$A$1000,0)))</f>
        <v/>
      </c>
      <c r="C637" t="str">
        <f>IF($A637="","",INDEX('Product Master'!$C$7:$C$1000,MATCH($A637,'Product Master'!$A$7:$A$1000,0)))</f>
        <v/>
      </c>
      <c r="D637" t="str">
        <f>IF($A637="","",INDEX('Product Master'!$M$7:$M$1000,MATCH($A637,'Product Master'!$A$7:$A$1000,0)))</f>
        <v/>
      </c>
      <c r="E637" t="str">
        <f>IF($A637="","",INDEX('Product Master'!$N$7:$N$1000,MATCH($A637,'Product Master'!$A$7:$A$1000,0)))</f>
        <v/>
      </c>
      <c r="F637" t="str">
        <f>IF($A637="","",INDEX('Product Master'!$P$7:$P$1000,MATCH($A637,'Product Master'!$A$7:$A$1000,0)))</f>
        <v/>
      </c>
      <c r="I637" t="str">
        <f>IFERROR(INDEX('Product Master'!$A$7:$A$1000,_xlfn.AGGREGATE(15,6,(ROW('Product Master'!$A$7:$A$1000)-ROW('Product Master'!$A$7)+1)/(('Product Master'!$A$7:$A$1000&lt;&gt;"")*('Product Master'!$P$7:$P$1000="Out of Stock")),ROWS($I$12:I637))),"")</f>
        <v/>
      </c>
      <c r="J637" t="str">
        <f>IF($I637="","",INDEX('Product Master'!$B$7:$B$1000,MATCH($I637,'Product Master'!$A$7:$A$1000,0)))</f>
        <v/>
      </c>
      <c r="K637" t="str">
        <f>IF($I637="","",INDEX('Product Master'!$C$7:$C$1000,MATCH($I637,'Product Master'!$A$7:$A$1000,0)))</f>
        <v/>
      </c>
      <c r="L637" t="str">
        <f>IF($I637="","",INDEX('Product Master'!$M$7:$M$1000,MATCH($I637,'Product Master'!$A$7:$A$1000,0)))</f>
        <v/>
      </c>
      <c r="M637" t="str">
        <f>IF($I637="","",INDEX('Product Master'!$N$7:$N$1000,MATCH($I637,'Product Master'!$A$7:$A$1000,0)))</f>
        <v/>
      </c>
    </row>
    <row r="638" spans="1:13" x14ac:dyDescent="0.3">
      <c r="A638" t="str">
        <f>IFERROR(INDEX('Product Master'!$A$7:$A$1000,_xlfn.AGGREGATE(15,6,(ROW('Product Master'!$A$7:$A$1000)-ROW('Product Master'!$A$7)+1)/(('Product Master'!$A$7:$A$1000&lt;&gt;"")*('Product Master'!$P$7:$P$1000="Low Stock")),ROWS($A$12:A638))),"")</f>
        <v/>
      </c>
      <c r="B638" t="str">
        <f>IF($A638="","",INDEX('Product Master'!$B$7:$B$1000,MATCH($A638,'Product Master'!$A$7:$A$1000,0)))</f>
        <v/>
      </c>
      <c r="C638" t="str">
        <f>IF($A638="","",INDEX('Product Master'!$C$7:$C$1000,MATCH($A638,'Product Master'!$A$7:$A$1000,0)))</f>
        <v/>
      </c>
      <c r="D638" t="str">
        <f>IF($A638="","",INDEX('Product Master'!$M$7:$M$1000,MATCH($A638,'Product Master'!$A$7:$A$1000,0)))</f>
        <v/>
      </c>
      <c r="E638" t="str">
        <f>IF($A638="","",INDEX('Product Master'!$N$7:$N$1000,MATCH($A638,'Product Master'!$A$7:$A$1000,0)))</f>
        <v/>
      </c>
      <c r="F638" t="str">
        <f>IF($A638="","",INDEX('Product Master'!$P$7:$P$1000,MATCH($A638,'Product Master'!$A$7:$A$1000,0)))</f>
        <v/>
      </c>
      <c r="I638" t="str">
        <f>IFERROR(INDEX('Product Master'!$A$7:$A$1000,_xlfn.AGGREGATE(15,6,(ROW('Product Master'!$A$7:$A$1000)-ROW('Product Master'!$A$7)+1)/(('Product Master'!$A$7:$A$1000&lt;&gt;"")*('Product Master'!$P$7:$P$1000="Out of Stock")),ROWS($I$12:I638))),"")</f>
        <v/>
      </c>
      <c r="J638" t="str">
        <f>IF($I638="","",INDEX('Product Master'!$B$7:$B$1000,MATCH($I638,'Product Master'!$A$7:$A$1000,0)))</f>
        <v/>
      </c>
      <c r="K638" t="str">
        <f>IF($I638="","",INDEX('Product Master'!$C$7:$C$1000,MATCH($I638,'Product Master'!$A$7:$A$1000,0)))</f>
        <v/>
      </c>
      <c r="L638" t="str">
        <f>IF($I638="","",INDEX('Product Master'!$M$7:$M$1000,MATCH($I638,'Product Master'!$A$7:$A$1000,0)))</f>
        <v/>
      </c>
      <c r="M638" t="str">
        <f>IF($I638="","",INDEX('Product Master'!$N$7:$N$1000,MATCH($I638,'Product Master'!$A$7:$A$1000,0)))</f>
        <v/>
      </c>
    </row>
    <row r="639" spans="1:13" x14ac:dyDescent="0.3">
      <c r="A639" t="str">
        <f>IFERROR(INDEX('Product Master'!$A$7:$A$1000,_xlfn.AGGREGATE(15,6,(ROW('Product Master'!$A$7:$A$1000)-ROW('Product Master'!$A$7)+1)/(('Product Master'!$A$7:$A$1000&lt;&gt;"")*('Product Master'!$P$7:$P$1000="Low Stock")),ROWS($A$12:A639))),"")</f>
        <v/>
      </c>
      <c r="B639" t="str">
        <f>IF($A639="","",INDEX('Product Master'!$B$7:$B$1000,MATCH($A639,'Product Master'!$A$7:$A$1000,0)))</f>
        <v/>
      </c>
      <c r="C639" t="str">
        <f>IF($A639="","",INDEX('Product Master'!$C$7:$C$1000,MATCH($A639,'Product Master'!$A$7:$A$1000,0)))</f>
        <v/>
      </c>
      <c r="D639" t="str">
        <f>IF($A639="","",INDEX('Product Master'!$M$7:$M$1000,MATCH($A639,'Product Master'!$A$7:$A$1000,0)))</f>
        <v/>
      </c>
      <c r="E639" t="str">
        <f>IF($A639="","",INDEX('Product Master'!$N$7:$N$1000,MATCH($A639,'Product Master'!$A$7:$A$1000,0)))</f>
        <v/>
      </c>
      <c r="F639" t="str">
        <f>IF($A639="","",INDEX('Product Master'!$P$7:$P$1000,MATCH($A639,'Product Master'!$A$7:$A$1000,0)))</f>
        <v/>
      </c>
      <c r="I639" t="str">
        <f>IFERROR(INDEX('Product Master'!$A$7:$A$1000,_xlfn.AGGREGATE(15,6,(ROW('Product Master'!$A$7:$A$1000)-ROW('Product Master'!$A$7)+1)/(('Product Master'!$A$7:$A$1000&lt;&gt;"")*('Product Master'!$P$7:$P$1000="Out of Stock")),ROWS($I$12:I639))),"")</f>
        <v/>
      </c>
      <c r="J639" t="str">
        <f>IF($I639="","",INDEX('Product Master'!$B$7:$B$1000,MATCH($I639,'Product Master'!$A$7:$A$1000,0)))</f>
        <v/>
      </c>
      <c r="K639" t="str">
        <f>IF($I639="","",INDEX('Product Master'!$C$7:$C$1000,MATCH($I639,'Product Master'!$A$7:$A$1000,0)))</f>
        <v/>
      </c>
      <c r="L639" t="str">
        <f>IF($I639="","",INDEX('Product Master'!$M$7:$M$1000,MATCH($I639,'Product Master'!$A$7:$A$1000,0)))</f>
        <v/>
      </c>
      <c r="M639" t="str">
        <f>IF($I639="","",INDEX('Product Master'!$N$7:$N$1000,MATCH($I639,'Product Master'!$A$7:$A$1000,0)))</f>
        <v/>
      </c>
    </row>
    <row r="640" spans="1:13" x14ac:dyDescent="0.3">
      <c r="A640" t="str">
        <f>IFERROR(INDEX('Product Master'!$A$7:$A$1000,_xlfn.AGGREGATE(15,6,(ROW('Product Master'!$A$7:$A$1000)-ROW('Product Master'!$A$7)+1)/(('Product Master'!$A$7:$A$1000&lt;&gt;"")*('Product Master'!$P$7:$P$1000="Low Stock")),ROWS($A$12:A640))),"")</f>
        <v/>
      </c>
      <c r="B640" t="str">
        <f>IF($A640="","",INDEX('Product Master'!$B$7:$B$1000,MATCH($A640,'Product Master'!$A$7:$A$1000,0)))</f>
        <v/>
      </c>
      <c r="C640" t="str">
        <f>IF($A640="","",INDEX('Product Master'!$C$7:$C$1000,MATCH($A640,'Product Master'!$A$7:$A$1000,0)))</f>
        <v/>
      </c>
      <c r="D640" t="str">
        <f>IF($A640="","",INDEX('Product Master'!$M$7:$M$1000,MATCH($A640,'Product Master'!$A$7:$A$1000,0)))</f>
        <v/>
      </c>
      <c r="E640" t="str">
        <f>IF($A640="","",INDEX('Product Master'!$N$7:$N$1000,MATCH($A640,'Product Master'!$A$7:$A$1000,0)))</f>
        <v/>
      </c>
      <c r="F640" t="str">
        <f>IF($A640="","",INDEX('Product Master'!$P$7:$P$1000,MATCH($A640,'Product Master'!$A$7:$A$1000,0)))</f>
        <v/>
      </c>
      <c r="I640" t="str">
        <f>IFERROR(INDEX('Product Master'!$A$7:$A$1000,_xlfn.AGGREGATE(15,6,(ROW('Product Master'!$A$7:$A$1000)-ROW('Product Master'!$A$7)+1)/(('Product Master'!$A$7:$A$1000&lt;&gt;"")*('Product Master'!$P$7:$P$1000="Out of Stock")),ROWS($I$12:I640))),"")</f>
        <v/>
      </c>
      <c r="J640" t="str">
        <f>IF($I640="","",INDEX('Product Master'!$B$7:$B$1000,MATCH($I640,'Product Master'!$A$7:$A$1000,0)))</f>
        <v/>
      </c>
      <c r="K640" t="str">
        <f>IF($I640="","",INDEX('Product Master'!$C$7:$C$1000,MATCH($I640,'Product Master'!$A$7:$A$1000,0)))</f>
        <v/>
      </c>
      <c r="L640" t="str">
        <f>IF($I640="","",INDEX('Product Master'!$M$7:$M$1000,MATCH($I640,'Product Master'!$A$7:$A$1000,0)))</f>
        <v/>
      </c>
      <c r="M640" t="str">
        <f>IF($I640="","",INDEX('Product Master'!$N$7:$N$1000,MATCH($I640,'Product Master'!$A$7:$A$1000,0)))</f>
        <v/>
      </c>
    </row>
    <row r="641" spans="1:13" x14ac:dyDescent="0.3">
      <c r="A641" t="str">
        <f>IFERROR(INDEX('Product Master'!$A$7:$A$1000,_xlfn.AGGREGATE(15,6,(ROW('Product Master'!$A$7:$A$1000)-ROW('Product Master'!$A$7)+1)/(('Product Master'!$A$7:$A$1000&lt;&gt;"")*('Product Master'!$P$7:$P$1000="Low Stock")),ROWS($A$12:A641))),"")</f>
        <v/>
      </c>
      <c r="B641" t="str">
        <f>IF($A641="","",INDEX('Product Master'!$B$7:$B$1000,MATCH($A641,'Product Master'!$A$7:$A$1000,0)))</f>
        <v/>
      </c>
      <c r="C641" t="str">
        <f>IF($A641="","",INDEX('Product Master'!$C$7:$C$1000,MATCH($A641,'Product Master'!$A$7:$A$1000,0)))</f>
        <v/>
      </c>
      <c r="D641" t="str">
        <f>IF($A641="","",INDEX('Product Master'!$M$7:$M$1000,MATCH($A641,'Product Master'!$A$7:$A$1000,0)))</f>
        <v/>
      </c>
      <c r="E641" t="str">
        <f>IF($A641="","",INDEX('Product Master'!$N$7:$N$1000,MATCH($A641,'Product Master'!$A$7:$A$1000,0)))</f>
        <v/>
      </c>
      <c r="F641" t="str">
        <f>IF($A641="","",INDEX('Product Master'!$P$7:$P$1000,MATCH($A641,'Product Master'!$A$7:$A$1000,0)))</f>
        <v/>
      </c>
      <c r="I641" t="str">
        <f>IFERROR(INDEX('Product Master'!$A$7:$A$1000,_xlfn.AGGREGATE(15,6,(ROW('Product Master'!$A$7:$A$1000)-ROW('Product Master'!$A$7)+1)/(('Product Master'!$A$7:$A$1000&lt;&gt;"")*('Product Master'!$P$7:$P$1000="Out of Stock")),ROWS($I$12:I641))),"")</f>
        <v/>
      </c>
      <c r="J641" t="str">
        <f>IF($I641="","",INDEX('Product Master'!$B$7:$B$1000,MATCH($I641,'Product Master'!$A$7:$A$1000,0)))</f>
        <v/>
      </c>
      <c r="K641" t="str">
        <f>IF($I641="","",INDEX('Product Master'!$C$7:$C$1000,MATCH($I641,'Product Master'!$A$7:$A$1000,0)))</f>
        <v/>
      </c>
      <c r="L641" t="str">
        <f>IF($I641="","",INDEX('Product Master'!$M$7:$M$1000,MATCH($I641,'Product Master'!$A$7:$A$1000,0)))</f>
        <v/>
      </c>
      <c r="M641" t="str">
        <f>IF($I641="","",INDEX('Product Master'!$N$7:$N$1000,MATCH($I641,'Product Master'!$A$7:$A$1000,0)))</f>
        <v/>
      </c>
    </row>
    <row r="642" spans="1:13" x14ac:dyDescent="0.3">
      <c r="A642" t="str">
        <f>IFERROR(INDEX('Product Master'!$A$7:$A$1000,_xlfn.AGGREGATE(15,6,(ROW('Product Master'!$A$7:$A$1000)-ROW('Product Master'!$A$7)+1)/(('Product Master'!$A$7:$A$1000&lt;&gt;"")*('Product Master'!$P$7:$P$1000="Low Stock")),ROWS($A$12:A642))),"")</f>
        <v/>
      </c>
      <c r="B642" t="str">
        <f>IF($A642="","",INDEX('Product Master'!$B$7:$B$1000,MATCH($A642,'Product Master'!$A$7:$A$1000,0)))</f>
        <v/>
      </c>
      <c r="C642" t="str">
        <f>IF($A642="","",INDEX('Product Master'!$C$7:$C$1000,MATCH($A642,'Product Master'!$A$7:$A$1000,0)))</f>
        <v/>
      </c>
      <c r="D642" t="str">
        <f>IF($A642="","",INDEX('Product Master'!$M$7:$M$1000,MATCH($A642,'Product Master'!$A$7:$A$1000,0)))</f>
        <v/>
      </c>
      <c r="E642" t="str">
        <f>IF($A642="","",INDEX('Product Master'!$N$7:$N$1000,MATCH($A642,'Product Master'!$A$7:$A$1000,0)))</f>
        <v/>
      </c>
      <c r="F642" t="str">
        <f>IF($A642="","",INDEX('Product Master'!$P$7:$P$1000,MATCH($A642,'Product Master'!$A$7:$A$1000,0)))</f>
        <v/>
      </c>
      <c r="I642" t="str">
        <f>IFERROR(INDEX('Product Master'!$A$7:$A$1000,_xlfn.AGGREGATE(15,6,(ROW('Product Master'!$A$7:$A$1000)-ROW('Product Master'!$A$7)+1)/(('Product Master'!$A$7:$A$1000&lt;&gt;"")*('Product Master'!$P$7:$P$1000="Out of Stock")),ROWS($I$12:I642))),"")</f>
        <v/>
      </c>
      <c r="J642" t="str">
        <f>IF($I642="","",INDEX('Product Master'!$B$7:$B$1000,MATCH($I642,'Product Master'!$A$7:$A$1000,0)))</f>
        <v/>
      </c>
      <c r="K642" t="str">
        <f>IF($I642="","",INDEX('Product Master'!$C$7:$C$1000,MATCH($I642,'Product Master'!$A$7:$A$1000,0)))</f>
        <v/>
      </c>
      <c r="L642" t="str">
        <f>IF($I642="","",INDEX('Product Master'!$M$7:$M$1000,MATCH($I642,'Product Master'!$A$7:$A$1000,0)))</f>
        <v/>
      </c>
      <c r="M642" t="str">
        <f>IF($I642="","",INDEX('Product Master'!$N$7:$N$1000,MATCH($I642,'Product Master'!$A$7:$A$1000,0)))</f>
        <v/>
      </c>
    </row>
    <row r="643" spans="1:13" x14ac:dyDescent="0.3">
      <c r="A643" t="str">
        <f>IFERROR(INDEX('Product Master'!$A$7:$A$1000,_xlfn.AGGREGATE(15,6,(ROW('Product Master'!$A$7:$A$1000)-ROW('Product Master'!$A$7)+1)/(('Product Master'!$A$7:$A$1000&lt;&gt;"")*('Product Master'!$P$7:$P$1000="Low Stock")),ROWS($A$12:A643))),"")</f>
        <v/>
      </c>
      <c r="B643" t="str">
        <f>IF($A643="","",INDEX('Product Master'!$B$7:$B$1000,MATCH($A643,'Product Master'!$A$7:$A$1000,0)))</f>
        <v/>
      </c>
      <c r="C643" t="str">
        <f>IF($A643="","",INDEX('Product Master'!$C$7:$C$1000,MATCH($A643,'Product Master'!$A$7:$A$1000,0)))</f>
        <v/>
      </c>
      <c r="D643" t="str">
        <f>IF($A643="","",INDEX('Product Master'!$M$7:$M$1000,MATCH($A643,'Product Master'!$A$7:$A$1000,0)))</f>
        <v/>
      </c>
      <c r="E643" t="str">
        <f>IF($A643="","",INDEX('Product Master'!$N$7:$N$1000,MATCH($A643,'Product Master'!$A$7:$A$1000,0)))</f>
        <v/>
      </c>
      <c r="F643" t="str">
        <f>IF($A643="","",INDEX('Product Master'!$P$7:$P$1000,MATCH($A643,'Product Master'!$A$7:$A$1000,0)))</f>
        <v/>
      </c>
      <c r="I643" t="str">
        <f>IFERROR(INDEX('Product Master'!$A$7:$A$1000,_xlfn.AGGREGATE(15,6,(ROW('Product Master'!$A$7:$A$1000)-ROW('Product Master'!$A$7)+1)/(('Product Master'!$A$7:$A$1000&lt;&gt;"")*('Product Master'!$P$7:$P$1000="Out of Stock")),ROWS($I$12:I643))),"")</f>
        <v/>
      </c>
      <c r="J643" t="str">
        <f>IF($I643="","",INDEX('Product Master'!$B$7:$B$1000,MATCH($I643,'Product Master'!$A$7:$A$1000,0)))</f>
        <v/>
      </c>
      <c r="K643" t="str">
        <f>IF($I643="","",INDEX('Product Master'!$C$7:$C$1000,MATCH($I643,'Product Master'!$A$7:$A$1000,0)))</f>
        <v/>
      </c>
      <c r="L643" t="str">
        <f>IF($I643="","",INDEX('Product Master'!$M$7:$M$1000,MATCH($I643,'Product Master'!$A$7:$A$1000,0)))</f>
        <v/>
      </c>
      <c r="M643" t="str">
        <f>IF($I643="","",INDEX('Product Master'!$N$7:$N$1000,MATCH($I643,'Product Master'!$A$7:$A$1000,0)))</f>
        <v/>
      </c>
    </row>
    <row r="644" spans="1:13" x14ac:dyDescent="0.3">
      <c r="A644" t="str">
        <f>IFERROR(INDEX('Product Master'!$A$7:$A$1000,_xlfn.AGGREGATE(15,6,(ROW('Product Master'!$A$7:$A$1000)-ROW('Product Master'!$A$7)+1)/(('Product Master'!$A$7:$A$1000&lt;&gt;"")*('Product Master'!$P$7:$P$1000="Low Stock")),ROWS($A$12:A644))),"")</f>
        <v/>
      </c>
      <c r="B644" t="str">
        <f>IF($A644="","",INDEX('Product Master'!$B$7:$B$1000,MATCH($A644,'Product Master'!$A$7:$A$1000,0)))</f>
        <v/>
      </c>
      <c r="C644" t="str">
        <f>IF($A644="","",INDEX('Product Master'!$C$7:$C$1000,MATCH($A644,'Product Master'!$A$7:$A$1000,0)))</f>
        <v/>
      </c>
      <c r="D644" t="str">
        <f>IF($A644="","",INDEX('Product Master'!$M$7:$M$1000,MATCH($A644,'Product Master'!$A$7:$A$1000,0)))</f>
        <v/>
      </c>
      <c r="E644" t="str">
        <f>IF($A644="","",INDEX('Product Master'!$N$7:$N$1000,MATCH($A644,'Product Master'!$A$7:$A$1000,0)))</f>
        <v/>
      </c>
      <c r="F644" t="str">
        <f>IF($A644="","",INDEX('Product Master'!$P$7:$P$1000,MATCH($A644,'Product Master'!$A$7:$A$1000,0)))</f>
        <v/>
      </c>
      <c r="I644" t="str">
        <f>IFERROR(INDEX('Product Master'!$A$7:$A$1000,_xlfn.AGGREGATE(15,6,(ROW('Product Master'!$A$7:$A$1000)-ROW('Product Master'!$A$7)+1)/(('Product Master'!$A$7:$A$1000&lt;&gt;"")*('Product Master'!$P$7:$P$1000="Out of Stock")),ROWS($I$12:I644))),"")</f>
        <v/>
      </c>
      <c r="J644" t="str">
        <f>IF($I644="","",INDEX('Product Master'!$B$7:$B$1000,MATCH($I644,'Product Master'!$A$7:$A$1000,0)))</f>
        <v/>
      </c>
      <c r="K644" t="str">
        <f>IF($I644="","",INDEX('Product Master'!$C$7:$C$1000,MATCH($I644,'Product Master'!$A$7:$A$1000,0)))</f>
        <v/>
      </c>
      <c r="L644" t="str">
        <f>IF($I644="","",INDEX('Product Master'!$M$7:$M$1000,MATCH($I644,'Product Master'!$A$7:$A$1000,0)))</f>
        <v/>
      </c>
      <c r="M644" t="str">
        <f>IF($I644="","",INDEX('Product Master'!$N$7:$N$1000,MATCH($I644,'Product Master'!$A$7:$A$1000,0)))</f>
        <v/>
      </c>
    </row>
    <row r="645" spans="1:13" x14ac:dyDescent="0.3">
      <c r="A645" t="str">
        <f>IFERROR(INDEX('Product Master'!$A$7:$A$1000,_xlfn.AGGREGATE(15,6,(ROW('Product Master'!$A$7:$A$1000)-ROW('Product Master'!$A$7)+1)/(('Product Master'!$A$7:$A$1000&lt;&gt;"")*('Product Master'!$P$7:$P$1000="Low Stock")),ROWS($A$12:A645))),"")</f>
        <v/>
      </c>
      <c r="B645" t="str">
        <f>IF($A645="","",INDEX('Product Master'!$B$7:$B$1000,MATCH($A645,'Product Master'!$A$7:$A$1000,0)))</f>
        <v/>
      </c>
      <c r="C645" t="str">
        <f>IF($A645="","",INDEX('Product Master'!$C$7:$C$1000,MATCH($A645,'Product Master'!$A$7:$A$1000,0)))</f>
        <v/>
      </c>
      <c r="D645" t="str">
        <f>IF($A645="","",INDEX('Product Master'!$M$7:$M$1000,MATCH($A645,'Product Master'!$A$7:$A$1000,0)))</f>
        <v/>
      </c>
      <c r="E645" t="str">
        <f>IF($A645="","",INDEX('Product Master'!$N$7:$N$1000,MATCH($A645,'Product Master'!$A$7:$A$1000,0)))</f>
        <v/>
      </c>
      <c r="F645" t="str">
        <f>IF($A645="","",INDEX('Product Master'!$P$7:$P$1000,MATCH($A645,'Product Master'!$A$7:$A$1000,0)))</f>
        <v/>
      </c>
      <c r="I645" t="str">
        <f>IFERROR(INDEX('Product Master'!$A$7:$A$1000,_xlfn.AGGREGATE(15,6,(ROW('Product Master'!$A$7:$A$1000)-ROW('Product Master'!$A$7)+1)/(('Product Master'!$A$7:$A$1000&lt;&gt;"")*('Product Master'!$P$7:$P$1000="Out of Stock")),ROWS($I$12:I645))),"")</f>
        <v/>
      </c>
      <c r="J645" t="str">
        <f>IF($I645="","",INDEX('Product Master'!$B$7:$B$1000,MATCH($I645,'Product Master'!$A$7:$A$1000,0)))</f>
        <v/>
      </c>
      <c r="K645" t="str">
        <f>IF($I645="","",INDEX('Product Master'!$C$7:$C$1000,MATCH($I645,'Product Master'!$A$7:$A$1000,0)))</f>
        <v/>
      </c>
      <c r="L645" t="str">
        <f>IF($I645="","",INDEX('Product Master'!$M$7:$M$1000,MATCH($I645,'Product Master'!$A$7:$A$1000,0)))</f>
        <v/>
      </c>
      <c r="M645" t="str">
        <f>IF($I645="","",INDEX('Product Master'!$N$7:$N$1000,MATCH($I645,'Product Master'!$A$7:$A$1000,0)))</f>
        <v/>
      </c>
    </row>
    <row r="646" spans="1:13" x14ac:dyDescent="0.3">
      <c r="A646" t="str">
        <f>IFERROR(INDEX('Product Master'!$A$7:$A$1000,_xlfn.AGGREGATE(15,6,(ROW('Product Master'!$A$7:$A$1000)-ROW('Product Master'!$A$7)+1)/(('Product Master'!$A$7:$A$1000&lt;&gt;"")*('Product Master'!$P$7:$P$1000="Low Stock")),ROWS($A$12:A646))),"")</f>
        <v/>
      </c>
      <c r="B646" t="str">
        <f>IF($A646="","",INDEX('Product Master'!$B$7:$B$1000,MATCH($A646,'Product Master'!$A$7:$A$1000,0)))</f>
        <v/>
      </c>
      <c r="C646" t="str">
        <f>IF($A646="","",INDEX('Product Master'!$C$7:$C$1000,MATCH($A646,'Product Master'!$A$7:$A$1000,0)))</f>
        <v/>
      </c>
      <c r="D646" t="str">
        <f>IF($A646="","",INDEX('Product Master'!$M$7:$M$1000,MATCH($A646,'Product Master'!$A$7:$A$1000,0)))</f>
        <v/>
      </c>
      <c r="E646" t="str">
        <f>IF($A646="","",INDEX('Product Master'!$N$7:$N$1000,MATCH($A646,'Product Master'!$A$7:$A$1000,0)))</f>
        <v/>
      </c>
      <c r="F646" t="str">
        <f>IF($A646="","",INDEX('Product Master'!$P$7:$P$1000,MATCH($A646,'Product Master'!$A$7:$A$1000,0)))</f>
        <v/>
      </c>
      <c r="I646" t="str">
        <f>IFERROR(INDEX('Product Master'!$A$7:$A$1000,_xlfn.AGGREGATE(15,6,(ROW('Product Master'!$A$7:$A$1000)-ROW('Product Master'!$A$7)+1)/(('Product Master'!$A$7:$A$1000&lt;&gt;"")*('Product Master'!$P$7:$P$1000="Out of Stock")),ROWS($I$12:I646))),"")</f>
        <v/>
      </c>
      <c r="J646" t="str">
        <f>IF($I646="","",INDEX('Product Master'!$B$7:$B$1000,MATCH($I646,'Product Master'!$A$7:$A$1000,0)))</f>
        <v/>
      </c>
      <c r="K646" t="str">
        <f>IF($I646="","",INDEX('Product Master'!$C$7:$C$1000,MATCH($I646,'Product Master'!$A$7:$A$1000,0)))</f>
        <v/>
      </c>
      <c r="L646" t="str">
        <f>IF($I646="","",INDEX('Product Master'!$M$7:$M$1000,MATCH($I646,'Product Master'!$A$7:$A$1000,0)))</f>
        <v/>
      </c>
      <c r="M646" t="str">
        <f>IF($I646="","",INDEX('Product Master'!$N$7:$N$1000,MATCH($I646,'Product Master'!$A$7:$A$1000,0)))</f>
        <v/>
      </c>
    </row>
    <row r="647" spans="1:13" x14ac:dyDescent="0.3">
      <c r="A647" t="str">
        <f>IFERROR(INDEX('Product Master'!$A$7:$A$1000,_xlfn.AGGREGATE(15,6,(ROW('Product Master'!$A$7:$A$1000)-ROW('Product Master'!$A$7)+1)/(('Product Master'!$A$7:$A$1000&lt;&gt;"")*('Product Master'!$P$7:$P$1000="Low Stock")),ROWS($A$12:A647))),"")</f>
        <v/>
      </c>
      <c r="B647" t="str">
        <f>IF($A647="","",INDEX('Product Master'!$B$7:$B$1000,MATCH($A647,'Product Master'!$A$7:$A$1000,0)))</f>
        <v/>
      </c>
      <c r="C647" t="str">
        <f>IF($A647="","",INDEX('Product Master'!$C$7:$C$1000,MATCH($A647,'Product Master'!$A$7:$A$1000,0)))</f>
        <v/>
      </c>
      <c r="D647" t="str">
        <f>IF($A647="","",INDEX('Product Master'!$M$7:$M$1000,MATCH($A647,'Product Master'!$A$7:$A$1000,0)))</f>
        <v/>
      </c>
      <c r="E647" t="str">
        <f>IF($A647="","",INDEX('Product Master'!$N$7:$N$1000,MATCH($A647,'Product Master'!$A$7:$A$1000,0)))</f>
        <v/>
      </c>
      <c r="F647" t="str">
        <f>IF($A647="","",INDEX('Product Master'!$P$7:$P$1000,MATCH($A647,'Product Master'!$A$7:$A$1000,0)))</f>
        <v/>
      </c>
      <c r="I647" t="str">
        <f>IFERROR(INDEX('Product Master'!$A$7:$A$1000,_xlfn.AGGREGATE(15,6,(ROW('Product Master'!$A$7:$A$1000)-ROW('Product Master'!$A$7)+1)/(('Product Master'!$A$7:$A$1000&lt;&gt;"")*('Product Master'!$P$7:$P$1000="Out of Stock")),ROWS($I$12:I647))),"")</f>
        <v/>
      </c>
      <c r="J647" t="str">
        <f>IF($I647="","",INDEX('Product Master'!$B$7:$B$1000,MATCH($I647,'Product Master'!$A$7:$A$1000,0)))</f>
        <v/>
      </c>
      <c r="K647" t="str">
        <f>IF($I647="","",INDEX('Product Master'!$C$7:$C$1000,MATCH($I647,'Product Master'!$A$7:$A$1000,0)))</f>
        <v/>
      </c>
      <c r="L647" t="str">
        <f>IF($I647="","",INDEX('Product Master'!$M$7:$M$1000,MATCH($I647,'Product Master'!$A$7:$A$1000,0)))</f>
        <v/>
      </c>
      <c r="M647" t="str">
        <f>IF($I647="","",INDEX('Product Master'!$N$7:$N$1000,MATCH($I647,'Product Master'!$A$7:$A$1000,0)))</f>
        <v/>
      </c>
    </row>
    <row r="648" spans="1:13" x14ac:dyDescent="0.3">
      <c r="A648" t="str">
        <f>IFERROR(INDEX('Product Master'!$A$7:$A$1000,_xlfn.AGGREGATE(15,6,(ROW('Product Master'!$A$7:$A$1000)-ROW('Product Master'!$A$7)+1)/(('Product Master'!$A$7:$A$1000&lt;&gt;"")*('Product Master'!$P$7:$P$1000="Low Stock")),ROWS($A$12:A648))),"")</f>
        <v/>
      </c>
      <c r="B648" t="str">
        <f>IF($A648="","",INDEX('Product Master'!$B$7:$B$1000,MATCH($A648,'Product Master'!$A$7:$A$1000,0)))</f>
        <v/>
      </c>
      <c r="C648" t="str">
        <f>IF($A648="","",INDEX('Product Master'!$C$7:$C$1000,MATCH($A648,'Product Master'!$A$7:$A$1000,0)))</f>
        <v/>
      </c>
      <c r="D648" t="str">
        <f>IF($A648="","",INDEX('Product Master'!$M$7:$M$1000,MATCH($A648,'Product Master'!$A$7:$A$1000,0)))</f>
        <v/>
      </c>
      <c r="E648" t="str">
        <f>IF($A648="","",INDEX('Product Master'!$N$7:$N$1000,MATCH($A648,'Product Master'!$A$7:$A$1000,0)))</f>
        <v/>
      </c>
      <c r="F648" t="str">
        <f>IF($A648="","",INDEX('Product Master'!$P$7:$P$1000,MATCH($A648,'Product Master'!$A$7:$A$1000,0)))</f>
        <v/>
      </c>
      <c r="I648" t="str">
        <f>IFERROR(INDEX('Product Master'!$A$7:$A$1000,_xlfn.AGGREGATE(15,6,(ROW('Product Master'!$A$7:$A$1000)-ROW('Product Master'!$A$7)+1)/(('Product Master'!$A$7:$A$1000&lt;&gt;"")*('Product Master'!$P$7:$P$1000="Out of Stock")),ROWS($I$12:I648))),"")</f>
        <v/>
      </c>
      <c r="J648" t="str">
        <f>IF($I648="","",INDEX('Product Master'!$B$7:$B$1000,MATCH($I648,'Product Master'!$A$7:$A$1000,0)))</f>
        <v/>
      </c>
      <c r="K648" t="str">
        <f>IF($I648="","",INDEX('Product Master'!$C$7:$C$1000,MATCH($I648,'Product Master'!$A$7:$A$1000,0)))</f>
        <v/>
      </c>
      <c r="L648" t="str">
        <f>IF($I648="","",INDEX('Product Master'!$M$7:$M$1000,MATCH($I648,'Product Master'!$A$7:$A$1000,0)))</f>
        <v/>
      </c>
      <c r="M648" t="str">
        <f>IF($I648="","",INDEX('Product Master'!$N$7:$N$1000,MATCH($I648,'Product Master'!$A$7:$A$1000,0)))</f>
        <v/>
      </c>
    </row>
    <row r="649" spans="1:13" x14ac:dyDescent="0.3">
      <c r="A649" t="str">
        <f>IFERROR(INDEX('Product Master'!$A$7:$A$1000,_xlfn.AGGREGATE(15,6,(ROW('Product Master'!$A$7:$A$1000)-ROW('Product Master'!$A$7)+1)/(('Product Master'!$A$7:$A$1000&lt;&gt;"")*('Product Master'!$P$7:$P$1000="Low Stock")),ROWS($A$12:A649))),"")</f>
        <v/>
      </c>
      <c r="B649" t="str">
        <f>IF($A649="","",INDEX('Product Master'!$B$7:$B$1000,MATCH($A649,'Product Master'!$A$7:$A$1000,0)))</f>
        <v/>
      </c>
      <c r="C649" t="str">
        <f>IF($A649="","",INDEX('Product Master'!$C$7:$C$1000,MATCH($A649,'Product Master'!$A$7:$A$1000,0)))</f>
        <v/>
      </c>
      <c r="D649" t="str">
        <f>IF($A649="","",INDEX('Product Master'!$M$7:$M$1000,MATCH($A649,'Product Master'!$A$7:$A$1000,0)))</f>
        <v/>
      </c>
      <c r="E649" t="str">
        <f>IF($A649="","",INDEX('Product Master'!$N$7:$N$1000,MATCH($A649,'Product Master'!$A$7:$A$1000,0)))</f>
        <v/>
      </c>
      <c r="F649" t="str">
        <f>IF($A649="","",INDEX('Product Master'!$P$7:$P$1000,MATCH($A649,'Product Master'!$A$7:$A$1000,0)))</f>
        <v/>
      </c>
      <c r="I649" t="str">
        <f>IFERROR(INDEX('Product Master'!$A$7:$A$1000,_xlfn.AGGREGATE(15,6,(ROW('Product Master'!$A$7:$A$1000)-ROW('Product Master'!$A$7)+1)/(('Product Master'!$A$7:$A$1000&lt;&gt;"")*('Product Master'!$P$7:$P$1000="Out of Stock")),ROWS($I$12:I649))),"")</f>
        <v/>
      </c>
      <c r="J649" t="str">
        <f>IF($I649="","",INDEX('Product Master'!$B$7:$B$1000,MATCH($I649,'Product Master'!$A$7:$A$1000,0)))</f>
        <v/>
      </c>
      <c r="K649" t="str">
        <f>IF($I649="","",INDEX('Product Master'!$C$7:$C$1000,MATCH($I649,'Product Master'!$A$7:$A$1000,0)))</f>
        <v/>
      </c>
      <c r="L649" t="str">
        <f>IF($I649="","",INDEX('Product Master'!$M$7:$M$1000,MATCH($I649,'Product Master'!$A$7:$A$1000,0)))</f>
        <v/>
      </c>
      <c r="M649" t="str">
        <f>IF($I649="","",INDEX('Product Master'!$N$7:$N$1000,MATCH($I649,'Product Master'!$A$7:$A$1000,0)))</f>
        <v/>
      </c>
    </row>
    <row r="650" spans="1:13" x14ac:dyDescent="0.3">
      <c r="A650" t="str">
        <f>IFERROR(INDEX('Product Master'!$A$7:$A$1000,_xlfn.AGGREGATE(15,6,(ROW('Product Master'!$A$7:$A$1000)-ROW('Product Master'!$A$7)+1)/(('Product Master'!$A$7:$A$1000&lt;&gt;"")*('Product Master'!$P$7:$P$1000="Low Stock")),ROWS($A$12:A650))),"")</f>
        <v/>
      </c>
      <c r="B650" t="str">
        <f>IF($A650="","",INDEX('Product Master'!$B$7:$B$1000,MATCH($A650,'Product Master'!$A$7:$A$1000,0)))</f>
        <v/>
      </c>
      <c r="C650" t="str">
        <f>IF($A650="","",INDEX('Product Master'!$C$7:$C$1000,MATCH($A650,'Product Master'!$A$7:$A$1000,0)))</f>
        <v/>
      </c>
      <c r="D650" t="str">
        <f>IF($A650="","",INDEX('Product Master'!$M$7:$M$1000,MATCH($A650,'Product Master'!$A$7:$A$1000,0)))</f>
        <v/>
      </c>
      <c r="E650" t="str">
        <f>IF($A650="","",INDEX('Product Master'!$N$7:$N$1000,MATCH($A650,'Product Master'!$A$7:$A$1000,0)))</f>
        <v/>
      </c>
      <c r="F650" t="str">
        <f>IF($A650="","",INDEX('Product Master'!$P$7:$P$1000,MATCH($A650,'Product Master'!$A$7:$A$1000,0)))</f>
        <v/>
      </c>
      <c r="I650" t="str">
        <f>IFERROR(INDEX('Product Master'!$A$7:$A$1000,_xlfn.AGGREGATE(15,6,(ROW('Product Master'!$A$7:$A$1000)-ROW('Product Master'!$A$7)+1)/(('Product Master'!$A$7:$A$1000&lt;&gt;"")*('Product Master'!$P$7:$P$1000="Out of Stock")),ROWS($I$12:I650))),"")</f>
        <v/>
      </c>
      <c r="J650" t="str">
        <f>IF($I650="","",INDEX('Product Master'!$B$7:$B$1000,MATCH($I650,'Product Master'!$A$7:$A$1000,0)))</f>
        <v/>
      </c>
      <c r="K650" t="str">
        <f>IF($I650="","",INDEX('Product Master'!$C$7:$C$1000,MATCH($I650,'Product Master'!$A$7:$A$1000,0)))</f>
        <v/>
      </c>
      <c r="L650" t="str">
        <f>IF($I650="","",INDEX('Product Master'!$M$7:$M$1000,MATCH($I650,'Product Master'!$A$7:$A$1000,0)))</f>
        <v/>
      </c>
      <c r="M650" t="str">
        <f>IF($I650="","",INDEX('Product Master'!$N$7:$N$1000,MATCH($I650,'Product Master'!$A$7:$A$1000,0)))</f>
        <v/>
      </c>
    </row>
    <row r="651" spans="1:13" x14ac:dyDescent="0.3">
      <c r="A651" t="str">
        <f>IFERROR(INDEX('Product Master'!$A$7:$A$1000,_xlfn.AGGREGATE(15,6,(ROW('Product Master'!$A$7:$A$1000)-ROW('Product Master'!$A$7)+1)/(('Product Master'!$A$7:$A$1000&lt;&gt;"")*('Product Master'!$P$7:$P$1000="Low Stock")),ROWS($A$12:A651))),"")</f>
        <v/>
      </c>
      <c r="B651" t="str">
        <f>IF($A651="","",INDEX('Product Master'!$B$7:$B$1000,MATCH($A651,'Product Master'!$A$7:$A$1000,0)))</f>
        <v/>
      </c>
      <c r="C651" t="str">
        <f>IF($A651="","",INDEX('Product Master'!$C$7:$C$1000,MATCH($A651,'Product Master'!$A$7:$A$1000,0)))</f>
        <v/>
      </c>
      <c r="D651" t="str">
        <f>IF($A651="","",INDEX('Product Master'!$M$7:$M$1000,MATCH($A651,'Product Master'!$A$7:$A$1000,0)))</f>
        <v/>
      </c>
      <c r="E651" t="str">
        <f>IF($A651="","",INDEX('Product Master'!$N$7:$N$1000,MATCH($A651,'Product Master'!$A$7:$A$1000,0)))</f>
        <v/>
      </c>
      <c r="F651" t="str">
        <f>IF($A651="","",INDEX('Product Master'!$P$7:$P$1000,MATCH($A651,'Product Master'!$A$7:$A$1000,0)))</f>
        <v/>
      </c>
      <c r="I651" t="str">
        <f>IFERROR(INDEX('Product Master'!$A$7:$A$1000,_xlfn.AGGREGATE(15,6,(ROW('Product Master'!$A$7:$A$1000)-ROW('Product Master'!$A$7)+1)/(('Product Master'!$A$7:$A$1000&lt;&gt;"")*('Product Master'!$P$7:$P$1000="Out of Stock")),ROWS($I$12:I651))),"")</f>
        <v/>
      </c>
      <c r="J651" t="str">
        <f>IF($I651="","",INDEX('Product Master'!$B$7:$B$1000,MATCH($I651,'Product Master'!$A$7:$A$1000,0)))</f>
        <v/>
      </c>
      <c r="K651" t="str">
        <f>IF($I651="","",INDEX('Product Master'!$C$7:$C$1000,MATCH($I651,'Product Master'!$A$7:$A$1000,0)))</f>
        <v/>
      </c>
      <c r="L651" t="str">
        <f>IF($I651="","",INDEX('Product Master'!$M$7:$M$1000,MATCH($I651,'Product Master'!$A$7:$A$1000,0)))</f>
        <v/>
      </c>
      <c r="M651" t="str">
        <f>IF($I651="","",INDEX('Product Master'!$N$7:$N$1000,MATCH($I651,'Product Master'!$A$7:$A$1000,0)))</f>
        <v/>
      </c>
    </row>
    <row r="652" spans="1:13" x14ac:dyDescent="0.3">
      <c r="A652" t="str">
        <f>IFERROR(INDEX('Product Master'!$A$7:$A$1000,_xlfn.AGGREGATE(15,6,(ROW('Product Master'!$A$7:$A$1000)-ROW('Product Master'!$A$7)+1)/(('Product Master'!$A$7:$A$1000&lt;&gt;"")*('Product Master'!$P$7:$P$1000="Low Stock")),ROWS($A$12:A652))),"")</f>
        <v/>
      </c>
      <c r="B652" t="str">
        <f>IF($A652="","",INDEX('Product Master'!$B$7:$B$1000,MATCH($A652,'Product Master'!$A$7:$A$1000,0)))</f>
        <v/>
      </c>
      <c r="C652" t="str">
        <f>IF($A652="","",INDEX('Product Master'!$C$7:$C$1000,MATCH($A652,'Product Master'!$A$7:$A$1000,0)))</f>
        <v/>
      </c>
      <c r="D652" t="str">
        <f>IF($A652="","",INDEX('Product Master'!$M$7:$M$1000,MATCH($A652,'Product Master'!$A$7:$A$1000,0)))</f>
        <v/>
      </c>
      <c r="E652" t="str">
        <f>IF($A652="","",INDEX('Product Master'!$N$7:$N$1000,MATCH($A652,'Product Master'!$A$7:$A$1000,0)))</f>
        <v/>
      </c>
      <c r="F652" t="str">
        <f>IF($A652="","",INDEX('Product Master'!$P$7:$P$1000,MATCH($A652,'Product Master'!$A$7:$A$1000,0)))</f>
        <v/>
      </c>
      <c r="I652" t="str">
        <f>IFERROR(INDEX('Product Master'!$A$7:$A$1000,_xlfn.AGGREGATE(15,6,(ROW('Product Master'!$A$7:$A$1000)-ROW('Product Master'!$A$7)+1)/(('Product Master'!$A$7:$A$1000&lt;&gt;"")*('Product Master'!$P$7:$P$1000="Out of Stock")),ROWS($I$12:I652))),"")</f>
        <v/>
      </c>
      <c r="J652" t="str">
        <f>IF($I652="","",INDEX('Product Master'!$B$7:$B$1000,MATCH($I652,'Product Master'!$A$7:$A$1000,0)))</f>
        <v/>
      </c>
      <c r="K652" t="str">
        <f>IF($I652="","",INDEX('Product Master'!$C$7:$C$1000,MATCH($I652,'Product Master'!$A$7:$A$1000,0)))</f>
        <v/>
      </c>
      <c r="L652" t="str">
        <f>IF($I652="","",INDEX('Product Master'!$M$7:$M$1000,MATCH($I652,'Product Master'!$A$7:$A$1000,0)))</f>
        <v/>
      </c>
      <c r="M652" t="str">
        <f>IF($I652="","",INDEX('Product Master'!$N$7:$N$1000,MATCH($I652,'Product Master'!$A$7:$A$1000,0)))</f>
        <v/>
      </c>
    </row>
    <row r="653" spans="1:13" x14ac:dyDescent="0.3">
      <c r="A653" t="str">
        <f>IFERROR(INDEX('Product Master'!$A$7:$A$1000,_xlfn.AGGREGATE(15,6,(ROW('Product Master'!$A$7:$A$1000)-ROW('Product Master'!$A$7)+1)/(('Product Master'!$A$7:$A$1000&lt;&gt;"")*('Product Master'!$P$7:$P$1000="Low Stock")),ROWS($A$12:A653))),"")</f>
        <v/>
      </c>
      <c r="B653" t="str">
        <f>IF($A653="","",INDEX('Product Master'!$B$7:$B$1000,MATCH($A653,'Product Master'!$A$7:$A$1000,0)))</f>
        <v/>
      </c>
      <c r="C653" t="str">
        <f>IF($A653="","",INDEX('Product Master'!$C$7:$C$1000,MATCH($A653,'Product Master'!$A$7:$A$1000,0)))</f>
        <v/>
      </c>
      <c r="D653" t="str">
        <f>IF($A653="","",INDEX('Product Master'!$M$7:$M$1000,MATCH($A653,'Product Master'!$A$7:$A$1000,0)))</f>
        <v/>
      </c>
      <c r="E653" t="str">
        <f>IF($A653="","",INDEX('Product Master'!$N$7:$N$1000,MATCH($A653,'Product Master'!$A$7:$A$1000,0)))</f>
        <v/>
      </c>
      <c r="F653" t="str">
        <f>IF($A653="","",INDEX('Product Master'!$P$7:$P$1000,MATCH($A653,'Product Master'!$A$7:$A$1000,0)))</f>
        <v/>
      </c>
      <c r="I653" t="str">
        <f>IFERROR(INDEX('Product Master'!$A$7:$A$1000,_xlfn.AGGREGATE(15,6,(ROW('Product Master'!$A$7:$A$1000)-ROW('Product Master'!$A$7)+1)/(('Product Master'!$A$7:$A$1000&lt;&gt;"")*('Product Master'!$P$7:$P$1000="Out of Stock")),ROWS($I$12:I653))),"")</f>
        <v/>
      </c>
      <c r="J653" t="str">
        <f>IF($I653="","",INDEX('Product Master'!$B$7:$B$1000,MATCH($I653,'Product Master'!$A$7:$A$1000,0)))</f>
        <v/>
      </c>
      <c r="K653" t="str">
        <f>IF($I653="","",INDEX('Product Master'!$C$7:$C$1000,MATCH($I653,'Product Master'!$A$7:$A$1000,0)))</f>
        <v/>
      </c>
      <c r="L653" t="str">
        <f>IF($I653="","",INDEX('Product Master'!$M$7:$M$1000,MATCH($I653,'Product Master'!$A$7:$A$1000,0)))</f>
        <v/>
      </c>
      <c r="M653" t="str">
        <f>IF($I653="","",INDEX('Product Master'!$N$7:$N$1000,MATCH($I653,'Product Master'!$A$7:$A$1000,0)))</f>
        <v/>
      </c>
    </row>
    <row r="654" spans="1:13" x14ac:dyDescent="0.3">
      <c r="A654" t="str">
        <f>IFERROR(INDEX('Product Master'!$A$7:$A$1000,_xlfn.AGGREGATE(15,6,(ROW('Product Master'!$A$7:$A$1000)-ROW('Product Master'!$A$7)+1)/(('Product Master'!$A$7:$A$1000&lt;&gt;"")*('Product Master'!$P$7:$P$1000="Low Stock")),ROWS($A$12:A654))),"")</f>
        <v/>
      </c>
      <c r="B654" t="str">
        <f>IF($A654="","",INDEX('Product Master'!$B$7:$B$1000,MATCH($A654,'Product Master'!$A$7:$A$1000,0)))</f>
        <v/>
      </c>
      <c r="C654" t="str">
        <f>IF($A654="","",INDEX('Product Master'!$C$7:$C$1000,MATCH($A654,'Product Master'!$A$7:$A$1000,0)))</f>
        <v/>
      </c>
      <c r="D654" t="str">
        <f>IF($A654="","",INDEX('Product Master'!$M$7:$M$1000,MATCH($A654,'Product Master'!$A$7:$A$1000,0)))</f>
        <v/>
      </c>
      <c r="E654" t="str">
        <f>IF($A654="","",INDEX('Product Master'!$N$7:$N$1000,MATCH($A654,'Product Master'!$A$7:$A$1000,0)))</f>
        <v/>
      </c>
      <c r="F654" t="str">
        <f>IF($A654="","",INDEX('Product Master'!$P$7:$P$1000,MATCH($A654,'Product Master'!$A$7:$A$1000,0)))</f>
        <v/>
      </c>
      <c r="I654" t="str">
        <f>IFERROR(INDEX('Product Master'!$A$7:$A$1000,_xlfn.AGGREGATE(15,6,(ROW('Product Master'!$A$7:$A$1000)-ROW('Product Master'!$A$7)+1)/(('Product Master'!$A$7:$A$1000&lt;&gt;"")*('Product Master'!$P$7:$P$1000="Out of Stock")),ROWS($I$12:I654))),"")</f>
        <v/>
      </c>
      <c r="J654" t="str">
        <f>IF($I654="","",INDEX('Product Master'!$B$7:$B$1000,MATCH($I654,'Product Master'!$A$7:$A$1000,0)))</f>
        <v/>
      </c>
      <c r="K654" t="str">
        <f>IF($I654="","",INDEX('Product Master'!$C$7:$C$1000,MATCH($I654,'Product Master'!$A$7:$A$1000,0)))</f>
        <v/>
      </c>
      <c r="L654" t="str">
        <f>IF($I654="","",INDEX('Product Master'!$M$7:$M$1000,MATCH($I654,'Product Master'!$A$7:$A$1000,0)))</f>
        <v/>
      </c>
      <c r="M654" t="str">
        <f>IF($I654="","",INDEX('Product Master'!$N$7:$N$1000,MATCH($I654,'Product Master'!$A$7:$A$1000,0)))</f>
        <v/>
      </c>
    </row>
    <row r="655" spans="1:13" x14ac:dyDescent="0.3">
      <c r="A655" t="str">
        <f>IFERROR(INDEX('Product Master'!$A$7:$A$1000,_xlfn.AGGREGATE(15,6,(ROW('Product Master'!$A$7:$A$1000)-ROW('Product Master'!$A$7)+1)/(('Product Master'!$A$7:$A$1000&lt;&gt;"")*('Product Master'!$P$7:$P$1000="Low Stock")),ROWS($A$12:A655))),"")</f>
        <v/>
      </c>
      <c r="B655" t="str">
        <f>IF($A655="","",INDEX('Product Master'!$B$7:$B$1000,MATCH($A655,'Product Master'!$A$7:$A$1000,0)))</f>
        <v/>
      </c>
      <c r="C655" t="str">
        <f>IF($A655="","",INDEX('Product Master'!$C$7:$C$1000,MATCH($A655,'Product Master'!$A$7:$A$1000,0)))</f>
        <v/>
      </c>
      <c r="D655" t="str">
        <f>IF($A655="","",INDEX('Product Master'!$M$7:$M$1000,MATCH($A655,'Product Master'!$A$7:$A$1000,0)))</f>
        <v/>
      </c>
      <c r="E655" t="str">
        <f>IF($A655="","",INDEX('Product Master'!$N$7:$N$1000,MATCH($A655,'Product Master'!$A$7:$A$1000,0)))</f>
        <v/>
      </c>
      <c r="F655" t="str">
        <f>IF($A655="","",INDEX('Product Master'!$P$7:$P$1000,MATCH($A655,'Product Master'!$A$7:$A$1000,0)))</f>
        <v/>
      </c>
      <c r="I655" t="str">
        <f>IFERROR(INDEX('Product Master'!$A$7:$A$1000,_xlfn.AGGREGATE(15,6,(ROW('Product Master'!$A$7:$A$1000)-ROW('Product Master'!$A$7)+1)/(('Product Master'!$A$7:$A$1000&lt;&gt;"")*('Product Master'!$P$7:$P$1000="Out of Stock")),ROWS($I$12:I655))),"")</f>
        <v/>
      </c>
      <c r="J655" t="str">
        <f>IF($I655="","",INDEX('Product Master'!$B$7:$B$1000,MATCH($I655,'Product Master'!$A$7:$A$1000,0)))</f>
        <v/>
      </c>
      <c r="K655" t="str">
        <f>IF($I655="","",INDEX('Product Master'!$C$7:$C$1000,MATCH($I655,'Product Master'!$A$7:$A$1000,0)))</f>
        <v/>
      </c>
      <c r="L655" t="str">
        <f>IF($I655="","",INDEX('Product Master'!$M$7:$M$1000,MATCH($I655,'Product Master'!$A$7:$A$1000,0)))</f>
        <v/>
      </c>
      <c r="M655" t="str">
        <f>IF($I655="","",INDEX('Product Master'!$N$7:$N$1000,MATCH($I655,'Product Master'!$A$7:$A$1000,0)))</f>
        <v/>
      </c>
    </row>
    <row r="656" spans="1:13" x14ac:dyDescent="0.3">
      <c r="A656" t="str">
        <f>IFERROR(INDEX('Product Master'!$A$7:$A$1000,_xlfn.AGGREGATE(15,6,(ROW('Product Master'!$A$7:$A$1000)-ROW('Product Master'!$A$7)+1)/(('Product Master'!$A$7:$A$1000&lt;&gt;"")*('Product Master'!$P$7:$P$1000="Low Stock")),ROWS($A$12:A656))),"")</f>
        <v/>
      </c>
      <c r="B656" t="str">
        <f>IF($A656="","",INDEX('Product Master'!$B$7:$B$1000,MATCH($A656,'Product Master'!$A$7:$A$1000,0)))</f>
        <v/>
      </c>
      <c r="C656" t="str">
        <f>IF($A656="","",INDEX('Product Master'!$C$7:$C$1000,MATCH($A656,'Product Master'!$A$7:$A$1000,0)))</f>
        <v/>
      </c>
      <c r="D656" t="str">
        <f>IF($A656="","",INDEX('Product Master'!$M$7:$M$1000,MATCH($A656,'Product Master'!$A$7:$A$1000,0)))</f>
        <v/>
      </c>
      <c r="E656" t="str">
        <f>IF($A656="","",INDEX('Product Master'!$N$7:$N$1000,MATCH($A656,'Product Master'!$A$7:$A$1000,0)))</f>
        <v/>
      </c>
      <c r="F656" t="str">
        <f>IF($A656="","",INDEX('Product Master'!$P$7:$P$1000,MATCH($A656,'Product Master'!$A$7:$A$1000,0)))</f>
        <v/>
      </c>
      <c r="I656" t="str">
        <f>IFERROR(INDEX('Product Master'!$A$7:$A$1000,_xlfn.AGGREGATE(15,6,(ROW('Product Master'!$A$7:$A$1000)-ROW('Product Master'!$A$7)+1)/(('Product Master'!$A$7:$A$1000&lt;&gt;"")*('Product Master'!$P$7:$P$1000="Out of Stock")),ROWS($I$12:I656))),"")</f>
        <v/>
      </c>
      <c r="J656" t="str">
        <f>IF($I656="","",INDEX('Product Master'!$B$7:$B$1000,MATCH($I656,'Product Master'!$A$7:$A$1000,0)))</f>
        <v/>
      </c>
      <c r="K656" t="str">
        <f>IF($I656="","",INDEX('Product Master'!$C$7:$C$1000,MATCH($I656,'Product Master'!$A$7:$A$1000,0)))</f>
        <v/>
      </c>
      <c r="L656" t="str">
        <f>IF($I656="","",INDEX('Product Master'!$M$7:$M$1000,MATCH($I656,'Product Master'!$A$7:$A$1000,0)))</f>
        <v/>
      </c>
      <c r="M656" t="str">
        <f>IF($I656="","",INDEX('Product Master'!$N$7:$N$1000,MATCH($I656,'Product Master'!$A$7:$A$1000,0)))</f>
        <v/>
      </c>
    </row>
    <row r="657" spans="1:13" x14ac:dyDescent="0.3">
      <c r="A657" t="str">
        <f>IFERROR(INDEX('Product Master'!$A$7:$A$1000,_xlfn.AGGREGATE(15,6,(ROW('Product Master'!$A$7:$A$1000)-ROW('Product Master'!$A$7)+1)/(('Product Master'!$A$7:$A$1000&lt;&gt;"")*('Product Master'!$P$7:$P$1000="Low Stock")),ROWS($A$12:A657))),"")</f>
        <v/>
      </c>
      <c r="B657" t="str">
        <f>IF($A657="","",INDEX('Product Master'!$B$7:$B$1000,MATCH($A657,'Product Master'!$A$7:$A$1000,0)))</f>
        <v/>
      </c>
      <c r="C657" t="str">
        <f>IF($A657="","",INDEX('Product Master'!$C$7:$C$1000,MATCH($A657,'Product Master'!$A$7:$A$1000,0)))</f>
        <v/>
      </c>
      <c r="D657" t="str">
        <f>IF($A657="","",INDEX('Product Master'!$M$7:$M$1000,MATCH($A657,'Product Master'!$A$7:$A$1000,0)))</f>
        <v/>
      </c>
      <c r="E657" t="str">
        <f>IF($A657="","",INDEX('Product Master'!$N$7:$N$1000,MATCH($A657,'Product Master'!$A$7:$A$1000,0)))</f>
        <v/>
      </c>
      <c r="F657" t="str">
        <f>IF($A657="","",INDEX('Product Master'!$P$7:$P$1000,MATCH($A657,'Product Master'!$A$7:$A$1000,0)))</f>
        <v/>
      </c>
      <c r="I657" t="str">
        <f>IFERROR(INDEX('Product Master'!$A$7:$A$1000,_xlfn.AGGREGATE(15,6,(ROW('Product Master'!$A$7:$A$1000)-ROW('Product Master'!$A$7)+1)/(('Product Master'!$A$7:$A$1000&lt;&gt;"")*('Product Master'!$P$7:$P$1000="Out of Stock")),ROWS($I$12:I657))),"")</f>
        <v/>
      </c>
      <c r="J657" t="str">
        <f>IF($I657="","",INDEX('Product Master'!$B$7:$B$1000,MATCH($I657,'Product Master'!$A$7:$A$1000,0)))</f>
        <v/>
      </c>
      <c r="K657" t="str">
        <f>IF($I657="","",INDEX('Product Master'!$C$7:$C$1000,MATCH($I657,'Product Master'!$A$7:$A$1000,0)))</f>
        <v/>
      </c>
      <c r="L657" t="str">
        <f>IF($I657="","",INDEX('Product Master'!$M$7:$M$1000,MATCH($I657,'Product Master'!$A$7:$A$1000,0)))</f>
        <v/>
      </c>
      <c r="M657" t="str">
        <f>IF($I657="","",INDEX('Product Master'!$N$7:$N$1000,MATCH($I657,'Product Master'!$A$7:$A$1000,0)))</f>
        <v/>
      </c>
    </row>
    <row r="658" spans="1:13" x14ac:dyDescent="0.3">
      <c r="A658" t="str">
        <f>IFERROR(INDEX('Product Master'!$A$7:$A$1000,_xlfn.AGGREGATE(15,6,(ROW('Product Master'!$A$7:$A$1000)-ROW('Product Master'!$A$7)+1)/(('Product Master'!$A$7:$A$1000&lt;&gt;"")*('Product Master'!$P$7:$P$1000="Low Stock")),ROWS($A$12:A658))),"")</f>
        <v/>
      </c>
      <c r="B658" t="str">
        <f>IF($A658="","",INDEX('Product Master'!$B$7:$B$1000,MATCH($A658,'Product Master'!$A$7:$A$1000,0)))</f>
        <v/>
      </c>
      <c r="C658" t="str">
        <f>IF($A658="","",INDEX('Product Master'!$C$7:$C$1000,MATCH($A658,'Product Master'!$A$7:$A$1000,0)))</f>
        <v/>
      </c>
      <c r="D658" t="str">
        <f>IF($A658="","",INDEX('Product Master'!$M$7:$M$1000,MATCH($A658,'Product Master'!$A$7:$A$1000,0)))</f>
        <v/>
      </c>
      <c r="E658" t="str">
        <f>IF($A658="","",INDEX('Product Master'!$N$7:$N$1000,MATCH($A658,'Product Master'!$A$7:$A$1000,0)))</f>
        <v/>
      </c>
      <c r="F658" t="str">
        <f>IF($A658="","",INDEX('Product Master'!$P$7:$P$1000,MATCH($A658,'Product Master'!$A$7:$A$1000,0)))</f>
        <v/>
      </c>
      <c r="I658" t="str">
        <f>IFERROR(INDEX('Product Master'!$A$7:$A$1000,_xlfn.AGGREGATE(15,6,(ROW('Product Master'!$A$7:$A$1000)-ROW('Product Master'!$A$7)+1)/(('Product Master'!$A$7:$A$1000&lt;&gt;"")*('Product Master'!$P$7:$P$1000="Out of Stock")),ROWS($I$12:I658))),"")</f>
        <v/>
      </c>
      <c r="J658" t="str">
        <f>IF($I658="","",INDEX('Product Master'!$B$7:$B$1000,MATCH($I658,'Product Master'!$A$7:$A$1000,0)))</f>
        <v/>
      </c>
      <c r="K658" t="str">
        <f>IF($I658="","",INDEX('Product Master'!$C$7:$C$1000,MATCH($I658,'Product Master'!$A$7:$A$1000,0)))</f>
        <v/>
      </c>
      <c r="L658" t="str">
        <f>IF($I658="","",INDEX('Product Master'!$M$7:$M$1000,MATCH($I658,'Product Master'!$A$7:$A$1000,0)))</f>
        <v/>
      </c>
      <c r="M658" t="str">
        <f>IF($I658="","",INDEX('Product Master'!$N$7:$N$1000,MATCH($I658,'Product Master'!$A$7:$A$1000,0)))</f>
        <v/>
      </c>
    </row>
    <row r="659" spans="1:13" x14ac:dyDescent="0.3">
      <c r="A659" t="str">
        <f>IFERROR(INDEX('Product Master'!$A$7:$A$1000,_xlfn.AGGREGATE(15,6,(ROW('Product Master'!$A$7:$A$1000)-ROW('Product Master'!$A$7)+1)/(('Product Master'!$A$7:$A$1000&lt;&gt;"")*('Product Master'!$P$7:$P$1000="Low Stock")),ROWS($A$12:A659))),"")</f>
        <v/>
      </c>
      <c r="B659" t="str">
        <f>IF($A659="","",INDEX('Product Master'!$B$7:$B$1000,MATCH($A659,'Product Master'!$A$7:$A$1000,0)))</f>
        <v/>
      </c>
      <c r="C659" t="str">
        <f>IF($A659="","",INDEX('Product Master'!$C$7:$C$1000,MATCH($A659,'Product Master'!$A$7:$A$1000,0)))</f>
        <v/>
      </c>
      <c r="D659" t="str">
        <f>IF($A659="","",INDEX('Product Master'!$M$7:$M$1000,MATCH($A659,'Product Master'!$A$7:$A$1000,0)))</f>
        <v/>
      </c>
      <c r="E659" t="str">
        <f>IF($A659="","",INDEX('Product Master'!$N$7:$N$1000,MATCH($A659,'Product Master'!$A$7:$A$1000,0)))</f>
        <v/>
      </c>
      <c r="F659" t="str">
        <f>IF($A659="","",INDEX('Product Master'!$P$7:$P$1000,MATCH($A659,'Product Master'!$A$7:$A$1000,0)))</f>
        <v/>
      </c>
      <c r="I659" t="str">
        <f>IFERROR(INDEX('Product Master'!$A$7:$A$1000,_xlfn.AGGREGATE(15,6,(ROW('Product Master'!$A$7:$A$1000)-ROW('Product Master'!$A$7)+1)/(('Product Master'!$A$7:$A$1000&lt;&gt;"")*('Product Master'!$P$7:$P$1000="Out of Stock")),ROWS($I$12:I659))),"")</f>
        <v/>
      </c>
      <c r="J659" t="str">
        <f>IF($I659="","",INDEX('Product Master'!$B$7:$B$1000,MATCH($I659,'Product Master'!$A$7:$A$1000,0)))</f>
        <v/>
      </c>
      <c r="K659" t="str">
        <f>IF($I659="","",INDEX('Product Master'!$C$7:$C$1000,MATCH($I659,'Product Master'!$A$7:$A$1000,0)))</f>
        <v/>
      </c>
      <c r="L659" t="str">
        <f>IF($I659="","",INDEX('Product Master'!$M$7:$M$1000,MATCH($I659,'Product Master'!$A$7:$A$1000,0)))</f>
        <v/>
      </c>
      <c r="M659" t="str">
        <f>IF($I659="","",INDEX('Product Master'!$N$7:$N$1000,MATCH($I659,'Product Master'!$A$7:$A$1000,0)))</f>
        <v/>
      </c>
    </row>
    <row r="660" spans="1:13" x14ac:dyDescent="0.3">
      <c r="A660" t="str">
        <f>IFERROR(INDEX('Product Master'!$A$7:$A$1000,_xlfn.AGGREGATE(15,6,(ROW('Product Master'!$A$7:$A$1000)-ROW('Product Master'!$A$7)+1)/(('Product Master'!$A$7:$A$1000&lt;&gt;"")*('Product Master'!$P$7:$P$1000="Low Stock")),ROWS($A$12:A660))),"")</f>
        <v/>
      </c>
      <c r="B660" t="str">
        <f>IF($A660="","",INDEX('Product Master'!$B$7:$B$1000,MATCH($A660,'Product Master'!$A$7:$A$1000,0)))</f>
        <v/>
      </c>
      <c r="C660" t="str">
        <f>IF($A660="","",INDEX('Product Master'!$C$7:$C$1000,MATCH($A660,'Product Master'!$A$7:$A$1000,0)))</f>
        <v/>
      </c>
      <c r="D660" t="str">
        <f>IF($A660="","",INDEX('Product Master'!$M$7:$M$1000,MATCH($A660,'Product Master'!$A$7:$A$1000,0)))</f>
        <v/>
      </c>
      <c r="E660" t="str">
        <f>IF($A660="","",INDEX('Product Master'!$N$7:$N$1000,MATCH($A660,'Product Master'!$A$7:$A$1000,0)))</f>
        <v/>
      </c>
      <c r="F660" t="str">
        <f>IF($A660="","",INDEX('Product Master'!$P$7:$P$1000,MATCH($A660,'Product Master'!$A$7:$A$1000,0)))</f>
        <v/>
      </c>
      <c r="I660" t="str">
        <f>IFERROR(INDEX('Product Master'!$A$7:$A$1000,_xlfn.AGGREGATE(15,6,(ROW('Product Master'!$A$7:$A$1000)-ROW('Product Master'!$A$7)+1)/(('Product Master'!$A$7:$A$1000&lt;&gt;"")*('Product Master'!$P$7:$P$1000="Out of Stock")),ROWS($I$12:I660))),"")</f>
        <v/>
      </c>
      <c r="J660" t="str">
        <f>IF($I660="","",INDEX('Product Master'!$B$7:$B$1000,MATCH($I660,'Product Master'!$A$7:$A$1000,0)))</f>
        <v/>
      </c>
      <c r="K660" t="str">
        <f>IF($I660="","",INDEX('Product Master'!$C$7:$C$1000,MATCH($I660,'Product Master'!$A$7:$A$1000,0)))</f>
        <v/>
      </c>
      <c r="L660" t="str">
        <f>IF($I660="","",INDEX('Product Master'!$M$7:$M$1000,MATCH($I660,'Product Master'!$A$7:$A$1000,0)))</f>
        <v/>
      </c>
      <c r="M660" t="str">
        <f>IF($I660="","",INDEX('Product Master'!$N$7:$N$1000,MATCH($I660,'Product Master'!$A$7:$A$1000,0)))</f>
        <v/>
      </c>
    </row>
    <row r="661" spans="1:13" x14ac:dyDescent="0.3">
      <c r="A661" t="str">
        <f>IFERROR(INDEX('Product Master'!$A$7:$A$1000,_xlfn.AGGREGATE(15,6,(ROW('Product Master'!$A$7:$A$1000)-ROW('Product Master'!$A$7)+1)/(('Product Master'!$A$7:$A$1000&lt;&gt;"")*('Product Master'!$P$7:$P$1000="Low Stock")),ROWS($A$12:A661))),"")</f>
        <v/>
      </c>
      <c r="B661" t="str">
        <f>IF($A661="","",INDEX('Product Master'!$B$7:$B$1000,MATCH($A661,'Product Master'!$A$7:$A$1000,0)))</f>
        <v/>
      </c>
      <c r="C661" t="str">
        <f>IF($A661="","",INDEX('Product Master'!$C$7:$C$1000,MATCH($A661,'Product Master'!$A$7:$A$1000,0)))</f>
        <v/>
      </c>
      <c r="D661" t="str">
        <f>IF($A661="","",INDEX('Product Master'!$M$7:$M$1000,MATCH($A661,'Product Master'!$A$7:$A$1000,0)))</f>
        <v/>
      </c>
      <c r="E661" t="str">
        <f>IF($A661="","",INDEX('Product Master'!$N$7:$N$1000,MATCH($A661,'Product Master'!$A$7:$A$1000,0)))</f>
        <v/>
      </c>
      <c r="F661" t="str">
        <f>IF($A661="","",INDEX('Product Master'!$P$7:$P$1000,MATCH($A661,'Product Master'!$A$7:$A$1000,0)))</f>
        <v/>
      </c>
      <c r="I661" t="str">
        <f>IFERROR(INDEX('Product Master'!$A$7:$A$1000,_xlfn.AGGREGATE(15,6,(ROW('Product Master'!$A$7:$A$1000)-ROW('Product Master'!$A$7)+1)/(('Product Master'!$A$7:$A$1000&lt;&gt;"")*('Product Master'!$P$7:$P$1000="Out of Stock")),ROWS($I$12:I661))),"")</f>
        <v/>
      </c>
      <c r="J661" t="str">
        <f>IF($I661="","",INDEX('Product Master'!$B$7:$B$1000,MATCH($I661,'Product Master'!$A$7:$A$1000,0)))</f>
        <v/>
      </c>
      <c r="K661" t="str">
        <f>IF($I661="","",INDEX('Product Master'!$C$7:$C$1000,MATCH($I661,'Product Master'!$A$7:$A$1000,0)))</f>
        <v/>
      </c>
      <c r="L661" t="str">
        <f>IF($I661="","",INDEX('Product Master'!$M$7:$M$1000,MATCH($I661,'Product Master'!$A$7:$A$1000,0)))</f>
        <v/>
      </c>
      <c r="M661" t="str">
        <f>IF($I661="","",INDEX('Product Master'!$N$7:$N$1000,MATCH($I661,'Product Master'!$A$7:$A$1000,0)))</f>
        <v/>
      </c>
    </row>
    <row r="662" spans="1:13" x14ac:dyDescent="0.3">
      <c r="A662" t="str">
        <f>IFERROR(INDEX('Product Master'!$A$7:$A$1000,_xlfn.AGGREGATE(15,6,(ROW('Product Master'!$A$7:$A$1000)-ROW('Product Master'!$A$7)+1)/(('Product Master'!$A$7:$A$1000&lt;&gt;"")*('Product Master'!$P$7:$P$1000="Low Stock")),ROWS($A$12:A662))),"")</f>
        <v/>
      </c>
      <c r="B662" t="str">
        <f>IF($A662="","",INDEX('Product Master'!$B$7:$B$1000,MATCH($A662,'Product Master'!$A$7:$A$1000,0)))</f>
        <v/>
      </c>
      <c r="C662" t="str">
        <f>IF($A662="","",INDEX('Product Master'!$C$7:$C$1000,MATCH($A662,'Product Master'!$A$7:$A$1000,0)))</f>
        <v/>
      </c>
      <c r="D662" t="str">
        <f>IF($A662="","",INDEX('Product Master'!$M$7:$M$1000,MATCH($A662,'Product Master'!$A$7:$A$1000,0)))</f>
        <v/>
      </c>
      <c r="E662" t="str">
        <f>IF($A662="","",INDEX('Product Master'!$N$7:$N$1000,MATCH($A662,'Product Master'!$A$7:$A$1000,0)))</f>
        <v/>
      </c>
      <c r="F662" t="str">
        <f>IF($A662="","",INDEX('Product Master'!$P$7:$P$1000,MATCH($A662,'Product Master'!$A$7:$A$1000,0)))</f>
        <v/>
      </c>
      <c r="I662" t="str">
        <f>IFERROR(INDEX('Product Master'!$A$7:$A$1000,_xlfn.AGGREGATE(15,6,(ROW('Product Master'!$A$7:$A$1000)-ROW('Product Master'!$A$7)+1)/(('Product Master'!$A$7:$A$1000&lt;&gt;"")*('Product Master'!$P$7:$P$1000="Out of Stock")),ROWS($I$12:I662))),"")</f>
        <v/>
      </c>
      <c r="J662" t="str">
        <f>IF($I662="","",INDEX('Product Master'!$B$7:$B$1000,MATCH($I662,'Product Master'!$A$7:$A$1000,0)))</f>
        <v/>
      </c>
      <c r="K662" t="str">
        <f>IF($I662="","",INDEX('Product Master'!$C$7:$C$1000,MATCH($I662,'Product Master'!$A$7:$A$1000,0)))</f>
        <v/>
      </c>
      <c r="L662" t="str">
        <f>IF($I662="","",INDEX('Product Master'!$M$7:$M$1000,MATCH($I662,'Product Master'!$A$7:$A$1000,0)))</f>
        <v/>
      </c>
      <c r="M662" t="str">
        <f>IF($I662="","",INDEX('Product Master'!$N$7:$N$1000,MATCH($I662,'Product Master'!$A$7:$A$1000,0)))</f>
        <v/>
      </c>
    </row>
    <row r="663" spans="1:13" x14ac:dyDescent="0.3">
      <c r="A663" t="str">
        <f>IFERROR(INDEX('Product Master'!$A$7:$A$1000,_xlfn.AGGREGATE(15,6,(ROW('Product Master'!$A$7:$A$1000)-ROW('Product Master'!$A$7)+1)/(('Product Master'!$A$7:$A$1000&lt;&gt;"")*('Product Master'!$P$7:$P$1000="Low Stock")),ROWS($A$12:A663))),"")</f>
        <v/>
      </c>
      <c r="B663" t="str">
        <f>IF($A663="","",INDEX('Product Master'!$B$7:$B$1000,MATCH($A663,'Product Master'!$A$7:$A$1000,0)))</f>
        <v/>
      </c>
      <c r="C663" t="str">
        <f>IF($A663="","",INDEX('Product Master'!$C$7:$C$1000,MATCH($A663,'Product Master'!$A$7:$A$1000,0)))</f>
        <v/>
      </c>
      <c r="D663" t="str">
        <f>IF($A663="","",INDEX('Product Master'!$M$7:$M$1000,MATCH($A663,'Product Master'!$A$7:$A$1000,0)))</f>
        <v/>
      </c>
      <c r="E663" t="str">
        <f>IF($A663="","",INDEX('Product Master'!$N$7:$N$1000,MATCH($A663,'Product Master'!$A$7:$A$1000,0)))</f>
        <v/>
      </c>
      <c r="F663" t="str">
        <f>IF($A663="","",INDEX('Product Master'!$P$7:$P$1000,MATCH($A663,'Product Master'!$A$7:$A$1000,0)))</f>
        <v/>
      </c>
      <c r="I663" t="str">
        <f>IFERROR(INDEX('Product Master'!$A$7:$A$1000,_xlfn.AGGREGATE(15,6,(ROW('Product Master'!$A$7:$A$1000)-ROW('Product Master'!$A$7)+1)/(('Product Master'!$A$7:$A$1000&lt;&gt;"")*('Product Master'!$P$7:$P$1000="Out of Stock")),ROWS($I$12:I663))),"")</f>
        <v/>
      </c>
      <c r="J663" t="str">
        <f>IF($I663="","",INDEX('Product Master'!$B$7:$B$1000,MATCH($I663,'Product Master'!$A$7:$A$1000,0)))</f>
        <v/>
      </c>
      <c r="K663" t="str">
        <f>IF($I663="","",INDEX('Product Master'!$C$7:$C$1000,MATCH($I663,'Product Master'!$A$7:$A$1000,0)))</f>
        <v/>
      </c>
      <c r="L663" t="str">
        <f>IF($I663="","",INDEX('Product Master'!$M$7:$M$1000,MATCH($I663,'Product Master'!$A$7:$A$1000,0)))</f>
        <v/>
      </c>
      <c r="M663" t="str">
        <f>IF($I663="","",INDEX('Product Master'!$N$7:$N$1000,MATCH($I663,'Product Master'!$A$7:$A$1000,0)))</f>
        <v/>
      </c>
    </row>
    <row r="664" spans="1:13" x14ac:dyDescent="0.3">
      <c r="A664" t="str">
        <f>IFERROR(INDEX('Product Master'!$A$7:$A$1000,_xlfn.AGGREGATE(15,6,(ROW('Product Master'!$A$7:$A$1000)-ROW('Product Master'!$A$7)+1)/(('Product Master'!$A$7:$A$1000&lt;&gt;"")*('Product Master'!$P$7:$P$1000="Low Stock")),ROWS($A$12:A664))),"")</f>
        <v/>
      </c>
      <c r="B664" t="str">
        <f>IF($A664="","",INDEX('Product Master'!$B$7:$B$1000,MATCH($A664,'Product Master'!$A$7:$A$1000,0)))</f>
        <v/>
      </c>
      <c r="C664" t="str">
        <f>IF($A664="","",INDEX('Product Master'!$C$7:$C$1000,MATCH($A664,'Product Master'!$A$7:$A$1000,0)))</f>
        <v/>
      </c>
      <c r="D664" t="str">
        <f>IF($A664="","",INDEX('Product Master'!$M$7:$M$1000,MATCH($A664,'Product Master'!$A$7:$A$1000,0)))</f>
        <v/>
      </c>
      <c r="E664" t="str">
        <f>IF($A664="","",INDEX('Product Master'!$N$7:$N$1000,MATCH($A664,'Product Master'!$A$7:$A$1000,0)))</f>
        <v/>
      </c>
      <c r="F664" t="str">
        <f>IF($A664="","",INDEX('Product Master'!$P$7:$P$1000,MATCH($A664,'Product Master'!$A$7:$A$1000,0)))</f>
        <v/>
      </c>
      <c r="I664" t="str">
        <f>IFERROR(INDEX('Product Master'!$A$7:$A$1000,_xlfn.AGGREGATE(15,6,(ROW('Product Master'!$A$7:$A$1000)-ROW('Product Master'!$A$7)+1)/(('Product Master'!$A$7:$A$1000&lt;&gt;"")*('Product Master'!$P$7:$P$1000="Out of Stock")),ROWS($I$12:I664))),"")</f>
        <v/>
      </c>
      <c r="J664" t="str">
        <f>IF($I664="","",INDEX('Product Master'!$B$7:$B$1000,MATCH($I664,'Product Master'!$A$7:$A$1000,0)))</f>
        <v/>
      </c>
      <c r="K664" t="str">
        <f>IF($I664="","",INDEX('Product Master'!$C$7:$C$1000,MATCH($I664,'Product Master'!$A$7:$A$1000,0)))</f>
        <v/>
      </c>
      <c r="L664" t="str">
        <f>IF($I664="","",INDEX('Product Master'!$M$7:$M$1000,MATCH($I664,'Product Master'!$A$7:$A$1000,0)))</f>
        <v/>
      </c>
      <c r="M664" t="str">
        <f>IF($I664="","",INDEX('Product Master'!$N$7:$N$1000,MATCH($I664,'Product Master'!$A$7:$A$1000,0)))</f>
        <v/>
      </c>
    </row>
    <row r="665" spans="1:13" x14ac:dyDescent="0.3">
      <c r="A665" t="str">
        <f>IFERROR(INDEX('Product Master'!$A$7:$A$1000,_xlfn.AGGREGATE(15,6,(ROW('Product Master'!$A$7:$A$1000)-ROW('Product Master'!$A$7)+1)/(('Product Master'!$A$7:$A$1000&lt;&gt;"")*('Product Master'!$P$7:$P$1000="Low Stock")),ROWS($A$12:A665))),"")</f>
        <v/>
      </c>
      <c r="B665" t="str">
        <f>IF($A665="","",INDEX('Product Master'!$B$7:$B$1000,MATCH($A665,'Product Master'!$A$7:$A$1000,0)))</f>
        <v/>
      </c>
      <c r="C665" t="str">
        <f>IF($A665="","",INDEX('Product Master'!$C$7:$C$1000,MATCH($A665,'Product Master'!$A$7:$A$1000,0)))</f>
        <v/>
      </c>
      <c r="D665" t="str">
        <f>IF($A665="","",INDEX('Product Master'!$M$7:$M$1000,MATCH($A665,'Product Master'!$A$7:$A$1000,0)))</f>
        <v/>
      </c>
      <c r="E665" t="str">
        <f>IF($A665="","",INDEX('Product Master'!$N$7:$N$1000,MATCH($A665,'Product Master'!$A$7:$A$1000,0)))</f>
        <v/>
      </c>
      <c r="F665" t="str">
        <f>IF($A665="","",INDEX('Product Master'!$P$7:$P$1000,MATCH($A665,'Product Master'!$A$7:$A$1000,0)))</f>
        <v/>
      </c>
      <c r="I665" t="str">
        <f>IFERROR(INDEX('Product Master'!$A$7:$A$1000,_xlfn.AGGREGATE(15,6,(ROW('Product Master'!$A$7:$A$1000)-ROW('Product Master'!$A$7)+1)/(('Product Master'!$A$7:$A$1000&lt;&gt;"")*('Product Master'!$P$7:$P$1000="Out of Stock")),ROWS($I$12:I665))),"")</f>
        <v/>
      </c>
      <c r="J665" t="str">
        <f>IF($I665="","",INDEX('Product Master'!$B$7:$B$1000,MATCH($I665,'Product Master'!$A$7:$A$1000,0)))</f>
        <v/>
      </c>
      <c r="K665" t="str">
        <f>IF($I665="","",INDEX('Product Master'!$C$7:$C$1000,MATCH($I665,'Product Master'!$A$7:$A$1000,0)))</f>
        <v/>
      </c>
      <c r="L665" t="str">
        <f>IF($I665="","",INDEX('Product Master'!$M$7:$M$1000,MATCH($I665,'Product Master'!$A$7:$A$1000,0)))</f>
        <v/>
      </c>
      <c r="M665" t="str">
        <f>IF($I665="","",INDEX('Product Master'!$N$7:$N$1000,MATCH($I665,'Product Master'!$A$7:$A$1000,0)))</f>
        <v/>
      </c>
    </row>
    <row r="666" spans="1:13" x14ac:dyDescent="0.3">
      <c r="A666" t="str">
        <f>IFERROR(INDEX('Product Master'!$A$7:$A$1000,_xlfn.AGGREGATE(15,6,(ROW('Product Master'!$A$7:$A$1000)-ROW('Product Master'!$A$7)+1)/(('Product Master'!$A$7:$A$1000&lt;&gt;"")*('Product Master'!$P$7:$P$1000="Low Stock")),ROWS($A$12:A666))),"")</f>
        <v/>
      </c>
      <c r="B666" t="str">
        <f>IF($A666="","",INDEX('Product Master'!$B$7:$B$1000,MATCH($A666,'Product Master'!$A$7:$A$1000,0)))</f>
        <v/>
      </c>
      <c r="C666" t="str">
        <f>IF($A666="","",INDEX('Product Master'!$C$7:$C$1000,MATCH($A666,'Product Master'!$A$7:$A$1000,0)))</f>
        <v/>
      </c>
      <c r="D666" t="str">
        <f>IF($A666="","",INDEX('Product Master'!$M$7:$M$1000,MATCH($A666,'Product Master'!$A$7:$A$1000,0)))</f>
        <v/>
      </c>
      <c r="E666" t="str">
        <f>IF($A666="","",INDEX('Product Master'!$N$7:$N$1000,MATCH($A666,'Product Master'!$A$7:$A$1000,0)))</f>
        <v/>
      </c>
      <c r="F666" t="str">
        <f>IF($A666="","",INDEX('Product Master'!$P$7:$P$1000,MATCH($A666,'Product Master'!$A$7:$A$1000,0)))</f>
        <v/>
      </c>
      <c r="I666" t="str">
        <f>IFERROR(INDEX('Product Master'!$A$7:$A$1000,_xlfn.AGGREGATE(15,6,(ROW('Product Master'!$A$7:$A$1000)-ROW('Product Master'!$A$7)+1)/(('Product Master'!$A$7:$A$1000&lt;&gt;"")*('Product Master'!$P$7:$P$1000="Out of Stock")),ROWS($I$12:I666))),"")</f>
        <v/>
      </c>
      <c r="J666" t="str">
        <f>IF($I666="","",INDEX('Product Master'!$B$7:$B$1000,MATCH($I666,'Product Master'!$A$7:$A$1000,0)))</f>
        <v/>
      </c>
      <c r="K666" t="str">
        <f>IF($I666="","",INDEX('Product Master'!$C$7:$C$1000,MATCH($I666,'Product Master'!$A$7:$A$1000,0)))</f>
        <v/>
      </c>
      <c r="L666" t="str">
        <f>IF($I666="","",INDEX('Product Master'!$M$7:$M$1000,MATCH($I666,'Product Master'!$A$7:$A$1000,0)))</f>
        <v/>
      </c>
      <c r="M666" t="str">
        <f>IF($I666="","",INDEX('Product Master'!$N$7:$N$1000,MATCH($I666,'Product Master'!$A$7:$A$1000,0)))</f>
        <v/>
      </c>
    </row>
    <row r="667" spans="1:13" x14ac:dyDescent="0.3">
      <c r="A667" t="str">
        <f>IFERROR(INDEX('Product Master'!$A$7:$A$1000,_xlfn.AGGREGATE(15,6,(ROW('Product Master'!$A$7:$A$1000)-ROW('Product Master'!$A$7)+1)/(('Product Master'!$A$7:$A$1000&lt;&gt;"")*('Product Master'!$P$7:$P$1000="Low Stock")),ROWS($A$12:A667))),"")</f>
        <v/>
      </c>
      <c r="B667" t="str">
        <f>IF($A667="","",INDEX('Product Master'!$B$7:$B$1000,MATCH($A667,'Product Master'!$A$7:$A$1000,0)))</f>
        <v/>
      </c>
      <c r="C667" t="str">
        <f>IF($A667="","",INDEX('Product Master'!$C$7:$C$1000,MATCH($A667,'Product Master'!$A$7:$A$1000,0)))</f>
        <v/>
      </c>
      <c r="D667" t="str">
        <f>IF($A667="","",INDEX('Product Master'!$M$7:$M$1000,MATCH($A667,'Product Master'!$A$7:$A$1000,0)))</f>
        <v/>
      </c>
      <c r="E667" t="str">
        <f>IF($A667="","",INDEX('Product Master'!$N$7:$N$1000,MATCH($A667,'Product Master'!$A$7:$A$1000,0)))</f>
        <v/>
      </c>
      <c r="F667" t="str">
        <f>IF($A667="","",INDEX('Product Master'!$P$7:$P$1000,MATCH($A667,'Product Master'!$A$7:$A$1000,0)))</f>
        <v/>
      </c>
      <c r="I667" t="str">
        <f>IFERROR(INDEX('Product Master'!$A$7:$A$1000,_xlfn.AGGREGATE(15,6,(ROW('Product Master'!$A$7:$A$1000)-ROW('Product Master'!$A$7)+1)/(('Product Master'!$A$7:$A$1000&lt;&gt;"")*('Product Master'!$P$7:$P$1000="Out of Stock")),ROWS($I$12:I667))),"")</f>
        <v/>
      </c>
      <c r="J667" t="str">
        <f>IF($I667="","",INDEX('Product Master'!$B$7:$B$1000,MATCH($I667,'Product Master'!$A$7:$A$1000,0)))</f>
        <v/>
      </c>
      <c r="K667" t="str">
        <f>IF($I667="","",INDEX('Product Master'!$C$7:$C$1000,MATCH($I667,'Product Master'!$A$7:$A$1000,0)))</f>
        <v/>
      </c>
      <c r="L667" t="str">
        <f>IF($I667="","",INDEX('Product Master'!$M$7:$M$1000,MATCH($I667,'Product Master'!$A$7:$A$1000,0)))</f>
        <v/>
      </c>
      <c r="M667" t="str">
        <f>IF($I667="","",INDEX('Product Master'!$N$7:$N$1000,MATCH($I667,'Product Master'!$A$7:$A$1000,0)))</f>
        <v/>
      </c>
    </row>
    <row r="668" spans="1:13" x14ac:dyDescent="0.3">
      <c r="A668" t="str">
        <f>IFERROR(INDEX('Product Master'!$A$7:$A$1000,_xlfn.AGGREGATE(15,6,(ROW('Product Master'!$A$7:$A$1000)-ROW('Product Master'!$A$7)+1)/(('Product Master'!$A$7:$A$1000&lt;&gt;"")*('Product Master'!$P$7:$P$1000="Low Stock")),ROWS($A$12:A668))),"")</f>
        <v/>
      </c>
      <c r="B668" t="str">
        <f>IF($A668="","",INDEX('Product Master'!$B$7:$B$1000,MATCH($A668,'Product Master'!$A$7:$A$1000,0)))</f>
        <v/>
      </c>
      <c r="C668" t="str">
        <f>IF($A668="","",INDEX('Product Master'!$C$7:$C$1000,MATCH($A668,'Product Master'!$A$7:$A$1000,0)))</f>
        <v/>
      </c>
      <c r="D668" t="str">
        <f>IF($A668="","",INDEX('Product Master'!$M$7:$M$1000,MATCH($A668,'Product Master'!$A$7:$A$1000,0)))</f>
        <v/>
      </c>
      <c r="E668" t="str">
        <f>IF($A668="","",INDEX('Product Master'!$N$7:$N$1000,MATCH($A668,'Product Master'!$A$7:$A$1000,0)))</f>
        <v/>
      </c>
      <c r="F668" t="str">
        <f>IF($A668="","",INDEX('Product Master'!$P$7:$P$1000,MATCH($A668,'Product Master'!$A$7:$A$1000,0)))</f>
        <v/>
      </c>
      <c r="I668" t="str">
        <f>IFERROR(INDEX('Product Master'!$A$7:$A$1000,_xlfn.AGGREGATE(15,6,(ROW('Product Master'!$A$7:$A$1000)-ROW('Product Master'!$A$7)+1)/(('Product Master'!$A$7:$A$1000&lt;&gt;"")*('Product Master'!$P$7:$P$1000="Out of Stock")),ROWS($I$12:I668))),"")</f>
        <v/>
      </c>
      <c r="J668" t="str">
        <f>IF($I668="","",INDEX('Product Master'!$B$7:$B$1000,MATCH($I668,'Product Master'!$A$7:$A$1000,0)))</f>
        <v/>
      </c>
      <c r="K668" t="str">
        <f>IF($I668="","",INDEX('Product Master'!$C$7:$C$1000,MATCH($I668,'Product Master'!$A$7:$A$1000,0)))</f>
        <v/>
      </c>
      <c r="L668" t="str">
        <f>IF($I668="","",INDEX('Product Master'!$M$7:$M$1000,MATCH($I668,'Product Master'!$A$7:$A$1000,0)))</f>
        <v/>
      </c>
      <c r="M668" t="str">
        <f>IF($I668="","",INDEX('Product Master'!$N$7:$N$1000,MATCH($I668,'Product Master'!$A$7:$A$1000,0)))</f>
        <v/>
      </c>
    </row>
    <row r="669" spans="1:13" x14ac:dyDescent="0.3">
      <c r="A669" t="str">
        <f>IFERROR(INDEX('Product Master'!$A$7:$A$1000,_xlfn.AGGREGATE(15,6,(ROW('Product Master'!$A$7:$A$1000)-ROW('Product Master'!$A$7)+1)/(('Product Master'!$A$7:$A$1000&lt;&gt;"")*('Product Master'!$P$7:$P$1000="Low Stock")),ROWS($A$12:A669))),"")</f>
        <v/>
      </c>
      <c r="B669" t="str">
        <f>IF($A669="","",INDEX('Product Master'!$B$7:$B$1000,MATCH($A669,'Product Master'!$A$7:$A$1000,0)))</f>
        <v/>
      </c>
      <c r="C669" t="str">
        <f>IF($A669="","",INDEX('Product Master'!$C$7:$C$1000,MATCH($A669,'Product Master'!$A$7:$A$1000,0)))</f>
        <v/>
      </c>
      <c r="D669" t="str">
        <f>IF($A669="","",INDEX('Product Master'!$M$7:$M$1000,MATCH($A669,'Product Master'!$A$7:$A$1000,0)))</f>
        <v/>
      </c>
      <c r="E669" t="str">
        <f>IF($A669="","",INDEX('Product Master'!$N$7:$N$1000,MATCH($A669,'Product Master'!$A$7:$A$1000,0)))</f>
        <v/>
      </c>
      <c r="F669" t="str">
        <f>IF($A669="","",INDEX('Product Master'!$P$7:$P$1000,MATCH($A669,'Product Master'!$A$7:$A$1000,0)))</f>
        <v/>
      </c>
      <c r="I669" t="str">
        <f>IFERROR(INDEX('Product Master'!$A$7:$A$1000,_xlfn.AGGREGATE(15,6,(ROW('Product Master'!$A$7:$A$1000)-ROW('Product Master'!$A$7)+1)/(('Product Master'!$A$7:$A$1000&lt;&gt;"")*('Product Master'!$P$7:$P$1000="Out of Stock")),ROWS($I$12:I669))),"")</f>
        <v/>
      </c>
      <c r="J669" t="str">
        <f>IF($I669="","",INDEX('Product Master'!$B$7:$B$1000,MATCH($I669,'Product Master'!$A$7:$A$1000,0)))</f>
        <v/>
      </c>
      <c r="K669" t="str">
        <f>IF($I669="","",INDEX('Product Master'!$C$7:$C$1000,MATCH($I669,'Product Master'!$A$7:$A$1000,0)))</f>
        <v/>
      </c>
      <c r="L669" t="str">
        <f>IF($I669="","",INDEX('Product Master'!$M$7:$M$1000,MATCH($I669,'Product Master'!$A$7:$A$1000,0)))</f>
        <v/>
      </c>
      <c r="M669" t="str">
        <f>IF($I669="","",INDEX('Product Master'!$N$7:$N$1000,MATCH($I669,'Product Master'!$A$7:$A$1000,0)))</f>
        <v/>
      </c>
    </row>
    <row r="670" spans="1:13" x14ac:dyDescent="0.3">
      <c r="A670" t="str">
        <f>IFERROR(INDEX('Product Master'!$A$7:$A$1000,_xlfn.AGGREGATE(15,6,(ROW('Product Master'!$A$7:$A$1000)-ROW('Product Master'!$A$7)+1)/(('Product Master'!$A$7:$A$1000&lt;&gt;"")*('Product Master'!$P$7:$P$1000="Low Stock")),ROWS($A$12:A670))),"")</f>
        <v/>
      </c>
      <c r="B670" t="str">
        <f>IF($A670="","",INDEX('Product Master'!$B$7:$B$1000,MATCH($A670,'Product Master'!$A$7:$A$1000,0)))</f>
        <v/>
      </c>
      <c r="C670" t="str">
        <f>IF($A670="","",INDEX('Product Master'!$C$7:$C$1000,MATCH($A670,'Product Master'!$A$7:$A$1000,0)))</f>
        <v/>
      </c>
      <c r="D670" t="str">
        <f>IF($A670="","",INDEX('Product Master'!$M$7:$M$1000,MATCH($A670,'Product Master'!$A$7:$A$1000,0)))</f>
        <v/>
      </c>
      <c r="E670" t="str">
        <f>IF($A670="","",INDEX('Product Master'!$N$7:$N$1000,MATCH($A670,'Product Master'!$A$7:$A$1000,0)))</f>
        <v/>
      </c>
      <c r="F670" t="str">
        <f>IF($A670="","",INDEX('Product Master'!$P$7:$P$1000,MATCH($A670,'Product Master'!$A$7:$A$1000,0)))</f>
        <v/>
      </c>
      <c r="I670" t="str">
        <f>IFERROR(INDEX('Product Master'!$A$7:$A$1000,_xlfn.AGGREGATE(15,6,(ROW('Product Master'!$A$7:$A$1000)-ROW('Product Master'!$A$7)+1)/(('Product Master'!$A$7:$A$1000&lt;&gt;"")*('Product Master'!$P$7:$P$1000="Out of Stock")),ROWS($I$12:I670))),"")</f>
        <v/>
      </c>
      <c r="J670" t="str">
        <f>IF($I670="","",INDEX('Product Master'!$B$7:$B$1000,MATCH($I670,'Product Master'!$A$7:$A$1000,0)))</f>
        <v/>
      </c>
      <c r="K670" t="str">
        <f>IF($I670="","",INDEX('Product Master'!$C$7:$C$1000,MATCH($I670,'Product Master'!$A$7:$A$1000,0)))</f>
        <v/>
      </c>
      <c r="L670" t="str">
        <f>IF($I670="","",INDEX('Product Master'!$M$7:$M$1000,MATCH($I670,'Product Master'!$A$7:$A$1000,0)))</f>
        <v/>
      </c>
      <c r="M670" t="str">
        <f>IF($I670="","",INDEX('Product Master'!$N$7:$N$1000,MATCH($I670,'Product Master'!$A$7:$A$1000,0)))</f>
        <v/>
      </c>
    </row>
    <row r="671" spans="1:13" x14ac:dyDescent="0.3">
      <c r="A671" t="str">
        <f>IFERROR(INDEX('Product Master'!$A$7:$A$1000,_xlfn.AGGREGATE(15,6,(ROW('Product Master'!$A$7:$A$1000)-ROW('Product Master'!$A$7)+1)/(('Product Master'!$A$7:$A$1000&lt;&gt;"")*('Product Master'!$P$7:$P$1000="Low Stock")),ROWS($A$12:A671))),"")</f>
        <v/>
      </c>
      <c r="B671" t="str">
        <f>IF($A671="","",INDEX('Product Master'!$B$7:$B$1000,MATCH($A671,'Product Master'!$A$7:$A$1000,0)))</f>
        <v/>
      </c>
      <c r="C671" t="str">
        <f>IF($A671="","",INDEX('Product Master'!$C$7:$C$1000,MATCH($A671,'Product Master'!$A$7:$A$1000,0)))</f>
        <v/>
      </c>
      <c r="D671" t="str">
        <f>IF($A671="","",INDEX('Product Master'!$M$7:$M$1000,MATCH($A671,'Product Master'!$A$7:$A$1000,0)))</f>
        <v/>
      </c>
      <c r="E671" t="str">
        <f>IF($A671="","",INDEX('Product Master'!$N$7:$N$1000,MATCH($A671,'Product Master'!$A$7:$A$1000,0)))</f>
        <v/>
      </c>
      <c r="F671" t="str">
        <f>IF($A671="","",INDEX('Product Master'!$P$7:$P$1000,MATCH($A671,'Product Master'!$A$7:$A$1000,0)))</f>
        <v/>
      </c>
      <c r="I671" t="str">
        <f>IFERROR(INDEX('Product Master'!$A$7:$A$1000,_xlfn.AGGREGATE(15,6,(ROW('Product Master'!$A$7:$A$1000)-ROW('Product Master'!$A$7)+1)/(('Product Master'!$A$7:$A$1000&lt;&gt;"")*('Product Master'!$P$7:$P$1000="Out of Stock")),ROWS($I$12:I671))),"")</f>
        <v/>
      </c>
      <c r="J671" t="str">
        <f>IF($I671="","",INDEX('Product Master'!$B$7:$B$1000,MATCH($I671,'Product Master'!$A$7:$A$1000,0)))</f>
        <v/>
      </c>
      <c r="K671" t="str">
        <f>IF($I671="","",INDEX('Product Master'!$C$7:$C$1000,MATCH($I671,'Product Master'!$A$7:$A$1000,0)))</f>
        <v/>
      </c>
      <c r="L671" t="str">
        <f>IF($I671="","",INDEX('Product Master'!$M$7:$M$1000,MATCH($I671,'Product Master'!$A$7:$A$1000,0)))</f>
        <v/>
      </c>
      <c r="M671" t="str">
        <f>IF($I671="","",INDEX('Product Master'!$N$7:$N$1000,MATCH($I671,'Product Master'!$A$7:$A$1000,0)))</f>
        <v/>
      </c>
    </row>
    <row r="672" spans="1:13" x14ac:dyDescent="0.3">
      <c r="A672" t="str">
        <f>IFERROR(INDEX('Product Master'!$A$7:$A$1000,_xlfn.AGGREGATE(15,6,(ROW('Product Master'!$A$7:$A$1000)-ROW('Product Master'!$A$7)+1)/(('Product Master'!$A$7:$A$1000&lt;&gt;"")*('Product Master'!$P$7:$P$1000="Low Stock")),ROWS($A$12:A672))),"")</f>
        <v/>
      </c>
      <c r="B672" t="str">
        <f>IF($A672="","",INDEX('Product Master'!$B$7:$B$1000,MATCH($A672,'Product Master'!$A$7:$A$1000,0)))</f>
        <v/>
      </c>
      <c r="C672" t="str">
        <f>IF($A672="","",INDEX('Product Master'!$C$7:$C$1000,MATCH($A672,'Product Master'!$A$7:$A$1000,0)))</f>
        <v/>
      </c>
      <c r="D672" t="str">
        <f>IF($A672="","",INDEX('Product Master'!$M$7:$M$1000,MATCH($A672,'Product Master'!$A$7:$A$1000,0)))</f>
        <v/>
      </c>
      <c r="E672" t="str">
        <f>IF($A672="","",INDEX('Product Master'!$N$7:$N$1000,MATCH($A672,'Product Master'!$A$7:$A$1000,0)))</f>
        <v/>
      </c>
      <c r="F672" t="str">
        <f>IF($A672="","",INDEX('Product Master'!$P$7:$P$1000,MATCH($A672,'Product Master'!$A$7:$A$1000,0)))</f>
        <v/>
      </c>
      <c r="I672" t="str">
        <f>IFERROR(INDEX('Product Master'!$A$7:$A$1000,_xlfn.AGGREGATE(15,6,(ROW('Product Master'!$A$7:$A$1000)-ROW('Product Master'!$A$7)+1)/(('Product Master'!$A$7:$A$1000&lt;&gt;"")*('Product Master'!$P$7:$P$1000="Out of Stock")),ROWS($I$12:I672))),"")</f>
        <v/>
      </c>
      <c r="J672" t="str">
        <f>IF($I672="","",INDEX('Product Master'!$B$7:$B$1000,MATCH($I672,'Product Master'!$A$7:$A$1000,0)))</f>
        <v/>
      </c>
      <c r="K672" t="str">
        <f>IF($I672="","",INDEX('Product Master'!$C$7:$C$1000,MATCH($I672,'Product Master'!$A$7:$A$1000,0)))</f>
        <v/>
      </c>
      <c r="L672" t="str">
        <f>IF($I672="","",INDEX('Product Master'!$M$7:$M$1000,MATCH($I672,'Product Master'!$A$7:$A$1000,0)))</f>
        <v/>
      </c>
      <c r="M672" t="str">
        <f>IF($I672="","",INDEX('Product Master'!$N$7:$N$1000,MATCH($I672,'Product Master'!$A$7:$A$1000,0)))</f>
        <v/>
      </c>
    </row>
    <row r="673" spans="1:13" x14ac:dyDescent="0.3">
      <c r="A673" t="str">
        <f>IFERROR(INDEX('Product Master'!$A$7:$A$1000,_xlfn.AGGREGATE(15,6,(ROW('Product Master'!$A$7:$A$1000)-ROW('Product Master'!$A$7)+1)/(('Product Master'!$A$7:$A$1000&lt;&gt;"")*('Product Master'!$P$7:$P$1000="Low Stock")),ROWS($A$12:A673))),"")</f>
        <v/>
      </c>
      <c r="B673" t="str">
        <f>IF($A673="","",INDEX('Product Master'!$B$7:$B$1000,MATCH($A673,'Product Master'!$A$7:$A$1000,0)))</f>
        <v/>
      </c>
      <c r="C673" t="str">
        <f>IF($A673="","",INDEX('Product Master'!$C$7:$C$1000,MATCH($A673,'Product Master'!$A$7:$A$1000,0)))</f>
        <v/>
      </c>
      <c r="D673" t="str">
        <f>IF($A673="","",INDEX('Product Master'!$M$7:$M$1000,MATCH($A673,'Product Master'!$A$7:$A$1000,0)))</f>
        <v/>
      </c>
      <c r="E673" t="str">
        <f>IF($A673="","",INDEX('Product Master'!$N$7:$N$1000,MATCH($A673,'Product Master'!$A$7:$A$1000,0)))</f>
        <v/>
      </c>
      <c r="F673" t="str">
        <f>IF($A673="","",INDEX('Product Master'!$P$7:$P$1000,MATCH($A673,'Product Master'!$A$7:$A$1000,0)))</f>
        <v/>
      </c>
      <c r="I673" t="str">
        <f>IFERROR(INDEX('Product Master'!$A$7:$A$1000,_xlfn.AGGREGATE(15,6,(ROW('Product Master'!$A$7:$A$1000)-ROW('Product Master'!$A$7)+1)/(('Product Master'!$A$7:$A$1000&lt;&gt;"")*('Product Master'!$P$7:$P$1000="Out of Stock")),ROWS($I$12:I673))),"")</f>
        <v/>
      </c>
      <c r="J673" t="str">
        <f>IF($I673="","",INDEX('Product Master'!$B$7:$B$1000,MATCH($I673,'Product Master'!$A$7:$A$1000,0)))</f>
        <v/>
      </c>
      <c r="K673" t="str">
        <f>IF($I673="","",INDEX('Product Master'!$C$7:$C$1000,MATCH($I673,'Product Master'!$A$7:$A$1000,0)))</f>
        <v/>
      </c>
      <c r="L673" t="str">
        <f>IF($I673="","",INDEX('Product Master'!$M$7:$M$1000,MATCH($I673,'Product Master'!$A$7:$A$1000,0)))</f>
        <v/>
      </c>
      <c r="M673" t="str">
        <f>IF($I673="","",INDEX('Product Master'!$N$7:$N$1000,MATCH($I673,'Product Master'!$A$7:$A$1000,0)))</f>
        <v/>
      </c>
    </row>
    <row r="674" spans="1:13" x14ac:dyDescent="0.3">
      <c r="A674" t="str">
        <f>IFERROR(INDEX('Product Master'!$A$7:$A$1000,_xlfn.AGGREGATE(15,6,(ROW('Product Master'!$A$7:$A$1000)-ROW('Product Master'!$A$7)+1)/(('Product Master'!$A$7:$A$1000&lt;&gt;"")*('Product Master'!$P$7:$P$1000="Low Stock")),ROWS($A$12:A674))),"")</f>
        <v/>
      </c>
      <c r="B674" t="str">
        <f>IF($A674="","",INDEX('Product Master'!$B$7:$B$1000,MATCH($A674,'Product Master'!$A$7:$A$1000,0)))</f>
        <v/>
      </c>
      <c r="C674" t="str">
        <f>IF($A674="","",INDEX('Product Master'!$C$7:$C$1000,MATCH($A674,'Product Master'!$A$7:$A$1000,0)))</f>
        <v/>
      </c>
      <c r="D674" t="str">
        <f>IF($A674="","",INDEX('Product Master'!$M$7:$M$1000,MATCH($A674,'Product Master'!$A$7:$A$1000,0)))</f>
        <v/>
      </c>
      <c r="E674" t="str">
        <f>IF($A674="","",INDEX('Product Master'!$N$7:$N$1000,MATCH($A674,'Product Master'!$A$7:$A$1000,0)))</f>
        <v/>
      </c>
      <c r="F674" t="str">
        <f>IF($A674="","",INDEX('Product Master'!$P$7:$P$1000,MATCH($A674,'Product Master'!$A$7:$A$1000,0)))</f>
        <v/>
      </c>
      <c r="I674" t="str">
        <f>IFERROR(INDEX('Product Master'!$A$7:$A$1000,_xlfn.AGGREGATE(15,6,(ROW('Product Master'!$A$7:$A$1000)-ROW('Product Master'!$A$7)+1)/(('Product Master'!$A$7:$A$1000&lt;&gt;"")*('Product Master'!$P$7:$P$1000="Out of Stock")),ROWS($I$12:I674))),"")</f>
        <v/>
      </c>
      <c r="J674" t="str">
        <f>IF($I674="","",INDEX('Product Master'!$B$7:$B$1000,MATCH($I674,'Product Master'!$A$7:$A$1000,0)))</f>
        <v/>
      </c>
      <c r="K674" t="str">
        <f>IF($I674="","",INDEX('Product Master'!$C$7:$C$1000,MATCH($I674,'Product Master'!$A$7:$A$1000,0)))</f>
        <v/>
      </c>
      <c r="L674" t="str">
        <f>IF($I674="","",INDEX('Product Master'!$M$7:$M$1000,MATCH($I674,'Product Master'!$A$7:$A$1000,0)))</f>
        <v/>
      </c>
      <c r="M674" t="str">
        <f>IF($I674="","",INDEX('Product Master'!$N$7:$N$1000,MATCH($I674,'Product Master'!$A$7:$A$1000,0)))</f>
        <v/>
      </c>
    </row>
    <row r="675" spans="1:13" x14ac:dyDescent="0.3">
      <c r="A675" t="str">
        <f>IFERROR(INDEX('Product Master'!$A$7:$A$1000,_xlfn.AGGREGATE(15,6,(ROW('Product Master'!$A$7:$A$1000)-ROW('Product Master'!$A$7)+1)/(('Product Master'!$A$7:$A$1000&lt;&gt;"")*('Product Master'!$P$7:$P$1000="Low Stock")),ROWS($A$12:A675))),"")</f>
        <v/>
      </c>
      <c r="B675" t="str">
        <f>IF($A675="","",INDEX('Product Master'!$B$7:$B$1000,MATCH($A675,'Product Master'!$A$7:$A$1000,0)))</f>
        <v/>
      </c>
      <c r="C675" t="str">
        <f>IF($A675="","",INDEX('Product Master'!$C$7:$C$1000,MATCH($A675,'Product Master'!$A$7:$A$1000,0)))</f>
        <v/>
      </c>
      <c r="D675" t="str">
        <f>IF($A675="","",INDEX('Product Master'!$M$7:$M$1000,MATCH($A675,'Product Master'!$A$7:$A$1000,0)))</f>
        <v/>
      </c>
      <c r="E675" t="str">
        <f>IF($A675="","",INDEX('Product Master'!$N$7:$N$1000,MATCH($A675,'Product Master'!$A$7:$A$1000,0)))</f>
        <v/>
      </c>
      <c r="F675" t="str">
        <f>IF($A675="","",INDEX('Product Master'!$P$7:$P$1000,MATCH($A675,'Product Master'!$A$7:$A$1000,0)))</f>
        <v/>
      </c>
      <c r="I675" t="str">
        <f>IFERROR(INDEX('Product Master'!$A$7:$A$1000,_xlfn.AGGREGATE(15,6,(ROW('Product Master'!$A$7:$A$1000)-ROW('Product Master'!$A$7)+1)/(('Product Master'!$A$7:$A$1000&lt;&gt;"")*('Product Master'!$P$7:$P$1000="Out of Stock")),ROWS($I$12:I675))),"")</f>
        <v/>
      </c>
      <c r="J675" t="str">
        <f>IF($I675="","",INDEX('Product Master'!$B$7:$B$1000,MATCH($I675,'Product Master'!$A$7:$A$1000,0)))</f>
        <v/>
      </c>
      <c r="K675" t="str">
        <f>IF($I675="","",INDEX('Product Master'!$C$7:$C$1000,MATCH($I675,'Product Master'!$A$7:$A$1000,0)))</f>
        <v/>
      </c>
      <c r="L675" t="str">
        <f>IF($I675="","",INDEX('Product Master'!$M$7:$M$1000,MATCH($I675,'Product Master'!$A$7:$A$1000,0)))</f>
        <v/>
      </c>
      <c r="M675" t="str">
        <f>IF($I675="","",INDEX('Product Master'!$N$7:$N$1000,MATCH($I675,'Product Master'!$A$7:$A$1000,0)))</f>
        <v/>
      </c>
    </row>
    <row r="676" spans="1:13" x14ac:dyDescent="0.3">
      <c r="A676" t="str">
        <f>IFERROR(INDEX('Product Master'!$A$7:$A$1000,_xlfn.AGGREGATE(15,6,(ROW('Product Master'!$A$7:$A$1000)-ROW('Product Master'!$A$7)+1)/(('Product Master'!$A$7:$A$1000&lt;&gt;"")*('Product Master'!$P$7:$P$1000="Low Stock")),ROWS($A$12:A676))),"")</f>
        <v/>
      </c>
      <c r="B676" t="str">
        <f>IF($A676="","",INDEX('Product Master'!$B$7:$B$1000,MATCH($A676,'Product Master'!$A$7:$A$1000,0)))</f>
        <v/>
      </c>
      <c r="C676" t="str">
        <f>IF($A676="","",INDEX('Product Master'!$C$7:$C$1000,MATCH($A676,'Product Master'!$A$7:$A$1000,0)))</f>
        <v/>
      </c>
      <c r="D676" t="str">
        <f>IF($A676="","",INDEX('Product Master'!$M$7:$M$1000,MATCH($A676,'Product Master'!$A$7:$A$1000,0)))</f>
        <v/>
      </c>
      <c r="E676" t="str">
        <f>IF($A676="","",INDEX('Product Master'!$N$7:$N$1000,MATCH($A676,'Product Master'!$A$7:$A$1000,0)))</f>
        <v/>
      </c>
      <c r="F676" t="str">
        <f>IF($A676="","",INDEX('Product Master'!$P$7:$P$1000,MATCH($A676,'Product Master'!$A$7:$A$1000,0)))</f>
        <v/>
      </c>
      <c r="I676" t="str">
        <f>IFERROR(INDEX('Product Master'!$A$7:$A$1000,_xlfn.AGGREGATE(15,6,(ROW('Product Master'!$A$7:$A$1000)-ROW('Product Master'!$A$7)+1)/(('Product Master'!$A$7:$A$1000&lt;&gt;"")*('Product Master'!$P$7:$P$1000="Out of Stock")),ROWS($I$12:I676))),"")</f>
        <v/>
      </c>
      <c r="J676" t="str">
        <f>IF($I676="","",INDEX('Product Master'!$B$7:$B$1000,MATCH($I676,'Product Master'!$A$7:$A$1000,0)))</f>
        <v/>
      </c>
      <c r="K676" t="str">
        <f>IF($I676="","",INDEX('Product Master'!$C$7:$C$1000,MATCH($I676,'Product Master'!$A$7:$A$1000,0)))</f>
        <v/>
      </c>
      <c r="L676" t="str">
        <f>IF($I676="","",INDEX('Product Master'!$M$7:$M$1000,MATCH($I676,'Product Master'!$A$7:$A$1000,0)))</f>
        <v/>
      </c>
      <c r="M676" t="str">
        <f>IF($I676="","",INDEX('Product Master'!$N$7:$N$1000,MATCH($I676,'Product Master'!$A$7:$A$1000,0)))</f>
        <v/>
      </c>
    </row>
    <row r="677" spans="1:13" x14ac:dyDescent="0.3">
      <c r="A677" t="str">
        <f>IFERROR(INDEX('Product Master'!$A$7:$A$1000,_xlfn.AGGREGATE(15,6,(ROW('Product Master'!$A$7:$A$1000)-ROW('Product Master'!$A$7)+1)/(('Product Master'!$A$7:$A$1000&lt;&gt;"")*('Product Master'!$P$7:$P$1000="Low Stock")),ROWS($A$12:A677))),"")</f>
        <v/>
      </c>
      <c r="B677" t="str">
        <f>IF($A677="","",INDEX('Product Master'!$B$7:$B$1000,MATCH($A677,'Product Master'!$A$7:$A$1000,0)))</f>
        <v/>
      </c>
      <c r="C677" t="str">
        <f>IF($A677="","",INDEX('Product Master'!$C$7:$C$1000,MATCH($A677,'Product Master'!$A$7:$A$1000,0)))</f>
        <v/>
      </c>
      <c r="D677" t="str">
        <f>IF($A677="","",INDEX('Product Master'!$M$7:$M$1000,MATCH($A677,'Product Master'!$A$7:$A$1000,0)))</f>
        <v/>
      </c>
      <c r="E677" t="str">
        <f>IF($A677="","",INDEX('Product Master'!$N$7:$N$1000,MATCH($A677,'Product Master'!$A$7:$A$1000,0)))</f>
        <v/>
      </c>
      <c r="F677" t="str">
        <f>IF($A677="","",INDEX('Product Master'!$P$7:$P$1000,MATCH($A677,'Product Master'!$A$7:$A$1000,0)))</f>
        <v/>
      </c>
      <c r="I677" t="str">
        <f>IFERROR(INDEX('Product Master'!$A$7:$A$1000,_xlfn.AGGREGATE(15,6,(ROW('Product Master'!$A$7:$A$1000)-ROW('Product Master'!$A$7)+1)/(('Product Master'!$A$7:$A$1000&lt;&gt;"")*('Product Master'!$P$7:$P$1000="Out of Stock")),ROWS($I$12:I677))),"")</f>
        <v/>
      </c>
      <c r="J677" t="str">
        <f>IF($I677="","",INDEX('Product Master'!$B$7:$B$1000,MATCH($I677,'Product Master'!$A$7:$A$1000,0)))</f>
        <v/>
      </c>
      <c r="K677" t="str">
        <f>IF($I677="","",INDEX('Product Master'!$C$7:$C$1000,MATCH($I677,'Product Master'!$A$7:$A$1000,0)))</f>
        <v/>
      </c>
      <c r="L677" t="str">
        <f>IF($I677="","",INDEX('Product Master'!$M$7:$M$1000,MATCH($I677,'Product Master'!$A$7:$A$1000,0)))</f>
        <v/>
      </c>
      <c r="M677" t="str">
        <f>IF($I677="","",INDEX('Product Master'!$N$7:$N$1000,MATCH($I677,'Product Master'!$A$7:$A$1000,0)))</f>
        <v/>
      </c>
    </row>
    <row r="678" spans="1:13" x14ac:dyDescent="0.3">
      <c r="A678" t="str">
        <f>IFERROR(INDEX('Product Master'!$A$7:$A$1000,_xlfn.AGGREGATE(15,6,(ROW('Product Master'!$A$7:$A$1000)-ROW('Product Master'!$A$7)+1)/(('Product Master'!$A$7:$A$1000&lt;&gt;"")*('Product Master'!$P$7:$P$1000="Low Stock")),ROWS($A$12:A678))),"")</f>
        <v/>
      </c>
      <c r="B678" t="str">
        <f>IF($A678="","",INDEX('Product Master'!$B$7:$B$1000,MATCH($A678,'Product Master'!$A$7:$A$1000,0)))</f>
        <v/>
      </c>
      <c r="C678" t="str">
        <f>IF($A678="","",INDEX('Product Master'!$C$7:$C$1000,MATCH($A678,'Product Master'!$A$7:$A$1000,0)))</f>
        <v/>
      </c>
      <c r="D678" t="str">
        <f>IF($A678="","",INDEX('Product Master'!$M$7:$M$1000,MATCH($A678,'Product Master'!$A$7:$A$1000,0)))</f>
        <v/>
      </c>
      <c r="E678" t="str">
        <f>IF($A678="","",INDEX('Product Master'!$N$7:$N$1000,MATCH($A678,'Product Master'!$A$7:$A$1000,0)))</f>
        <v/>
      </c>
      <c r="F678" t="str">
        <f>IF($A678="","",INDEX('Product Master'!$P$7:$P$1000,MATCH($A678,'Product Master'!$A$7:$A$1000,0)))</f>
        <v/>
      </c>
      <c r="I678" t="str">
        <f>IFERROR(INDEX('Product Master'!$A$7:$A$1000,_xlfn.AGGREGATE(15,6,(ROW('Product Master'!$A$7:$A$1000)-ROW('Product Master'!$A$7)+1)/(('Product Master'!$A$7:$A$1000&lt;&gt;"")*('Product Master'!$P$7:$P$1000="Out of Stock")),ROWS($I$12:I678))),"")</f>
        <v/>
      </c>
      <c r="J678" t="str">
        <f>IF($I678="","",INDEX('Product Master'!$B$7:$B$1000,MATCH($I678,'Product Master'!$A$7:$A$1000,0)))</f>
        <v/>
      </c>
      <c r="K678" t="str">
        <f>IF($I678="","",INDEX('Product Master'!$C$7:$C$1000,MATCH($I678,'Product Master'!$A$7:$A$1000,0)))</f>
        <v/>
      </c>
      <c r="L678" t="str">
        <f>IF($I678="","",INDEX('Product Master'!$M$7:$M$1000,MATCH($I678,'Product Master'!$A$7:$A$1000,0)))</f>
        <v/>
      </c>
      <c r="M678" t="str">
        <f>IF($I678="","",INDEX('Product Master'!$N$7:$N$1000,MATCH($I678,'Product Master'!$A$7:$A$1000,0)))</f>
        <v/>
      </c>
    </row>
    <row r="679" spans="1:13" x14ac:dyDescent="0.3">
      <c r="A679" t="str">
        <f>IFERROR(INDEX('Product Master'!$A$7:$A$1000,_xlfn.AGGREGATE(15,6,(ROW('Product Master'!$A$7:$A$1000)-ROW('Product Master'!$A$7)+1)/(('Product Master'!$A$7:$A$1000&lt;&gt;"")*('Product Master'!$P$7:$P$1000="Low Stock")),ROWS($A$12:A679))),"")</f>
        <v/>
      </c>
      <c r="B679" t="str">
        <f>IF($A679="","",INDEX('Product Master'!$B$7:$B$1000,MATCH($A679,'Product Master'!$A$7:$A$1000,0)))</f>
        <v/>
      </c>
      <c r="C679" t="str">
        <f>IF($A679="","",INDEX('Product Master'!$C$7:$C$1000,MATCH($A679,'Product Master'!$A$7:$A$1000,0)))</f>
        <v/>
      </c>
      <c r="D679" t="str">
        <f>IF($A679="","",INDEX('Product Master'!$M$7:$M$1000,MATCH($A679,'Product Master'!$A$7:$A$1000,0)))</f>
        <v/>
      </c>
      <c r="E679" t="str">
        <f>IF($A679="","",INDEX('Product Master'!$N$7:$N$1000,MATCH($A679,'Product Master'!$A$7:$A$1000,0)))</f>
        <v/>
      </c>
      <c r="F679" t="str">
        <f>IF($A679="","",INDEX('Product Master'!$P$7:$P$1000,MATCH($A679,'Product Master'!$A$7:$A$1000,0)))</f>
        <v/>
      </c>
      <c r="I679" t="str">
        <f>IFERROR(INDEX('Product Master'!$A$7:$A$1000,_xlfn.AGGREGATE(15,6,(ROW('Product Master'!$A$7:$A$1000)-ROW('Product Master'!$A$7)+1)/(('Product Master'!$A$7:$A$1000&lt;&gt;"")*('Product Master'!$P$7:$P$1000="Out of Stock")),ROWS($I$12:I679))),"")</f>
        <v/>
      </c>
      <c r="J679" t="str">
        <f>IF($I679="","",INDEX('Product Master'!$B$7:$B$1000,MATCH($I679,'Product Master'!$A$7:$A$1000,0)))</f>
        <v/>
      </c>
      <c r="K679" t="str">
        <f>IF($I679="","",INDEX('Product Master'!$C$7:$C$1000,MATCH($I679,'Product Master'!$A$7:$A$1000,0)))</f>
        <v/>
      </c>
      <c r="L679" t="str">
        <f>IF($I679="","",INDEX('Product Master'!$M$7:$M$1000,MATCH($I679,'Product Master'!$A$7:$A$1000,0)))</f>
        <v/>
      </c>
      <c r="M679" t="str">
        <f>IF($I679="","",INDEX('Product Master'!$N$7:$N$1000,MATCH($I679,'Product Master'!$A$7:$A$1000,0)))</f>
        <v/>
      </c>
    </row>
    <row r="680" spans="1:13" x14ac:dyDescent="0.3">
      <c r="A680" t="str">
        <f>IFERROR(INDEX('Product Master'!$A$7:$A$1000,_xlfn.AGGREGATE(15,6,(ROW('Product Master'!$A$7:$A$1000)-ROW('Product Master'!$A$7)+1)/(('Product Master'!$A$7:$A$1000&lt;&gt;"")*('Product Master'!$P$7:$P$1000="Low Stock")),ROWS($A$12:A680))),"")</f>
        <v/>
      </c>
      <c r="B680" t="str">
        <f>IF($A680="","",INDEX('Product Master'!$B$7:$B$1000,MATCH($A680,'Product Master'!$A$7:$A$1000,0)))</f>
        <v/>
      </c>
      <c r="C680" t="str">
        <f>IF($A680="","",INDEX('Product Master'!$C$7:$C$1000,MATCH($A680,'Product Master'!$A$7:$A$1000,0)))</f>
        <v/>
      </c>
      <c r="D680" t="str">
        <f>IF($A680="","",INDEX('Product Master'!$M$7:$M$1000,MATCH($A680,'Product Master'!$A$7:$A$1000,0)))</f>
        <v/>
      </c>
      <c r="E680" t="str">
        <f>IF($A680="","",INDEX('Product Master'!$N$7:$N$1000,MATCH($A680,'Product Master'!$A$7:$A$1000,0)))</f>
        <v/>
      </c>
      <c r="F680" t="str">
        <f>IF($A680="","",INDEX('Product Master'!$P$7:$P$1000,MATCH($A680,'Product Master'!$A$7:$A$1000,0)))</f>
        <v/>
      </c>
      <c r="I680" t="str">
        <f>IFERROR(INDEX('Product Master'!$A$7:$A$1000,_xlfn.AGGREGATE(15,6,(ROW('Product Master'!$A$7:$A$1000)-ROW('Product Master'!$A$7)+1)/(('Product Master'!$A$7:$A$1000&lt;&gt;"")*('Product Master'!$P$7:$P$1000="Out of Stock")),ROWS($I$12:I680))),"")</f>
        <v/>
      </c>
      <c r="J680" t="str">
        <f>IF($I680="","",INDEX('Product Master'!$B$7:$B$1000,MATCH($I680,'Product Master'!$A$7:$A$1000,0)))</f>
        <v/>
      </c>
      <c r="K680" t="str">
        <f>IF($I680="","",INDEX('Product Master'!$C$7:$C$1000,MATCH($I680,'Product Master'!$A$7:$A$1000,0)))</f>
        <v/>
      </c>
      <c r="L680" t="str">
        <f>IF($I680="","",INDEX('Product Master'!$M$7:$M$1000,MATCH($I680,'Product Master'!$A$7:$A$1000,0)))</f>
        <v/>
      </c>
      <c r="M680" t="str">
        <f>IF($I680="","",INDEX('Product Master'!$N$7:$N$1000,MATCH($I680,'Product Master'!$A$7:$A$1000,0)))</f>
        <v/>
      </c>
    </row>
    <row r="681" spans="1:13" x14ac:dyDescent="0.3">
      <c r="A681" t="str">
        <f>IFERROR(INDEX('Product Master'!$A$7:$A$1000,_xlfn.AGGREGATE(15,6,(ROW('Product Master'!$A$7:$A$1000)-ROW('Product Master'!$A$7)+1)/(('Product Master'!$A$7:$A$1000&lt;&gt;"")*('Product Master'!$P$7:$P$1000="Low Stock")),ROWS($A$12:A681))),"")</f>
        <v/>
      </c>
      <c r="B681" t="str">
        <f>IF($A681="","",INDEX('Product Master'!$B$7:$B$1000,MATCH($A681,'Product Master'!$A$7:$A$1000,0)))</f>
        <v/>
      </c>
      <c r="C681" t="str">
        <f>IF($A681="","",INDEX('Product Master'!$C$7:$C$1000,MATCH($A681,'Product Master'!$A$7:$A$1000,0)))</f>
        <v/>
      </c>
      <c r="D681" t="str">
        <f>IF($A681="","",INDEX('Product Master'!$M$7:$M$1000,MATCH($A681,'Product Master'!$A$7:$A$1000,0)))</f>
        <v/>
      </c>
      <c r="E681" t="str">
        <f>IF($A681="","",INDEX('Product Master'!$N$7:$N$1000,MATCH($A681,'Product Master'!$A$7:$A$1000,0)))</f>
        <v/>
      </c>
      <c r="F681" t="str">
        <f>IF($A681="","",INDEX('Product Master'!$P$7:$P$1000,MATCH($A681,'Product Master'!$A$7:$A$1000,0)))</f>
        <v/>
      </c>
      <c r="I681" t="str">
        <f>IFERROR(INDEX('Product Master'!$A$7:$A$1000,_xlfn.AGGREGATE(15,6,(ROW('Product Master'!$A$7:$A$1000)-ROW('Product Master'!$A$7)+1)/(('Product Master'!$A$7:$A$1000&lt;&gt;"")*('Product Master'!$P$7:$P$1000="Out of Stock")),ROWS($I$12:I681))),"")</f>
        <v/>
      </c>
      <c r="J681" t="str">
        <f>IF($I681="","",INDEX('Product Master'!$B$7:$B$1000,MATCH($I681,'Product Master'!$A$7:$A$1000,0)))</f>
        <v/>
      </c>
      <c r="K681" t="str">
        <f>IF($I681="","",INDEX('Product Master'!$C$7:$C$1000,MATCH($I681,'Product Master'!$A$7:$A$1000,0)))</f>
        <v/>
      </c>
      <c r="L681" t="str">
        <f>IF($I681="","",INDEX('Product Master'!$M$7:$M$1000,MATCH($I681,'Product Master'!$A$7:$A$1000,0)))</f>
        <v/>
      </c>
      <c r="M681" t="str">
        <f>IF($I681="","",INDEX('Product Master'!$N$7:$N$1000,MATCH($I681,'Product Master'!$A$7:$A$1000,0)))</f>
        <v/>
      </c>
    </row>
    <row r="682" spans="1:13" x14ac:dyDescent="0.3">
      <c r="A682" t="str">
        <f>IFERROR(INDEX('Product Master'!$A$7:$A$1000,_xlfn.AGGREGATE(15,6,(ROW('Product Master'!$A$7:$A$1000)-ROW('Product Master'!$A$7)+1)/(('Product Master'!$A$7:$A$1000&lt;&gt;"")*('Product Master'!$P$7:$P$1000="Low Stock")),ROWS($A$12:A682))),"")</f>
        <v/>
      </c>
      <c r="B682" t="str">
        <f>IF($A682="","",INDEX('Product Master'!$B$7:$B$1000,MATCH($A682,'Product Master'!$A$7:$A$1000,0)))</f>
        <v/>
      </c>
      <c r="C682" t="str">
        <f>IF($A682="","",INDEX('Product Master'!$C$7:$C$1000,MATCH($A682,'Product Master'!$A$7:$A$1000,0)))</f>
        <v/>
      </c>
      <c r="D682" t="str">
        <f>IF($A682="","",INDEX('Product Master'!$M$7:$M$1000,MATCH($A682,'Product Master'!$A$7:$A$1000,0)))</f>
        <v/>
      </c>
      <c r="E682" t="str">
        <f>IF($A682="","",INDEX('Product Master'!$N$7:$N$1000,MATCH($A682,'Product Master'!$A$7:$A$1000,0)))</f>
        <v/>
      </c>
      <c r="F682" t="str">
        <f>IF($A682="","",INDEX('Product Master'!$P$7:$P$1000,MATCH($A682,'Product Master'!$A$7:$A$1000,0)))</f>
        <v/>
      </c>
      <c r="I682" t="str">
        <f>IFERROR(INDEX('Product Master'!$A$7:$A$1000,_xlfn.AGGREGATE(15,6,(ROW('Product Master'!$A$7:$A$1000)-ROW('Product Master'!$A$7)+1)/(('Product Master'!$A$7:$A$1000&lt;&gt;"")*('Product Master'!$P$7:$P$1000="Out of Stock")),ROWS($I$12:I682))),"")</f>
        <v/>
      </c>
      <c r="J682" t="str">
        <f>IF($I682="","",INDEX('Product Master'!$B$7:$B$1000,MATCH($I682,'Product Master'!$A$7:$A$1000,0)))</f>
        <v/>
      </c>
      <c r="K682" t="str">
        <f>IF($I682="","",INDEX('Product Master'!$C$7:$C$1000,MATCH($I682,'Product Master'!$A$7:$A$1000,0)))</f>
        <v/>
      </c>
      <c r="L682" t="str">
        <f>IF($I682="","",INDEX('Product Master'!$M$7:$M$1000,MATCH($I682,'Product Master'!$A$7:$A$1000,0)))</f>
        <v/>
      </c>
      <c r="M682" t="str">
        <f>IF($I682="","",INDEX('Product Master'!$N$7:$N$1000,MATCH($I682,'Product Master'!$A$7:$A$1000,0)))</f>
        <v/>
      </c>
    </row>
    <row r="683" spans="1:13" x14ac:dyDescent="0.3">
      <c r="A683" t="str">
        <f>IFERROR(INDEX('Product Master'!$A$7:$A$1000,_xlfn.AGGREGATE(15,6,(ROW('Product Master'!$A$7:$A$1000)-ROW('Product Master'!$A$7)+1)/(('Product Master'!$A$7:$A$1000&lt;&gt;"")*('Product Master'!$P$7:$P$1000="Low Stock")),ROWS($A$12:A683))),"")</f>
        <v/>
      </c>
      <c r="B683" t="str">
        <f>IF($A683="","",INDEX('Product Master'!$B$7:$B$1000,MATCH($A683,'Product Master'!$A$7:$A$1000,0)))</f>
        <v/>
      </c>
      <c r="C683" t="str">
        <f>IF($A683="","",INDEX('Product Master'!$C$7:$C$1000,MATCH($A683,'Product Master'!$A$7:$A$1000,0)))</f>
        <v/>
      </c>
      <c r="D683" t="str">
        <f>IF($A683="","",INDEX('Product Master'!$M$7:$M$1000,MATCH($A683,'Product Master'!$A$7:$A$1000,0)))</f>
        <v/>
      </c>
      <c r="E683" t="str">
        <f>IF($A683="","",INDEX('Product Master'!$N$7:$N$1000,MATCH($A683,'Product Master'!$A$7:$A$1000,0)))</f>
        <v/>
      </c>
      <c r="F683" t="str">
        <f>IF($A683="","",INDEX('Product Master'!$P$7:$P$1000,MATCH($A683,'Product Master'!$A$7:$A$1000,0)))</f>
        <v/>
      </c>
      <c r="I683" t="str">
        <f>IFERROR(INDEX('Product Master'!$A$7:$A$1000,_xlfn.AGGREGATE(15,6,(ROW('Product Master'!$A$7:$A$1000)-ROW('Product Master'!$A$7)+1)/(('Product Master'!$A$7:$A$1000&lt;&gt;"")*('Product Master'!$P$7:$P$1000="Out of Stock")),ROWS($I$12:I683))),"")</f>
        <v/>
      </c>
      <c r="J683" t="str">
        <f>IF($I683="","",INDEX('Product Master'!$B$7:$B$1000,MATCH($I683,'Product Master'!$A$7:$A$1000,0)))</f>
        <v/>
      </c>
      <c r="K683" t="str">
        <f>IF($I683="","",INDEX('Product Master'!$C$7:$C$1000,MATCH($I683,'Product Master'!$A$7:$A$1000,0)))</f>
        <v/>
      </c>
      <c r="L683" t="str">
        <f>IF($I683="","",INDEX('Product Master'!$M$7:$M$1000,MATCH($I683,'Product Master'!$A$7:$A$1000,0)))</f>
        <v/>
      </c>
      <c r="M683" t="str">
        <f>IF($I683="","",INDEX('Product Master'!$N$7:$N$1000,MATCH($I683,'Product Master'!$A$7:$A$1000,0)))</f>
        <v/>
      </c>
    </row>
    <row r="684" spans="1:13" x14ac:dyDescent="0.3">
      <c r="A684" t="str">
        <f>IFERROR(INDEX('Product Master'!$A$7:$A$1000,_xlfn.AGGREGATE(15,6,(ROW('Product Master'!$A$7:$A$1000)-ROW('Product Master'!$A$7)+1)/(('Product Master'!$A$7:$A$1000&lt;&gt;"")*('Product Master'!$P$7:$P$1000="Low Stock")),ROWS($A$12:A684))),"")</f>
        <v/>
      </c>
      <c r="B684" t="str">
        <f>IF($A684="","",INDEX('Product Master'!$B$7:$B$1000,MATCH($A684,'Product Master'!$A$7:$A$1000,0)))</f>
        <v/>
      </c>
      <c r="C684" t="str">
        <f>IF($A684="","",INDEX('Product Master'!$C$7:$C$1000,MATCH($A684,'Product Master'!$A$7:$A$1000,0)))</f>
        <v/>
      </c>
      <c r="D684" t="str">
        <f>IF($A684="","",INDEX('Product Master'!$M$7:$M$1000,MATCH($A684,'Product Master'!$A$7:$A$1000,0)))</f>
        <v/>
      </c>
      <c r="E684" t="str">
        <f>IF($A684="","",INDEX('Product Master'!$N$7:$N$1000,MATCH($A684,'Product Master'!$A$7:$A$1000,0)))</f>
        <v/>
      </c>
      <c r="F684" t="str">
        <f>IF($A684="","",INDEX('Product Master'!$P$7:$P$1000,MATCH($A684,'Product Master'!$A$7:$A$1000,0)))</f>
        <v/>
      </c>
      <c r="I684" t="str">
        <f>IFERROR(INDEX('Product Master'!$A$7:$A$1000,_xlfn.AGGREGATE(15,6,(ROW('Product Master'!$A$7:$A$1000)-ROW('Product Master'!$A$7)+1)/(('Product Master'!$A$7:$A$1000&lt;&gt;"")*('Product Master'!$P$7:$P$1000="Out of Stock")),ROWS($I$12:I684))),"")</f>
        <v/>
      </c>
      <c r="J684" t="str">
        <f>IF($I684="","",INDEX('Product Master'!$B$7:$B$1000,MATCH($I684,'Product Master'!$A$7:$A$1000,0)))</f>
        <v/>
      </c>
      <c r="K684" t="str">
        <f>IF($I684="","",INDEX('Product Master'!$C$7:$C$1000,MATCH($I684,'Product Master'!$A$7:$A$1000,0)))</f>
        <v/>
      </c>
      <c r="L684" t="str">
        <f>IF($I684="","",INDEX('Product Master'!$M$7:$M$1000,MATCH($I684,'Product Master'!$A$7:$A$1000,0)))</f>
        <v/>
      </c>
      <c r="M684" t="str">
        <f>IF($I684="","",INDEX('Product Master'!$N$7:$N$1000,MATCH($I684,'Product Master'!$A$7:$A$1000,0)))</f>
        <v/>
      </c>
    </row>
    <row r="685" spans="1:13" x14ac:dyDescent="0.3">
      <c r="A685" t="str">
        <f>IFERROR(INDEX('Product Master'!$A$7:$A$1000,_xlfn.AGGREGATE(15,6,(ROW('Product Master'!$A$7:$A$1000)-ROW('Product Master'!$A$7)+1)/(('Product Master'!$A$7:$A$1000&lt;&gt;"")*('Product Master'!$P$7:$P$1000="Low Stock")),ROWS($A$12:A685))),"")</f>
        <v/>
      </c>
      <c r="B685" t="str">
        <f>IF($A685="","",INDEX('Product Master'!$B$7:$B$1000,MATCH($A685,'Product Master'!$A$7:$A$1000,0)))</f>
        <v/>
      </c>
      <c r="C685" t="str">
        <f>IF($A685="","",INDEX('Product Master'!$C$7:$C$1000,MATCH($A685,'Product Master'!$A$7:$A$1000,0)))</f>
        <v/>
      </c>
      <c r="D685" t="str">
        <f>IF($A685="","",INDEX('Product Master'!$M$7:$M$1000,MATCH($A685,'Product Master'!$A$7:$A$1000,0)))</f>
        <v/>
      </c>
      <c r="E685" t="str">
        <f>IF($A685="","",INDEX('Product Master'!$N$7:$N$1000,MATCH($A685,'Product Master'!$A$7:$A$1000,0)))</f>
        <v/>
      </c>
      <c r="F685" t="str">
        <f>IF($A685="","",INDEX('Product Master'!$P$7:$P$1000,MATCH($A685,'Product Master'!$A$7:$A$1000,0)))</f>
        <v/>
      </c>
      <c r="I685" t="str">
        <f>IFERROR(INDEX('Product Master'!$A$7:$A$1000,_xlfn.AGGREGATE(15,6,(ROW('Product Master'!$A$7:$A$1000)-ROW('Product Master'!$A$7)+1)/(('Product Master'!$A$7:$A$1000&lt;&gt;"")*('Product Master'!$P$7:$P$1000="Out of Stock")),ROWS($I$12:I685))),"")</f>
        <v/>
      </c>
      <c r="J685" t="str">
        <f>IF($I685="","",INDEX('Product Master'!$B$7:$B$1000,MATCH($I685,'Product Master'!$A$7:$A$1000,0)))</f>
        <v/>
      </c>
      <c r="K685" t="str">
        <f>IF($I685="","",INDEX('Product Master'!$C$7:$C$1000,MATCH($I685,'Product Master'!$A$7:$A$1000,0)))</f>
        <v/>
      </c>
      <c r="L685" t="str">
        <f>IF($I685="","",INDEX('Product Master'!$M$7:$M$1000,MATCH($I685,'Product Master'!$A$7:$A$1000,0)))</f>
        <v/>
      </c>
      <c r="M685" t="str">
        <f>IF($I685="","",INDEX('Product Master'!$N$7:$N$1000,MATCH($I685,'Product Master'!$A$7:$A$1000,0)))</f>
        <v/>
      </c>
    </row>
    <row r="686" spans="1:13" x14ac:dyDescent="0.3">
      <c r="A686" t="str">
        <f>IFERROR(INDEX('Product Master'!$A$7:$A$1000,_xlfn.AGGREGATE(15,6,(ROW('Product Master'!$A$7:$A$1000)-ROW('Product Master'!$A$7)+1)/(('Product Master'!$A$7:$A$1000&lt;&gt;"")*('Product Master'!$P$7:$P$1000="Low Stock")),ROWS($A$12:A686))),"")</f>
        <v/>
      </c>
      <c r="B686" t="str">
        <f>IF($A686="","",INDEX('Product Master'!$B$7:$B$1000,MATCH($A686,'Product Master'!$A$7:$A$1000,0)))</f>
        <v/>
      </c>
      <c r="C686" t="str">
        <f>IF($A686="","",INDEX('Product Master'!$C$7:$C$1000,MATCH($A686,'Product Master'!$A$7:$A$1000,0)))</f>
        <v/>
      </c>
      <c r="D686" t="str">
        <f>IF($A686="","",INDEX('Product Master'!$M$7:$M$1000,MATCH($A686,'Product Master'!$A$7:$A$1000,0)))</f>
        <v/>
      </c>
      <c r="E686" t="str">
        <f>IF($A686="","",INDEX('Product Master'!$N$7:$N$1000,MATCH($A686,'Product Master'!$A$7:$A$1000,0)))</f>
        <v/>
      </c>
      <c r="F686" t="str">
        <f>IF($A686="","",INDEX('Product Master'!$P$7:$P$1000,MATCH($A686,'Product Master'!$A$7:$A$1000,0)))</f>
        <v/>
      </c>
      <c r="I686" t="str">
        <f>IFERROR(INDEX('Product Master'!$A$7:$A$1000,_xlfn.AGGREGATE(15,6,(ROW('Product Master'!$A$7:$A$1000)-ROW('Product Master'!$A$7)+1)/(('Product Master'!$A$7:$A$1000&lt;&gt;"")*('Product Master'!$P$7:$P$1000="Out of Stock")),ROWS($I$12:I686))),"")</f>
        <v/>
      </c>
      <c r="J686" t="str">
        <f>IF($I686="","",INDEX('Product Master'!$B$7:$B$1000,MATCH($I686,'Product Master'!$A$7:$A$1000,0)))</f>
        <v/>
      </c>
      <c r="K686" t="str">
        <f>IF($I686="","",INDEX('Product Master'!$C$7:$C$1000,MATCH($I686,'Product Master'!$A$7:$A$1000,0)))</f>
        <v/>
      </c>
      <c r="L686" t="str">
        <f>IF($I686="","",INDEX('Product Master'!$M$7:$M$1000,MATCH($I686,'Product Master'!$A$7:$A$1000,0)))</f>
        <v/>
      </c>
      <c r="M686" t="str">
        <f>IF($I686="","",INDEX('Product Master'!$N$7:$N$1000,MATCH($I686,'Product Master'!$A$7:$A$1000,0)))</f>
        <v/>
      </c>
    </row>
    <row r="687" spans="1:13" x14ac:dyDescent="0.3">
      <c r="A687" t="str">
        <f>IFERROR(INDEX('Product Master'!$A$7:$A$1000,_xlfn.AGGREGATE(15,6,(ROW('Product Master'!$A$7:$A$1000)-ROW('Product Master'!$A$7)+1)/(('Product Master'!$A$7:$A$1000&lt;&gt;"")*('Product Master'!$P$7:$P$1000="Low Stock")),ROWS($A$12:A687))),"")</f>
        <v/>
      </c>
      <c r="B687" t="str">
        <f>IF($A687="","",INDEX('Product Master'!$B$7:$B$1000,MATCH($A687,'Product Master'!$A$7:$A$1000,0)))</f>
        <v/>
      </c>
      <c r="C687" t="str">
        <f>IF($A687="","",INDEX('Product Master'!$C$7:$C$1000,MATCH($A687,'Product Master'!$A$7:$A$1000,0)))</f>
        <v/>
      </c>
      <c r="D687" t="str">
        <f>IF($A687="","",INDEX('Product Master'!$M$7:$M$1000,MATCH($A687,'Product Master'!$A$7:$A$1000,0)))</f>
        <v/>
      </c>
      <c r="E687" t="str">
        <f>IF($A687="","",INDEX('Product Master'!$N$7:$N$1000,MATCH($A687,'Product Master'!$A$7:$A$1000,0)))</f>
        <v/>
      </c>
      <c r="F687" t="str">
        <f>IF($A687="","",INDEX('Product Master'!$P$7:$P$1000,MATCH($A687,'Product Master'!$A$7:$A$1000,0)))</f>
        <v/>
      </c>
      <c r="I687" t="str">
        <f>IFERROR(INDEX('Product Master'!$A$7:$A$1000,_xlfn.AGGREGATE(15,6,(ROW('Product Master'!$A$7:$A$1000)-ROW('Product Master'!$A$7)+1)/(('Product Master'!$A$7:$A$1000&lt;&gt;"")*('Product Master'!$P$7:$P$1000="Out of Stock")),ROWS($I$12:I687))),"")</f>
        <v/>
      </c>
      <c r="J687" t="str">
        <f>IF($I687="","",INDEX('Product Master'!$B$7:$B$1000,MATCH($I687,'Product Master'!$A$7:$A$1000,0)))</f>
        <v/>
      </c>
      <c r="K687" t="str">
        <f>IF($I687="","",INDEX('Product Master'!$C$7:$C$1000,MATCH($I687,'Product Master'!$A$7:$A$1000,0)))</f>
        <v/>
      </c>
      <c r="L687" t="str">
        <f>IF($I687="","",INDEX('Product Master'!$M$7:$M$1000,MATCH($I687,'Product Master'!$A$7:$A$1000,0)))</f>
        <v/>
      </c>
      <c r="M687" t="str">
        <f>IF($I687="","",INDEX('Product Master'!$N$7:$N$1000,MATCH($I687,'Product Master'!$A$7:$A$1000,0)))</f>
        <v/>
      </c>
    </row>
    <row r="688" spans="1:13" x14ac:dyDescent="0.3">
      <c r="A688" t="str">
        <f>IFERROR(INDEX('Product Master'!$A$7:$A$1000,_xlfn.AGGREGATE(15,6,(ROW('Product Master'!$A$7:$A$1000)-ROW('Product Master'!$A$7)+1)/(('Product Master'!$A$7:$A$1000&lt;&gt;"")*('Product Master'!$P$7:$P$1000="Low Stock")),ROWS($A$12:A688))),"")</f>
        <v/>
      </c>
      <c r="B688" t="str">
        <f>IF($A688="","",INDEX('Product Master'!$B$7:$B$1000,MATCH($A688,'Product Master'!$A$7:$A$1000,0)))</f>
        <v/>
      </c>
      <c r="C688" t="str">
        <f>IF($A688="","",INDEX('Product Master'!$C$7:$C$1000,MATCH($A688,'Product Master'!$A$7:$A$1000,0)))</f>
        <v/>
      </c>
      <c r="D688" t="str">
        <f>IF($A688="","",INDEX('Product Master'!$M$7:$M$1000,MATCH($A688,'Product Master'!$A$7:$A$1000,0)))</f>
        <v/>
      </c>
      <c r="E688" t="str">
        <f>IF($A688="","",INDEX('Product Master'!$N$7:$N$1000,MATCH($A688,'Product Master'!$A$7:$A$1000,0)))</f>
        <v/>
      </c>
      <c r="F688" t="str">
        <f>IF($A688="","",INDEX('Product Master'!$P$7:$P$1000,MATCH($A688,'Product Master'!$A$7:$A$1000,0)))</f>
        <v/>
      </c>
      <c r="I688" t="str">
        <f>IFERROR(INDEX('Product Master'!$A$7:$A$1000,_xlfn.AGGREGATE(15,6,(ROW('Product Master'!$A$7:$A$1000)-ROW('Product Master'!$A$7)+1)/(('Product Master'!$A$7:$A$1000&lt;&gt;"")*('Product Master'!$P$7:$P$1000="Out of Stock")),ROWS($I$12:I688))),"")</f>
        <v/>
      </c>
      <c r="J688" t="str">
        <f>IF($I688="","",INDEX('Product Master'!$B$7:$B$1000,MATCH($I688,'Product Master'!$A$7:$A$1000,0)))</f>
        <v/>
      </c>
      <c r="K688" t="str">
        <f>IF($I688="","",INDEX('Product Master'!$C$7:$C$1000,MATCH($I688,'Product Master'!$A$7:$A$1000,0)))</f>
        <v/>
      </c>
      <c r="L688" t="str">
        <f>IF($I688="","",INDEX('Product Master'!$M$7:$M$1000,MATCH($I688,'Product Master'!$A$7:$A$1000,0)))</f>
        <v/>
      </c>
      <c r="M688" t="str">
        <f>IF($I688="","",INDEX('Product Master'!$N$7:$N$1000,MATCH($I688,'Product Master'!$A$7:$A$1000,0)))</f>
        <v/>
      </c>
    </row>
    <row r="689" spans="1:13" x14ac:dyDescent="0.3">
      <c r="A689" t="str">
        <f>IFERROR(INDEX('Product Master'!$A$7:$A$1000,_xlfn.AGGREGATE(15,6,(ROW('Product Master'!$A$7:$A$1000)-ROW('Product Master'!$A$7)+1)/(('Product Master'!$A$7:$A$1000&lt;&gt;"")*('Product Master'!$P$7:$P$1000="Low Stock")),ROWS($A$12:A689))),"")</f>
        <v/>
      </c>
      <c r="B689" t="str">
        <f>IF($A689="","",INDEX('Product Master'!$B$7:$B$1000,MATCH($A689,'Product Master'!$A$7:$A$1000,0)))</f>
        <v/>
      </c>
      <c r="C689" t="str">
        <f>IF($A689="","",INDEX('Product Master'!$C$7:$C$1000,MATCH($A689,'Product Master'!$A$7:$A$1000,0)))</f>
        <v/>
      </c>
      <c r="D689" t="str">
        <f>IF($A689="","",INDEX('Product Master'!$M$7:$M$1000,MATCH($A689,'Product Master'!$A$7:$A$1000,0)))</f>
        <v/>
      </c>
      <c r="E689" t="str">
        <f>IF($A689="","",INDEX('Product Master'!$N$7:$N$1000,MATCH($A689,'Product Master'!$A$7:$A$1000,0)))</f>
        <v/>
      </c>
      <c r="F689" t="str">
        <f>IF($A689="","",INDEX('Product Master'!$P$7:$P$1000,MATCH($A689,'Product Master'!$A$7:$A$1000,0)))</f>
        <v/>
      </c>
      <c r="I689" t="str">
        <f>IFERROR(INDEX('Product Master'!$A$7:$A$1000,_xlfn.AGGREGATE(15,6,(ROW('Product Master'!$A$7:$A$1000)-ROW('Product Master'!$A$7)+1)/(('Product Master'!$A$7:$A$1000&lt;&gt;"")*('Product Master'!$P$7:$P$1000="Out of Stock")),ROWS($I$12:I689))),"")</f>
        <v/>
      </c>
      <c r="J689" t="str">
        <f>IF($I689="","",INDEX('Product Master'!$B$7:$B$1000,MATCH($I689,'Product Master'!$A$7:$A$1000,0)))</f>
        <v/>
      </c>
      <c r="K689" t="str">
        <f>IF($I689="","",INDEX('Product Master'!$C$7:$C$1000,MATCH($I689,'Product Master'!$A$7:$A$1000,0)))</f>
        <v/>
      </c>
      <c r="L689" t="str">
        <f>IF($I689="","",INDEX('Product Master'!$M$7:$M$1000,MATCH($I689,'Product Master'!$A$7:$A$1000,0)))</f>
        <v/>
      </c>
      <c r="M689" t="str">
        <f>IF($I689="","",INDEX('Product Master'!$N$7:$N$1000,MATCH($I689,'Product Master'!$A$7:$A$1000,0)))</f>
        <v/>
      </c>
    </row>
    <row r="690" spans="1:13" x14ac:dyDescent="0.3">
      <c r="A690" t="str">
        <f>IFERROR(INDEX('Product Master'!$A$7:$A$1000,_xlfn.AGGREGATE(15,6,(ROW('Product Master'!$A$7:$A$1000)-ROW('Product Master'!$A$7)+1)/(('Product Master'!$A$7:$A$1000&lt;&gt;"")*('Product Master'!$P$7:$P$1000="Low Stock")),ROWS($A$12:A690))),"")</f>
        <v/>
      </c>
      <c r="B690" t="str">
        <f>IF($A690="","",INDEX('Product Master'!$B$7:$B$1000,MATCH($A690,'Product Master'!$A$7:$A$1000,0)))</f>
        <v/>
      </c>
      <c r="C690" t="str">
        <f>IF($A690="","",INDEX('Product Master'!$C$7:$C$1000,MATCH($A690,'Product Master'!$A$7:$A$1000,0)))</f>
        <v/>
      </c>
      <c r="D690" t="str">
        <f>IF($A690="","",INDEX('Product Master'!$M$7:$M$1000,MATCH($A690,'Product Master'!$A$7:$A$1000,0)))</f>
        <v/>
      </c>
      <c r="E690" t="str">
        <f>IF($A690="","",INDEX('Product Master'!$N$7:$N$1000,MATCH($A690,'Product Master'!$A$7:$A$1000,0)))</f>
        <v/>
      </c>
      <c r="F690" t="str">
        <f>IF($A690="","",INDEX('Product Master'!$P$7:$P$1000,MATCH($A690,'Product Master'!$A$7:$A$1000,0)))</f>
        <v/>
      </c>
      <c r="I690" t="str">
        <f>IFERROR(INDEX('Product Master'!$A$7:$A$1000,_xlfn.AGGREGATE(15,6,(ROW('Product Master'!$A$7:$A$1000)-ROW('Product Master'!$A$7)+1)/(('Product Master'!$A$7:$A$1000&lt;&gt;"")*('Product Master'!$P$7:$P$1000="Out of Stock")),ROWS($I$12:I690))),"")</f>
        <v/>
      </c>
      <c r="J690" t="str">
        <f>IF($I690="","",INDEX('Product Master'!$B$7:$B$1000,MATCH($I690,'Product Master'!$A$7:$A$1000,0)))</f>
        <v/>
      </c>
      <c r="K690" t="str">
        <f>IF($I690="","",INDEX('Product Master'!$C$7:$C$1000,MATCH($I690,'Product Master'!$A$7:$A$1000,0)))</f>
        <v/>
      </c>
      <c r="L690" t="str">
        <f>IF($I690="","",INDEX('Product Master'!$M$7:$M$1000,MATCH($I690,'Product Master'!$A$7:$A$1000,0)))</f>
        <v/>
      </c>
      <c r="M690" t="str">
        <f>IF($I690="","",INDEX('Product Master'!$N$7:$N$1000,MATCH($I690,'Product Master'!$A$7:$A$1000,0)))</f>
        <v/>
      </c>
    </row>
    <row r="691" spans="1:13" x14ac:dyDescent="0.3">
      <c r="A691" t="str">
        <f>IFERROR(INDEX('Product Master'!$A$7:$A$1000,_xlfn.AGGREGATE(15,6,(ROW('Product Master'!$A$7:$A$1000)-ROW('Product Master'!$A$7)+1)/(('Product Master'!$A$7:$A$1000&lt;&gt;"")*('Product Master'!$P$7:$P$1000="Low Stock")),ROWS($A$12:A691))),"")</f>
        <v/>
      </c>
      <c r="B691" t="str">
        <f>IF($A691="","",INDEX('Product Master'!$B$7:$B$1000,MATCH($A691,'Product Master'!$A$7:$A$1000,0)))</f>
        <v/>
      </c>
      <c r="C691" t="str">
        <f>IF($A691="","",INDEX('Product Master'!$C$7:$C$1000,MATCH($A691,'Product Master'!$A$7:$A$1000,0)))</f>
        <v/>
      </c>
      <c r="D691" t="str">
        <f>IF($A691="","",INDEX('Product Master'!$M$7:$M$1000,MATCH($A691,'Product Master'!$A$7:$A$1000,0)))</f>
        <v/>
      </c>
      <c r="E691" t="str">
        <f>IF($A691="","",INDEX('Product Master'!$N$7:$N$1000,MATCH($A691,'Product Master'!$A$7:$A$1000,0)))</f>
        <v/>
      </c>
      <c r="F691" t="str">
        <f>IF($A691="","",INDEX('Product Master'!$P$7:$P$1000,MATCH($A691,'Product Master'!$A$7:$A$1000,0)))</f>
        <v/>
      </c>
      <c r="I691" t="str">
        <f>IFERROR(INDEX('Product Master'!$A$7:$A$1000,_xlfn.AGGREGATE(15,6,(ROW('Product Master'!$A$7:$A$1000)-ROW('Product Master'!$A$7)+1)/(('Product Master'!$A$7:$A$1000&lt;&gt;"")*('Product Master'!$P$7:$P$1000="Out of Stock")),ROWS($I$12:I691))),"")</f>
        <v/>
      </c>
      <c r="J691" t="str">
        <f>IF($I691="","",INDEX('Product Master'!$B$7:$B$1000,MATCH($I691,'Product Master'!$A$7:$A$1000,0)))</f>
        <v/>
      </c>
      <c r="K691" t="str">
        <f>IF($I691="","",INDEX('Product Master'!$C$7:$C$1000,MATCH($I691,'Product Master'!$A$7:$A$1000,0)))</f>
        <v/>
      </c>
      <c r="L691" t="str">
        <f>IF($I691="","",INDEX('Product Master'!$M$7:$M$1000,MATCH($I691,'Product Master'!$A$7:$A$1000,0)))</f>
        <v/>
      </c>
      <c r="M691" t="str">
        <f>IF($I691="","",INDEX('Product Master'!$N$7:$N$1000,MATCH($I691,'Product Master'!$A$7:$A$1000,0)))</f>
        <v/>
      </c>
    </row>
    <row r="692" spans="1:13" x14ac:dyDescent="0.3">
      <c r="A692" t="str">
        <f>IFERROR(INDEX('Product Master'!$A$7:$A$1000,_xlfn.AGGREGATE(15,6,(ROW('Product Master'!$A$7:$A$1000)-ROW('Product Master'!$A$7)+1)/(('Product Master'!$A$7:$A$1000&lt;&gt;"")*('Product Master'!$P$7:$P$1000="Low Stock")),ROWS($A$12:A692))),"")</f>
        <v/>
      </c>
      <c r="B692" t="str">
        <f>IF($A692="","",INDEX('Product Master'!$B$7:$B$1000,MATCH($A692,'Product Master'!$A$7:$A$1000,0)))</f>
        <v/>
      </c>
      <c r="C692" t="str">
        <f>IF($A692="","",INDEX('Product Master'!$C$7:$C$1000,MATCH($A692,'Product Master'!$A$7:$A$1000,0)))</f>
        <v/>
      </c>
      <c r="D692" t="str">
        <f>IF($A692="","",INDEX('Product Master'!$M$7:$M$1000,MATCH($A692,'Product Master'!$A$7:$A$1000,0)))</f>
        <v/>
      </c>
      <c r="E692" t="str">
        <f>IF($A692="","",INDEX('Product Master'!$N$7:$N$1000,MATCH($A692,'Product Master'!$A$7:$A$1000,0)))</f>
        <v/>
      </c>
      <c r="F692" t="str">
        <f>IF($A692="","",INDEX('Product Master'!$P$7:$P$1000,MATCH($A692,'Product Master'!$A$7:$A$1000,0)))</f>
        <v/>
      </c>
      <c r="I692" t="str">
        <f>IFERROR(INDEX('Product Master'!$A$7:$A$1000,_xlfn.AGGREGATE(15,6,(ROW('Product Master'!$A$7:$A$1000)-ROW('Product Master'!$A$7)+1)/(('Product Master'!$A$7:$A$1000&lt;&gt;"")*('Product Master'!$P$7:$P$1000="Out of Stock")),ROWS($I$12:I692))),"")</f>
        <v/>
      </c>
      <c r="J692" t="str">
        <f>IF($I692="","",INDEX('Product Master'!$B$7:$B$1000,MATCH($I692,'Product Master'!$A$7:$A$1000,0)))</f>
        <v/>
      </c>
      <c r="K692" t="str">
        <f>IF($I692="","",INDEX('Product Master'!$C$7:$C$1000,MATCH($I692,'Product Master'!$A$7:$A$1000,0)))</f>
        <v/>
      </c>
      <c r="L692" t="str">
        <f>IF($I692="","",INDEX('Product Master'!$M$7:$M$1000,MATCH($I692,'Product Master'!$A$7:$A$1000,0)))</f>
        <v/>
      </c>
      <c r="M692" t="str">
        <f>IF($I692="","",INDEX('Product Master'!$N$7:$N$1000,MATCH($I692,'Product Master'!$A$7:$A$1000,0)))</f>
        <v/>
      </c>
    </row>
    <row r="693" spans="1:13" x14ac:dyDescent="0.3">
      <c r="A693" t="str">
        <f>IFERROR(INDEX('Product Master'!$A$7:$A$1000,_xlfn.AGGREGATE(15,6,(ROW('Product Master'!$A$7:$A$1000)-ROW('Product Master'!$A$7)+1)/(('Product Master'!$A$7:$A$1000&lt;&gt;"")*('Product Master'!$P$7:$P$1000="Low Stock")),ROWS($A$12:A693))),"")</f>
        <v/>
      </c>
      <c r="B693" t="str">
        <f>IF($A693="","",INDEX('Product Master'!$B$7:$B$1000,MATCH($A693,'Product Master'!$A$7:$A$1000,0)))</f>
        <v/>
      </c>
      <c r="C693" t="str">
        <f>IF($A693="","",INDEX('Product Master'!$C$7:$C$1000,MATCH($A693,'Product Master'!$A$7:$A$1000,0)))</f>
        <v/>
      </c>
      <c r="D693" t="str">
        <f>IF($A693="","",INDEX('Product Master'!$M$7:$M$1000,MATCH($A693,'Product Master'!$A$7:$A$1000,0)))</f>
        <v/>
      </c>
      <c r="E693" t="str">
        <f>IF($A693="","",INDEX('Product Master'!$N$7:$N$1000,MATCH($A693,'Product Master'!$A$7:$A$1000,0)))</f>
        <v/>
      </c>
      <c r="F693" t="str">
        <f>IF($A693="","",INDEX('Product Master'!$P$7:$P$1000,MATCH($A693,'Product Master'!$A$7:$A$1000,0)))</f>
        <v/>
      </c>
      <c r="I693" t="str">
        <f>IFERROR(INDEX('Product Master'!$A$7:$A$1000,_xlfn.AGGREGATE(15,6,(ROW('Product Master'!$A$7:$A$1000)-ROW('Product Master'!$A$7)+1)/(('Product Master'!$A$7:$A$1000&lt;&gt;"")*('Product Master'!$P$7:$P$1000="Out of Stock")),ROWS($I$12:I693))),"")</f>
        <v/>
      </c>
      <c r="J693" t="str">
        <f>IF($I693="","",INDEX('Product Master'!$B$7:$B$1000,MATCH($I693,'Product Master'!$A$7:$A$1000,0)))</f>
        <v/>
      </c>
      <c r="K693" t="str">
        <f>IF($I693="","",INDEX('Product Master'!$C$7:$C$1000,MATCH($I693,'Product Master'!$A$7:$A$1000,0)))</f>
        <v/>
      </c>
      <c r="L693" t="str">
        <f>IF($I693="","",INDEX('Product Master'!$M$7:$M$1000,MATCH($I693,'Product Master'!$A$7:$A$1000,0)))</f>
        <v/>
      </c>
      <c r="M693" t="str">
        <f>IF($I693="","",INDEX('Product Master'!$N$7:$N$1000,MATCH($I693,'Product Master'!$A$7:$A$1000,0)))</f>
        <v/>
      </c>
    </row>
    <row r="694" spans="1:13" x14ac:dyDescent="0.3">
      <c r="A694" t="str">
        <f>IFERROR(INDEX('Product Master'!$A$7:$A$1000,_xlfn.AGGREGATE(15,6,(ROW('Product Master'!$A$7:$A$1000)-ROW('Product Master'!$A$7)+1)/(('Product Master'!$A$7:$A$1000&lt;&gt;"")*('Product Master'!$P$7:$P$1000="Low Stock")),ROWS($A$12:A694))),"")</f>
        <v/>
      </c>
      <c r="B694" t="str">
        <f>IF($A694="","",INDEX('Product Master'!$B$7:$B$1000,MATCH($A694,'Product Master'!$A$7:$A$1000,0)))</f>
        <v/>
      </c>
      <c r="C694" t="str">
        <f>IF($A694="","",INDEX('Product Master'!$C$7:$C$1000,MATCH($A694,'Product Master'!$A$7:$A$1000,0)))</f>
        <v/>
      </c>
      <c r="D694" t="str">
        <f>IF($A694="","",INDEX('Product Master'!$M$7:$M$1000,MATCH($A694,'Product Master'!$A$7:$A$1000,0)))</f>
        <v/>
      </c>
      <c r="E694" t="str">
        <f>IF($A694="","",INDEX('Product Master'!$N$7:$N$1000,MATCH($A694,'Product Master'!$A$7:$A$1000,0)))</f>
        <v/>
      </c>
      <c r="F694" t="str">
        <f>IF($A694="","",INDEX('Product Master'!$P$7:$P$1000,MATCH($A694,'Product Master'!$A$7:$A$1000,0)))</f>
        <v/>
      </c>
      <c r="I694" t="str">
        <f>IFERROR(INDEX('Product Master'!$A$7:$A$1000,_xlfn.AGGREGATE(15,6,(ROW('Product Master'!$A$7:$A$1000)-ROW('Product Master'!$A$7)+1)/(('Product Master'!$A$7:$A$1000&lt;&gt;"")*('Product Master'!$P$7:$P$1000="Out of Stock")),ROWS($I$12:I694))),"")</f>
        <v/>
      </c>
      <c r="J694" t="str">
        <f>IF($I694="","",INDEX('Product Master'!$B$7:$B$1000,MATCH($I694,'Product Master'!$A$7:$A$1000,0)))</f>
        <v/>
      </c>
      <c r="K694" t="str">
        <f>IF($I694="","",INDEX('Product Master'!$C$7:$C$1000,MATCH($I694,'Product Master'!$A$7:$A$1000,0)))</f>
        <v/>
      </c>
      <c r="L694" t="str">
        <f>IF($I694="","",INDEX('Product Master'!$M$7:$M$1000,MATCH($I694,'Product Master'!$A$7:$A$1000,0)))</f>
        <v/>
      </c>
      <c r="M694" t="str">
        <f>IF($I694="","",INDEX('Product Master'!$N$7:$N$1000,MATCH($I694,'Product Master'!$A$7:$A$1000,0)))</f>
        <v/>
      </c>
    </row>
    <row r="695" spans="1:13" x14ac:dyDescent="0.3">
      <c r="A695" t="str">
        <f>IFERROR(INDEX('Product Master'!$A$7:$A$1000,_xlfn.AGGREGATE(15,6,(ROW('Product Master'!$A$7:$A$1000)-ROW('Product Master'!$A$7)+1)/(('Product Master'!$A$7:$A$1000&lt;&gt;"")*('Product Master'!$P$7:$P$1000="Low Stock")),ROWS($A$12:A695))),"")</f>
        <v/>
      </c>
      <c r="B695" t="str">
        <f>IF($A695="","",INDEX('Product Master'!$B$7:$B$1000,MATCH($A695,'Product Master'!$A$7:$A$1000,0)))</f>
        <v/>
      </c>
      <c r="C695" t="str">
        <f>IF($A695="","",INDEX('Product Master'!$C$7:$C$1000,MATCH($A695,'Product Master'!$A$7:$A$1000,0)))</f>
        <v/>
      </c>
      <c r="D695" t="str">
        <f>IF($A695="","",INDEX('Product Master'!$M$7:$M$1000,MATCH($A695,'Product Master'!$A$7:$A$1000,0)))</f>
        <v/>
      </c>
      <c r="E695" t="str">
        <f>IF($A695="","",INDEX('Product Master'!$N$7:$N$1000,MATCH($A695,'Product Master'!$A$7:$A$1000,0)))</f>
        <v/>
      </c>
      <c r="F695" t="str">
        <f>IF($A695="","",INDEX('Product Master'!$P$7:$P$1000,MATCH($A695,'Product Master'!$A$7:$A$1000,0)))</f>
        <v/>
      </c>
      <c r="I695" t="str">
        <f>IFERROR(INDEX('Product Master'!$A$7:$A$1000,_xlfn.AGGREGATE(15,6,(ROW('Product Master'!$A$7:$A$1000)-ROW('Product Master'!$A$7)+1)/(('Product Master'!$A$7:$A$1000&lt;&gt;"")*('Product Master'!$P$7:$P$1000="Out of Stock")),ROWS($I$12:I695))),"")</f>
        <v/>
      </c>
      <c r="J695" t="str">
        <f>IF($I695="","",INDEX('Product Master'!$B$7:$B$1000,MATCH($I695,'Product Master'!$A$7:$A$1000,0)))</f>
        <v/>
      </c>
      <c r="K695" t="str">
        <f>IF($I695="","",INDEX('Product Master'!$C$7:$C$1000,MATCH($I695,'Product Master'!$A$7:$A$1000,0)))</f>
        <v/>
      </c>
      <c r="L695" t="str">
        <f>IF($I695="","",INDEX('Product Master'!$M$7:$M$1000,MATCH($I695,'Product Master'!$A$7:$A$1000,0)))</f>
        <v/>
      </c>
      <c r="M695" t="str">
        <f>IF($I695="","",INDEX('Product Master'!$N$7:$N$1000,MATCH($I695,'Product Master'!$A$7:$A$1000,0)))</f>
        <v/>
      </c>
    </row>
    <row r="696" spans="1:13" x14ac:dyDescent="0.3">
      <c r="A696" t="str">
        <f>IFERROR(INDEX('Product Master'!$A$7:$A$1000,_xlfn.AGGREGATE(15,6,(ROW('Product Master'!$A$7:$A$1000)-ROW('Product Master'!$A$7)+1)/(('Product Master'!$A$7:$A$1000&lt;&gt;"")*('Product Master'!$P$7:$P$1000="Low Stock")),ROWS($A$12:A696))),"")</f>
        <v/>
      </c>
      <c r="B696" t="str">
        <f>IF($A696="","",INDEX('Product Master'!$B$7:$B$1000,MATCH($A696,'Product Master'!$A$7:$A$1000,0)))</f>
        <v/>
      </c>
      <c r="C696" t="str">
        <f>IF($A696="","",INDEX('Product Master'!$C$7:$C$1000,MATCH($A696,'Product Master'!$A$7:$A$1000,0)))</f>
        <v/>
      </c>
      <c r="D696" t="str">
        <f>IF($A696="","",INDEX('Product Master'!$M$7:$M$1000,MATCH($A696,'Product Master'!$A$7:$A$1000,0)))</f>
        <v/>
      </c>
      <c r="E696" t="str">
        <f>IF($A696="","",INDEX('Product Master'!$N$7:$N$1000,MATCH($A696,'Product Master'!$A$7:$A$1000,0)))</f>
        <v/>
      </c>
      <c r="F696" t="str">
        <f>IF($A696="","",INDEX('Product Master'!$P$7:$P$1000,MATCH($A696,'Product Master'!$A$7:$A$1000,0)))</f>
        <v/>
      </c>
      <c r="I696" t="str">
        <f>IFERROR(INDEX('Product Master'!$A$7:$A$1000,_xlfn.AGGREGATE(15,6,(ROW('Product Master'!$A$7:$A$1000)-ROW('Product Master'!$A$7)+1)/(('Product Master'!$A$7:$A$1000&lt;&gt;"")*('Product Master'!$P$7:$P$1000="Out of Stock")),ROWS($I$12:I696))),"")</f>
        <v/>
      </c>
      <c r="J696" t="str">
        <f>IF($I696="","",INDEX('Product Master'!$B$7:$B$1000,MATCH($I696,'Product Master'!$A$7:$A$1000,0)))</f>
        <v/>
      </c>
      <c r="K696" t="str">
        <f>IF($I696="","",INDEX('Product Master'!$C$7:$C$1000,MATCH($I696,'Product Master'!$A$7:$A$1000,0)))</f>
        <v/>
      </c>
      <c r="L696" t="str">
        <f>IF($I696="","",INDEX('Product Master'!$M$7:$M$1000,MATCH($I696,'Product Master'!$A$7:$A$1000,0)))</f>
        <v/>
      </c>
      <c r="M696" t="str">
        <f>IF($I696="","",INDEX('Product Master'!$N$7:$N$1000,MATCH($I696,'Product Master'!$A$7:$A$1000,0)))</f>
        <v/>
      </c>
    </row>
    <row r="697" spans="1:13" x14ac:dyDescent="0.3">
      <c r="A697" t="str">
        <f>IFERROR(INDEX('Product Master'!$A$7:$A$1000,_xlfn.AGGREGATE(15,6,(ROW('Product Master'!$A$7:$A$1000)-ROW('Product Master'!$A$7)+1)/(('Product Master'!$A$7:$A$1000&lt;&gt;"")*('Product Master'!$P$7:$P$1000="Low Stock")),ROWS($A$12:A697))),"")</f>
        <v/>
      </c>
      <c r="B697" t="str">
        <f>IF($A697="","",INDEX('Product Master'!$B$7:$B$1000,MATCH($A697,'Product Master'!$A$7:$A$1000,0)))</f>
        <v/>
      </c>
      <c r="C697" t="str">
        <f>IF($A697="","",INDEX('Product Master'!$C$7:$C$1000,MATCH($A697,'Product Master'!$A$7:$A$1000,0)))</f>
        <v/>
      </c>
      <c r="D697" t="str">
        <f>IF($A697="","",INDEX('Product Master'!$M$7:$M$1000,MATCH($A697,'Product Master'!$A$7:$A$1000,0)))</f>
        <v/>
      </c>
      <c r="E697" t="str">
        <f>IF($A697="","",INDEX('Product Master'!$N$7:$N$1000,MATCH($A697,'Product Master'!$A$7:$A$1000,0)))</f>
        <v/>
      </c>
      <c r="F697" t="str">
        <f>IF($A697="","",INDEX('Product Master'!$P$7:$P$1000,MATCH($A697,'Product Master'!$A$7:$A$1000,0)))</f>
        <v/>
      </c>
      <c r="I697" t="str">
        <f>IFERROR(INDEX('Product Master'!$A$7:$A$1000,_xlfn.AGGREGATE(15,6,(ROW('Product Master'!$A$7:$A$1000)-ROW('Product Master'!$A$7)+1)/(('Product Master'!$A$7:$A$1000&lt;&gt;"")*('Product Master'!$P$7:$P$1000="Out of Stock")),ROWS($I$12:I697))),"")</f>
        <v/>
      </c>
      <c r="J697" t="str">
        <f>IF($I697="","",INDEX('Product Master'!$B$7:$B$1000,MATCH($I697,'Product Master'!$A$7:$A$1000,0)))</f>
        <v/>
      </c>
      <c r="K697" t="str">
        <f>IF($I697="","",INDEX('Product Master'!$C$7:$C$1000,MATCH($I697,'Product Master'!$A$7:$A$1000,0)))</f>
        <v/>
      </c>
      <c r="L697" t="str">
        <f>IF($I697="","",INDEX('Product Master'!$M$7:$M$1000,MATCH($I697,'Product Master'!$A$7:$A$1000,0)))</f>
        <v/>
      </c>
      <c r="M697" t="str">
        <f>IF($I697="","",INDEX('Product Master'!$N$7:$N$1000,MATCH($I697,'Product Master'!$A$7:$A$1000,0)))</f>
        <v/>
      </c>
    </row>
    <row r="698" spans="1:13" x14ac:dyDescent="0.3">
      <c r="A698" t="str">
        <f>IFERROR(INDEX('Product Master'!$A$7:$A$1000,_xlfn.AGGREGATE(15,6,(ROW('Product Master'!$A$7:$A$1000)-ROW('Product Master'!$A$7)+1)/(('Product Master'!$A$7:$A$1000&lt;&gt;"")*('Product Master'!$P$7:$P$1000="Low Stock")),ROWS($A$12:A698))),"")</f>
        <v/>
      </c>
      <c r="B698" t="str">
        <f>IF($A698="","",INDEX('Product Master'!$B$7:$B$1000,MATCH($A698,'Product Master'!$A$7:$A$1000,0)))</f>
        <v/>
      </c>
      <c r="C698" t="str">
        <f>IF($A698="","",INDEX('Product Master'!$C$7:$C$1000,MATCH($A698,'Product Master'!$A$7:$A$1000,0)))</f>
        <v/>
      </c>
      <c r="D698" t="str">
        <f>IF($A698="","",INDEX('Product Master'!$M$7:$M$1000,MATCH($A698,'Product Master'!$A$7:$A$1000,0)))</f>
        <v/>
      </c>
      <c r="E698" t="str">
        <f>IF($A698="","",INDEX('Product Master'!$N$7:$N$1000,MATCH($A698,'Product Master'!$A$7:$A$1000,0)))</f>
        <v/>
      </c>
      <c r="F698" t="str">
        <f>IF($A698="","",INDEX('Product Master'!$P$7:$P$1000,MATCH($A698,'Product Master'!$A$7:$A$1000,0)))</f>
        <v/>
      </c>
      <c r="I698" t="str">
        <f>IFERROR(INDEX('Product Master'!$A$7:$A$1000,_xlfn.AGGREGATE(15,6,(ROW('Product Master'!$A$7:$A$1000)-ROW('Product Master'!$A$7)+1)/(('Product Master'!$A$7:$A$1000&lt;&gt;"")*('Product Master'!$P$7:$P$1000="Out of Stock")),ROWS($I$12:I698))),"")</f>
        <v/>
      </c>
      <c r="J698" t="str">
        <f>IF($I698="","",INDEX('Product Master'!$B$7:$B$1000,MATCH($I698,'Product Master'!$A$7:$A$1000,0)))</f>
        <v/>
      </c>
      <c r="K698" t="str">
        <f>IF($I698="","",INDEX('Product Master'!$C$7:$C$1000,MATCH($I698,'Product Master'!$A$7:$A$1000,0)))</f>
        <v/>
      </c>
      <c r="L698" t="str">
        <f>IF($I698="","",INDEX('Product Master'!$M$7:$M$1000,MATCH($I698,'Product Master'!$A$7:$A$1000,0)))</f>
        <v/>
      </c>
      <c r="M698" t="str">
        <f>IF($I698="","",INDEX('Product Master'!$N$7:$N$1000,MATCH($I698,'Product Master'!$A$7:$A$1000,0)))</f>
        <v/>
      </c>
    </row>
    <row r="699" spans="1:13" x14ac:dyDescent="0.3">
      <c r="A699" t="str">
        <f>IFERROR(INDEX('Product Master'!$A$7:$A$1000,_xlfn.AGGREGATE(15,6,(ROW('Product Master'!$A$7:$A$1000)-ROW('Product Master'!$A$7)+1)/(('Product Master'!$A$7:$A$1000&lt;&gt;"")*('Product Master'!$P$7:$P$1000="Low Stock")),ROWS($A$12:A699))),"")</f>
        <v/>
      </c>
      <c r="B699" t="str">
        <f>IF($A699="","",INDEX('Product Master'!$B$7:$B$1000,MATCH($A699,'Product Master'!$A$7:$A$1000,0)))</f>
        <v/>
      </c>
      <c r="C699" t="str">
        <f>IF($A699="","",INDEX('Product Master'!$C$7:$C$1000,MATCH($A699,'Product Master'!$A$7:$A$1000,0)))</f>
        <v/>
      </c>
      <c r="D699" t="str">
        <f>IF($A699="","",INDEX('Product Master'!$M$7:$M$1000,MATCH($A699,'Product Master'!$A$7:$A$1000,0)))</f>
        <v/>
      </c>
      <c r="E699" t="str">
        <f>IF($A699="","",INDEX('Product Master'!$N$7:$N$1000,MATCH($A699,'Product Master'!$A$7:$A$1000,0)))</f>
        <v/>
      </c>
      <c r="F699" t="str">
        <f>IF($A699="","",INDEX('Product Master'!$P$7:$P$1000,MATCH($A699,'Product Master'!$A$7:$A$1000,0)))</f>
        <v/>
      </c>
      <c r="I699" t="str">
        <f>IFERROR(INDEX('Product Master'!$A$7:$A$1000,_xlfn.AGGREGATE(15,6,(ROW('Product Master'!$A$7:$A$1000)-ROW('Product Master'!$A$7)+1)/(('Product Master'!$A$7:$A$1000&lt;&gt;"")*('Product Master'!$P$7:$P$1000="Out of Stock")),ROWS($I$12:I699))),"")</f>
        <v/>
      </c>
      <c r="J699" t="str">
        <f>IF($I699="","",INDEX('Product Master'!$B$7:$B$1000,MATCH($I699,'Product Master'!$A$7:$A$1000,0)))</f>
        <v/>
      </c>
      <c r="K699" t="str">
        <f>IF($I699="","",INDEX('Product Master'!$C$7:$C$1000,MATCH($I699,'Product Master'!$A$7:$A$1000,0)))</f>
        <v/>
      </c>
      <c r="L699" t="str">
        <f>IF($I699="","",INDEX('Product Master'!$M$7:$M$1000,MATCH($I699,'Product Master'!$A$7:$A$1000,0)))</f>
        <v/>
      </c>
      <c r="M699" t="str">
        <f>IF($I699="","",INDEX('Product Master'!$N$7:$N$1000,MATCH($I699,'Product Master'!$A$7:$A$1000,0)))</f>
        <v/>
      </c>
    </row>
    <row r="700" spans="1:13" x14ac:dyDescent="0.3">
      <c r="A700" t="str">
        <f>IFERROR(INDEX('Product Master'!$A$7:$A$1000,_xlfn.AGGREGATE(15,6,(ROW('Product Master'!$A$7:$A$1000)-ROW('Product Master'!$A$7)+1)/(('Product Master'!$A$7:$A$1000&lt;&gt;"")*('Product Master'!$P$7:$P$1000="Low Stock")),ROWS($A$12:A700))),"")</f>
        <v/>
      </c>
      <c r="B700" t="str">
        <f>IF($A700="","",INDEX('Product Master'!$B$7:$B$1000,MATCH($A700,'Product Master'!$A$7:$A$1000,0)))</f>
        <v/>
      </c>
      <c r="C700" t="str">
        <f>IF($A700="","",INDEX('Product Master'!$C$7:$C$1000,MATCH($A700,'Product Master'!$A$7:$A$1000,0)))</f>
        <v/>
      </c>
      <c r="D700" t="str">
        <f>IF($A700="","",INDEX('Product Master'!$M$7:$M$1000,MATCH($A700,'Product Master'!$A$7:$A$1000,0)))</f>
        <v/>
      </c>
      <c r="E700" t="str">
        <f>IF($A700="","",INDEX('Product Master'!$N$7:$N$1000,MATCH($A700,'Product Master'!$A$7:$A$1000,0)))</f>
        <v/>
      </c>
      <c r="F700" t="str">
        <f>IF($A700="","",INDEX('Product Master'!$P$7:$P$1000,MATCH($A700,'Product Master'!$A$7:$A$1000,0)))</f>
        <v/>
      </c>
      <c r="I700" t="str">
        <f>IFERROR(INDEX('Product Master'!$A$7:$A$1000,_xlfn.AGGREGATE(15,6,(ROW('Product Master'!$A$7:$A$1000)-ROW('Product Master'!$A$7)+1)/(('Product Master'!$A$7:$A$1000&lt;&gt;"")*('Product Master'!$P$7:$P$1000="Out of Stock")),ROWS($I$12:I700))),"")</f>
        <v/>
      </c>
      <c r="J700" t="str">
        <f>IF($I700="","",INDEX('Product Master'!$B$7:$B$1000,MATCH($I700,'Product Master'!$A$7:$A$1000,0)))</f>
        <v/>
      </c>
      <c r="K700" t="str">
        <f>IF($I700="","",INDEX('Product Master'!$C$7:$C$1000,MATCH($I700,'Product Master'!$A$7:$A$1000,0)))</f>
        <v/>
      </c>
      <c r="L700" t="str">
        <f>IF($I700="","",INDEX('Product Master'!$M$7:$M$1000,MATCH($I700,'Product Master'!$A$7:$A$1000,0)))</f>
        <v/>
      </c>
      <c r="M700" t="str">
        <f>IF($I700="","",INDEX('Product Master'!$N$7:$N$1000,MATCH($I700,'Product Master'!$A$7:$A$1000,0)))</f>
        <v/>
      </c>
    </row>
    <row r="701" spans="1:13" x14ac:dyDescent="0.3">
      <c r="A701" t="str">
        <f>IFERROR(INDEX('Product Master'!$A$7:$A$1000,_xlfn.AGGREGATE(15,6,(ROW('Product Master'!$A$7:$A$1000)-ROW('Product Master'!$A$7)+1)/(('Product Master'!$A$7:$A$1000&lt;&gt;"")*('Product Master'!$P$7:$P$1000="Low Stock")),ROWS($A$12:A701))),"")</f>
        <v/>
      </c>
      <c r="B701" t="str">
        <f>IF($A701="","",INDEX('Product Master'!$B$7:$B$1000,MATCH($A701,'Product Master'!$A$7:$A$1000,0)))</f>
        <v/>
      </c>
      <c r="C701" t="str">
        <f>IF($A701="","",INDEX('Product Master'!$C$7:$C$1000,MATCH($A701,'Product Master'!$A$7:$A$1000,0)))</f>
        <v/>
      </c>
      <c r="D701" t="str">
        <f>IF($A701="","",INDEX('Product Master'!$M$7:$M$1000,MATCH($A701,'Product Master'!$A$7:$A$1000,0)))</f>
        <v/>
      </c>
      <c r="E701" t="str">
        <f>IF($A701="","",INDEX('Product Master'!$N$7:$N$1000,MATCH($A701,'Product Master'!$A$7:$A$1000,0)))</f>
        <v/>
      </c>
      <c r="F701" t="str">
        <f>IF($A701="","",INDEX('Product Master'!$P$7:$P$1000,MATCH($A701,'Product Master'!$A$7:$A$1000,0)))</f>
        <v/>
      </c>
      <c r="I701" t="str">
        <f>IFERROR(INDEX('Product Master'!$A$7:$A$1000,_xlfn.AGGREGATE(15,6,(ROW('Product Master'!$A$7:$A$1000)-ROW('Product Master'!$A$7)+1)/(('Product Master'!$A$7:$A$1000&lt;&gt;"")*('Product Master'!$P$7:$P$1000="Out of Stock")),ROWS($I$12:I701))),"")</f>
        <v/>
      </c>
      <c r="J701" t="str">
        <f>IF($I701="","",INDEX('Product Master'!$B$7:$B$1000,MATCH($I701,'Product Master'!$A$7:$A$1000,0)))</f>
        <v/>
      </c>
      <c r="K701" t="str">
        <f>IF($I701="","",INDEX('Product Master'!$C$7:$C$1000,MATCH($I701,'Product Master'!$A$7:$A$1000,0)))</f>
        <v/>
      </c>
      <c r="L701" t="str">
        <f>IF($I701="","",INDEX('Product Master'!$M$7:$M$1000,MATCH($I701,'Product Master'!$A$7:$A$1000,0)))</f>
        <v/>
      </c>
      <c r="M701" t="str">
        <f>IF($I701="","",INDEX('Product Master'!$N$7:$N$1000,MATCH($I701,'Product Master'!$A$7:$A$1000,0)))</f>
        <v/>
      </c>
    </row>
    <row r="702" spans="1:13" x14ac:dyDescent="0.3">
      <c r="A702" t="str">
        <f>IFERROR(INDEX('Product Master'!$A$7:$A$1000,_xlfn.AGGREGATE(15,6,(ROW('Product Master'!$A$7:$A$1000)-ROW('Product Master'!$A$7)+1)/(('Product Master'!$A$7:$A$1000&lt;&gt;"")*('Product Master'!$P$7:$P$1000="Low Stock")),ROWS($A$12:A702))),"")</f>
        <v/>
      </c>
      <c r="B702" t="str">
        <f>IF($A702="","",INDEX('Product Master'!$B$7:$B$1000,MATCH($A702,'Product Master'!$A$7:$A$1000,0)))</f>
        <v/>
      </c>
      <c r="C702" t="str">
        <f>IF($A702="","",INDEX('Product Master'!$C$7:$C$1000,MATCH($A702,'Product Master'!$A$7:$A$1000,0)))</f>
        <v/>
      </c>
      <c r="D702" t="str">
        <f>IF($A702="","",INDEX('Product Master'!$M$7:$M$1000,MATCH($A702,'Product Master'!$A$7:$A$1000,0)))</f>
        <v/>
      </c>
      <c r="E702" t="str">
        <f>IF($A702="","",INDEX('Product Master'!$N$7:$N$1000,MATCH($A702,'Product Master'!$A$7:$A$1000,0)))</f>
        <v/>
      </c>
      <c r="F702" t="str">
        <f>IF($A702="","",INDEX('Product Master'!$P$7:$P$1000,MATCH($A702,'Product Master'!$A$7:$A$1000,0)))</f>
        <v/>
      </c>
      <c r="I702" t="str">
        <f>IFERROR(INDEX('Product Master'!$A$7:$A$1000,_xlfn.AGGREGATE(15,6,(ROW('Product Master'!$A$7:$A$1000)-ROW('Product Master'!$A$7)+1)/(('Product Master'!$A$7:$A$1000&lt;&gt;"")*('Product Master'!$P$7:$P$1000="Out of Stock")),ROWS($I$12:I702))),"")</f>
        <v/>
      </c>
      <c r="J702" t="str">
        <f>IF($I702="","",INDEX('Product Master'!$B$7:$B$1000,MATCH($I702,'Product Master'!$A$7:$A$1000,0)))</f>
        <v/>
      </c>
      <c r="K702" t="str">
        <f>IF($I702="","",INDEX('Product Master'!$C$7:$C$1000,MATCH($I702,'Product Master'!$A$7:$A$1000,0)))</f>
        <v/>
      </c>
      <c r="L702" t="str">
        <f>IF($I702="","",INDEX('Product Master'!$M$7:$M$1000,MATCH($I702,'Product Master'!$A$7:$A$1000,0)))</f>
        <v/>
      </c>
      <c r="M702" t="str">
        <f>IF($I702="","",INDEX('Product Master'!$N$7:$N$1000,MATCH($I702,'Product Master'!$A$7:$A$1000,0)))</f>
        <v/>
      </c>
    </row>
    <row r="703" spans="1:13" x14ac:dyDescent="0.3">
      <c r="A703" t="str">
        <f>IFERROR(INDEX('Product Master'!$A$7:$A$1000,_xlfn.AGGREGATE(15,6,(ROW('Product Master'!$A$7:$A$1000)-ROW('Product Master'!$A$7)+1)/(('Product Master'!$A$7:$A$1000&lt;&gt;"")*('Product Master'!$P$7:$P$1000="Low Stock")),ROWS($A$12:A703))),"")</f>
        <v/>
      </c>
      <c r="B703" t="str">
        <f>IF($A703="","",INDEX('Product Master'!$B$7:$B$1000,MATCH($A703,'Product Master'!$A$7:$A$1000,0)))</f>
        <v/>
      </c>
      <c r="C703" t="str">
        <f>IF($A703="","",INDEX('Product Master'!$C$7:$C$1000,MATCH($A703,'Product Master'!$A$7:$A$1000,0)))</f>
        <v/>
      </c>
      <c r="D703" t="str">
        <f>IF($A703="","",INDEX('Product Master'!$M$7:$M$1000,MATCH($A703,'Product Master'!$A$7:$A$1000,0)))</f>
        <v/>
      </c>
      <c r="E703" t="str">
        <f>IF($A703="","",INDEX('Product Master'!$N$7:$N$1000,MATCH($A703,'Product Master'!$A$7:$A$1000,0)))</f>
        <v/>
      </c>
      <c r="F703" t="str">
        <f>IF($A703="","",INDEX('Product Master'!$P$7:$P$1000,MATCH($A703,'Product Master'!$A$7:$A$1000,0)))</f>
        <v/>
      </c>
      <c r="I703" t="str">
        <f>IFERROR(INDEX('Product Master'!$A$7:$A$1000,_xlfn.AGGREGATE(15,6,(ROW('Product Master'!$A$7:$A$1000)-ROW('Product Master'!$A$7)+1)/(('Product Master'!$A$7:$A$1000&lt;&gt;"")*('Product Master'!$P$7:$P$1000="Out of Stock")),ROWS($I$12:I703))),"")</f>
        <v/>
      </c>
      <c r="J703" t="str">
        <f>IF($I703="","",INDEX('Product Master'!$B$7:$B$1000,MATCH($I703,'Product Master'!$A$7:$A$1000,0)))</f>
        <v/>
      </c>
      <c r="K703" t="str">
        <f>IF($I703="","",INDEX('Product Master'!$C$7:$C$1000,MATCH($I703,'Product Master'!$A$7:$A$1000,0)))</f>
        <v/>
      </c>
      <c r="L703" t="str">
        <f>IF($I703="","",INDEX('Product Master'!$M$7:$M$1000,MATCH($I703,'Product Master'!$A$7:$A$1000,0)))</f>
        <v/>
      </c>
      <c r="M703" t="str">
        <f>IF($I703="","",INDEX('Product Master'!$N$7:$N$1000,MATCH($I703,'Product Master'!$A$7:$A$1000,0)))</f>
        <v/>
      </c>
    </row>
    <row r="704" spans="1:13" x14ac:dyDescent="0.3">
      <c r="A704" t="str">
        <f>IFERROR(INDEX('Product Master'!$A$7:$A$1000,_xlfn.AGGREGATE(15,6,(ROW('Product Master'!$A$7:$A$1000)-ROW('Product Master'!$A$7)+1)/(('Product Master'!$A$7:$A$1000&lt;&gt;"")*('Product Master'!$P$7:$P$1000="Low Stock")),ROWS($A$12:A704))),"")</f>
        <v/>
      </c>
      <c r="B704" t="str">
        <f>IF($A704="","",INDEX('Product Master'!$B$7:$B$1000,MATCH($A704,'Product Master'!$A$7:$A$1000,0)))</f>
        <v/>
      </c>
      <c r="C704" t="str">
        <f>IF($A704="","",INDEX('Product Master'!$C$7:$C$1000,MATCH($A704,'Product Master'!$A$7:$A$1000,0)))</f>
        <v/>
      </c>
      <c r="D704" t="str">
        <f>IF($A704="","",INDEX('Product Master'!$M$7:$M$1000,MATCH($A704,'Product Master'!$A$7:$A$1000,0)))</f>
        <v/>
      </c>
      <c r="E704" t="str">
        <f>IF($A704="","",INDEX('Product Master'!$N$7:$N$1000,MATCH($A704,'Product Master'!$A$7:$A$1000,0)))</f>
        <v/>
      </c>
      <c r="F704" t="str">
        <f>IF($A704="","",INDEX('Product Master'!$P$7:$P$1000,MATCH($A704,'Product Master'!$A$7:$A$1000,0)))</f>
        <v/>
      </c>
      <c r="I704" t="str">
        <f>IFERROR(INDEX('Product Master'!$A$7:$A$1000,_xlfn.AGGREGATE(15,6,(ROW('Product Master'!$A$7:$A$1000)-ROW('Product Master'!$A$7)+1)/(('Product Master'!$A$7:$A$1000&lt;&gt;"")*('Product Master'!$P$7:$P$1000="Out of Stock")),ROWS($I$12:I704))),"")</f>
        <v/>
      </c>
      <c r="J704" t="str">
        <f>IF($I704="","",INDEX('Product Master'!$B$7:$B$1000,MATCH($I704,'Product Master'!$A$7:$A$1000,0)))</f>
        <v/>
      </c>
      <c r="K704" t="str">
        <f>IF($I704="","",INDEX('Product Master'!$C$7:$C$1000,MATCH($I704,'Product Master'!$A$7:$A$1000,0)))</f>
        <v/>
      </c>
      <c r="L704" t="str">
        <f>IF($I704="","",INDEX('Product Master'!$M$7:$M$1000,MATCH($I704,'Product Master'!$A$7:$A$1000,0)))</f>
        <v/>
      </c>
      <c r="M704" t="str">
        <f>IF($I704="","",INDEX('Product Master'!$N$7:$N$1000,MATCH($I704,'Product Master'!$A$7:$A$1000,0)))</f>
        <v/>
      </c>
    </row>
    <row r="705" spans="1:13" x14ac:dyDescent="0.3">
      <c r="A705" t="str">
        <f>IFERROR(INDEX('Product Master'!$A$7:$A$1000,_xlfn.AGGREGATE(15,6,(ROW('Product Master'!$A$7:$A$1000)-ROW('Product Master'!$A$7)+1)/(('Product Master'!$A$7:$A$1000&lt;&gt;"")*('Product Master'!$P$7:$P$1000="Low Stock")),ROWS($A$12:A705))),"")</f>
        <v/>
      </c>
      <c r="B705" t="str">
        <f>IF($A705="","",INDEX('Product Master'!$B$7:$B$1000,MATCH($A705,'Product Master'!$A$7:$A$1000,0)))</f>
        <v/>
      </c>
      <c r="C705" t="str">
        <f>IF($A705="","",INDEX('Product Master'!$C$7:$C$1000,MATCH($A705,'Product Master'!$A$7:$A$1000,0)))</f>
        <v/>
      </c>
      <c r="D705" t="str">
        <f>IF($A705="","",INDEX('Product Master'!$M$7:$M$1000,MATCH($A705,'Product Master'!$A$7:$A$1000,0)))</f>
        <v/>
      </c>
      <c r="E705" t="str">
        <f>IF($A705="","",INDEX('Product Master'!$N$7:$N$1000,MATCH($A705,'Product Master'!$A$7:$A$1000,0)))</f>
        <v/>
      </c>
      <c r="F705" t="str">
        <f>IF($A705="","",INDEX('Product Master'!$P$7:$P$1000,MATCH($A705,'Product Master'!$A$7:$A$1000,0)))</f>
        <v/>
      </c>
      <c r="I705" t="str">
        <f>IFERROR(INDEX('Product Master'!$A$7:$A$1000,_xlfn.AGGREGATE(15,6,(ROW('Product Master'!$A$7:$A$1000)-ROW('Product Master'!$A$7)+1)/(('Product Master'!$A$7:$A$1000&lt;&gt;"")*('Product Master'!$P$7:$P$1000="Out of Stock")),ROWS($I$12:I705))),"")</f>
        <v/>
      </c>
      <c r="J705" t="str">
        <f>IF($I705="","",INDEX('Product Master'!$B$7:$B$1000,MATCH($I705,'Product Master'!$A$7:$A$1000,0)))</f>
        <v/>
      </c>
      <c r="K705" t="str">
        <f>IF($I705="","",INDEX('Product Master'!$C$7:$C$1000,MATCH($I705,'Product Master'!$A$7:$A$1000,0)))</f>
        <v/>
      </c>
      <c r="L705" t="str">
        <f>IF($I705="","",INDEX('Product Master'!$M$7:$M$1000,MATCH($I705,'Product Master'!$A$7:$A$1000,0)))</f>
        <v/>
      </c>
      <c r="M705" t="str">
        <f>IF($I705="","",INDEX('Product Master'!$N$7:$N$1000,MATCH($I705,'Product Master'!$A$7:$A$1000,0)))</f>
        <v/>
      </c>
    </row>
    <row r="706" spans="1:13" x14ac:dyDescent="0.3">
      <c r="A706" t="str">
        <f>IFERROR(INDEX('Product Master'!$A$7:$A$1000,_xlfn.AGGREGATE(15,6,(ROW('Product Master'!$A$7:$A$1000)-ROW('Product Master'!$A$7)+1)/(('Product Master'!$A$7:$A$1000&lt;&gt;"")*('Product Master'!$P$7:$P$1000="Low Stock")),ROWS($A$12:A706))),"")</f>
        <v/>
      </c>
      <c r="B706" t="str">
        <f>IF($A706="","",INDEX('Product Master'!$B$7:$B$1000,MATCH($A706,'Product Master'!$A$7:$A$1000,0)))</f>
        <v/>
      </c>
      <c r="C706" t="str">
        <f>IF($A706="","",INDEX('Product Master'!$C$7:$C$1000,MATCH($A706,'Product Master'!$A$7:$A$1000,0)))</f>
        <v/>
      </c>
      <c r="D706" t="str">
        <f>IF($A706="","",INDEX('Product Master'!$M$7:$M$1000,MATCH($A706,'Product Master'!$A$7:$A$1000,0)))</f>
        <v/>
      </c>
      <c r="E706" t="str">
        <f>IF($A706="","",INDEX('Product Master'!$N$7:$N$1000,MATCH($A706,'Product Master'!$A$7:$A$1000,0)))</f>
        <v/>
      </c>
      <c r="F706" t="str">
        <f>IF($A706="","",INDEX('Product Master'!$P$7:$P$1000,MATCH($A706,'Product Master'!$A$7:$A$1000,0)))</f>
        <v/>
      </c>
      <c r="I706" t="str">
        <f>IFERROR(INDEX('Product Master'!$A$7:$A$1000,_xlfn.AGGREGATE(15,6,(ROW('Product Master'!$A$7:$A$1000)-ROW('Product Master'!$A$7)+1)/(('Product Master'!$A$7:$A$1000&lt;&gt;"")*('Product Master'!$P$7:$P$1000="Out of Stock")),ROWS($I$12:I706))),"")</f>
        <v/>
      </c>
      <c r="J706" t="str">
        <f>IF($I706="","",INDEX('Product Master'!$B$7:$B$1000,MATCH($I706,'Product Master'!$A$7:$A$1000,0)))</f>
        <v/>
      </c>
      <c r="K706" t="str">
        <f>IF($I706="","",INDEX('Product Master'!$C$7:$C$1000,MATCH($I706,'Product Master'!$A$7:$A$1000,0)))</f>
        <v/>
      </c>
      <c r="L706" t="str">
        <f>IF($I706="","",INDEX('Product Master'!$M$7:$M$1000,MATCH($I706,'Product Master'!$A$7:$A$1000,0)))</f>
        <v/>
      </c>
      <c r="M706" t="str">
        <f>IF($I706="","",INDEX('Product Master'!$N$7:$N$1000,MATCH($I706,'Product Master'!$A$7:$A$1000,0)))</f>
        <v/>
      </c>
    </row>
    <row r="707" spans="1:13" x14ac:dyDescent="0.3">
      <c r="A707" t="str">
        <f>IFERROR(INDEX('Product Master'!$A$7:$A$1000,_xlfn.AGGREGATE(15,6,(ROW('Product Master'!$A$7:$A$1000)-ROW('Product Master'!$A$7)+1)/(('Product Master'!$A$7:$A$1000&lt;&gt;"")*('Product Master'!$P$7:$P$1000="Low Stock")),ROWS($A$12:A707))),"")</f>
        <v/>
      </c>
      <c r="B707" t="str">
        <f>IF($A707="","",INDEX('Product Master'!$B$7:$B$1000,MATCH($A707,'Product Master'!$A$7:$A$1000,0)))</f>
        <v/>
      </c>
      <c r="C707" t="str">
        <f>IF($A707="","",INDEX('Product Master'!$C$7:$C$1000,MATCH($A707,'Product Master'!$A$7:$A$1000,0)))</f>
        <v/>
      </c>
      <c r="D707" t="str">
        <f>IF($A707="","",INDEX('Product Master'!$M$7:$M$1000,MATCH($A707,'Product Master'!$A$7:$A$1000,0)))</f>
        <v/>
      </c>
      <c r="E707" t="str">
        <f>IF($A707="","",INDEX('Product Master'!$N$7:$N$1000,MATCH($A707,'Product Master'!$A$7:$A$1000,0)))</f>
        <v/>
      </c>
      <c r="F707" t="str">
        <f>IF($A707="","",INDEX('Product Master'!$P$7:$P$1000,MATCH($A707,'Product Master'!$A$7:$A$1000,0)))</f>
        <v/>
      </c>
      <c r="I707" t="str">
        <f>IFERROR(INDEX('Product Master'!$A$7:$A$1000,_xlfn.AGGREGATE(15,6,(ROW('Product Master'!$A$7:$A$1000)-ROW('Product Master'!$A$7)+1)/(('Product Master'!$A$7:$A$1000&lt;&gt;"")*('Product Master'!$P$7:$P$1000="Out of Stock")),ROWS($I$12:I707))),"")</f>
        <v/>
      </c>
      <c r="J707" t="str">
        <f>IF($I707="","",INDEX('Product Master'!$B$7:$B$1000,MATCH($I707,'Product Master'!$A$7:$A$1000,0)))</f>
        <v/>
      </c>
      <c r="K707" t="str">
        <f>IF($I707="","",INDEX('Product Master'!$C$7:$C$1000,MATCH($I707,'Product Master'!$A$7:$A$1000,0)))</f>
        <v/>
      </c>
      <c r="L707" t="str">
        <f>IF($I707="","",INDEX('Product Master'!$M$7:$M$1000,MATCH($I707,'Product Master'!$A$7:$A$1000,0)))</f>
        <v/>
      </c>
      <c r="M707" t="str">
        <f>IF($I707="","",INDEX('Product Master'!$N$7:$N$1000,MATCH($I707,'Product Master'!$A$7:$A$1000,0)))</f>
        <v/>
      </c>
    </row>
    <row r="708" spans="1:13" x14ac:dyDescent="0.3">
      <c r="A708" t="str">
        <f>IFERROR(INDEX('Product Master'!$A$7:$A$1000,_xlfn.AGGREGATE(15,6,(ROW('Product Master'!$A$7:$A$1000)-ROW('Product Master'!$A$7)+1)/(('Product Master'!$A$7:$A$1000&lt;&gt;"")*('Product Master'!$P$7:$P$1000="Low Stock")),ROWS($A$12:A708))),"")</f>
        <v/>
      </c>
      <c r="B708" t="str">
        <f>IF($A708="","",INDEX('Product Master'!$B$7:$B$1000,MATCH($A708,'Product Master'!$A$7:$A$1000,0)))</f>
        <v/>
      </c>
      <c r="C708" t="str">
        <f>IF($A708="","",INDEX('Product Master'!$C$7:$C$1000,MATCH($A708,'Product Master'!$A$7:$A$1000,0)))</f>
        <v/>
      </c>
      <c r="D708" t="str">
        <f>IF($A708="","",INDEX('Product Master'!$M$7:$M$1000,MATCH($A708,'Product Master'!$A$7:$A$1000,0)))</f>
        <v/>
      </c>
      <c r="E708" t="str">
        <f>IF($A708="","",INDEX('Product Master'!$N$7:$N$1000,MATCH($A708,'Product Master'!$A$7:$A$1000,0)))</f>
        <v/>
      </c>
      <c r="F708" t="str">
        <f>IF($A708="","",INDEX('Product Master'!$P$7:$P$1000,MATCH($A708,'Product Master'!$A$7:$A$1000,0)))</f>
        <v/>
      </c>
      <c r="I708" t="str">
        <f>IFERROR(INDEX('Product Master'!$A$7:$A$1000,_xlfn.AGGREGATE(15,6,(ROW('Product Master'!$A$7:$A$1000)-ROW('Product Master'!$A$7)+1)/(('Product Master'!$A$7:$A$1000&lt;&gt;"")*('Product Master'!$P$7:$P$1000="Out of Stock")),ROWS($I$12:I708))),"")</f>
        <v/>
      </c>
      <c r="J708" t="str">
        <f>IF($I708="","",INDEX('Product Master'!$B$7:$B$1000,MATCH($I708,'Product Master'!$A$7:$A$1000,0)))</f>
        <v/>
      </c>
      <c r="K708" t="str">
        <f>IF($I708="","",INDEX('Product Master'!$C$7:$C$1000,MATCH($I708,'Product Master'!$A$7:$A$1000,0)))</f>
        <v/>
      </c>
      <c r="L708" t="str">
        <f>IF($I708="","",INDEX('Product Master'!$M$7:$M$1000,MATCH($I708,'Product Master'!$A$7:$A$1000,0)))</f>
        <v/>
      </c>
      <c r="M708" t="str">
        <f>IF($I708="","",INDEX('Product Master'!$N$7:$N$1000,MATCH($I708,'Product Master'!$A$7:$A$1000,0)))</f>
        <v/>
      </c>
    </row>
    <row r="709" spans="1:13" x14ac:dyDescent="0.3">
      <c r="A709" t="str">
        <f>IFERROR(INDEX('Product Master'!$A$7:$A$1000,_xlfn.AGGREGATE(15,6,(ROW('Product Master'!$A$7:$A$1000)-ROW('Product Master'!$A$7)+1)/(('Product Master'!$A$7:$A$1000&lt;&gt;"")*('Product Master'!$P$7:$P$1000="Low Stock")),ROWS($A$12:A709))),"")</f>
        <v/>
      </c>
      <c r="B709" t="str">
        <f>IF($A709="","",INDEX('Product Master'!$B$7:$B$1000,MATCH($A709,'Product Master'!$A$7:$A$1000,0)))</f>
        <v/>
      </c>
      <c r="C709" t="str">
        <f>IF($A709="","",INDEX('Product Master'!$C$7:$C$1000,MATCH($A709,'Product Master'!$A$7:$A$1000,0)))</f>
        <v/>
      </c>
      <c r="D709" t="str">
        <f>IF($A709="","",INDEX('Product Master'!$M$7:$M$1000,MATCH($A709,'Product Master'!$A$7:$A$1000,0)))</f>
        <v/>
      </c>
      <c r="E709" t="str">
        <f>IF($A709="","",INDEX('Product Master'!$N$7:$N$1000,MATCH($A709,'Product Master'!$A$7:$A$1000,0)))</f>
        <v/>
      </c>
      <c r="F709" t="str">
        <f>IF($A709="","",INDEX('Product Master'!$P$7:$P$1000,MATCH($A709,'Product Master'!$A$7:$A$1000,0)))</f>
        <v/>
      </c>
      <c r="I709" t="str">
        <f>IFERROR(INDEX('Product Master'!$A$7:$A$1000,_xlfn.AGGREGATE(15,6,(ROW('Product Master'!$A$7:$A$1000)-ROW('Product Master'!$A$7)+1)/(('Product Master'!$A$7:$A$1000&lt;&gt;"")*('Product Master'!$P$7:$P$1000="Out of Stock")),ROWS($I$12:I709))),"")</f>
        <v/>
      </c>
      <c r="J709" t="str">
        <f>IF($I709="","",INDEX('Product Master'!$B$7:$B$1000,MATCH($I709,'Product Master'!$A$7:$A$1000,0)))</f>
        <v/>
      </c>
      <c r="K709" t="str">
        <f>IF($I709="","",INDEX('Product Master'!$C$7:$C$1000,MATCH($I709,'Product Master'!$A$7:$A$1000,0)))</f>
        <v/>
      </c>
      <c r="L709" t="str">
        <f>IF($I709="","",INDEX('Product Master'!$M$7:$M$1000,MATCH($I709,'Product Master'!$A$7:$A$1000,0)))</f>
        <v/>
      </c>
      <c r="M709" t="str">
        <f>IF($I709="","",INDEX('Product Master'!$N$7:$N$1000,MATCH($I709,'Product Master'!$A$7:$A$1000,0)))</f>
        <v/>
      </c>
    </row>
    <row r="710" spans="1:13" x14ac:dyDescent="0.3">
      <c r="A710" t="str">
        <f>IFERROR(INDEX('Product Master'!$A$7:$A$1000,_xlfn.AGGREGATE(15,6,(ROW('Product Master'!$A$7:$A$1000)-ROW('Product Master'!$A$7)+1)/(('Product Master'!$A$7:$A$1000&lt;&gt;"")*('Product Master'!$P$7:$P$1000="Low Stock")),ROWS($A$12:A710))),"")</f>
        <v/>
      </c>
      <c r="B710" t="str">
        <f>IF($A710="","",INDEX('Product Master'!$B$7:$B$1000,MATCH($A710,'Product Master'!$A$7:$A$1000,0)))</f>
        <v/>
      </c>
      <c r="C710" t="str">
        <f>IF($A710="","",INDEX('Product Master'!$C$7:$C$1000,MATCH($A710,'Product Master'!$A$7:$A$1000,0)))</f>
        <v/>
      </c>
      <c r="D710" t="str">
        <f>IF($A710="","",INDEX('Product Master'!$M$7:$M$1000,MATCH($A710,'Product Master'!$A$7:$A$1000,0)))</f>
        <v/>
      </c>
      <c r="E710" t="str">
        <f>IF($A710="","",INDEX('Product Master'!$N$7:$N$1000,MATCH($A710,'Product Master'!$A$7:$A$1000,0)))</f>
        <v/>
      </c>
      <c r="F710" t="str">
        <f>IF($A710="","",INDEX('Product Master'!$P$7:$P$1000,MATCH($A710,'Product Master'!$A$7:$A$1000,0)))</f>
        <v/>
      </c>
      <c r="I710" t="str">
        <f>IFERROR(INDEX('Product Master'!$A$7:$A$1000,_xlfn.AGGREGATE(15,6,(ROW('Product Master'!$A$7:$A$1000)-ROW('Product Master'!$A$7)+1)/(('Product Master'!$A$7:$A$1000&lt;&gt;"")*('Product Master'!$P$7:$P$1000="Out of Stock")),ROWS($I$12:I710))),"")</f>
        <v/>
      </c>
      <c r="J710" t="str">
        <f>IF($I710="","",INDEX('Product Master'!$B$7:$B$1000,MATCH($I710,'Product Master'!$A$7:$A$1000,0)))</f>
        <v/>
      </c>
      <c r="K710" t="str">
        <f>IF($I710="","",INDEX('Product Master'!$C$7:$C$1000,MATCH($I710,'Product Master'!$A$7:$A$1000,0)))</f>
        <v/>
      </c>
      <c r="L710" t="str">
        <f>IF($I710="","",INDEX('Product Master'!$M$7:$M$1000,MATCH($I710,'Product Master'!$A$7:$A$1000,0)))</f>
        <v/>
      </c>
      <c r="M710" t="str">
        <f>IF($I710="","",INDEX('Product Master'!$N$7:$N$1000,MATCH($I710,'Product Master'!$A$7:$A$1000,0)))</f>
        <v/>
      </c>
    </row>
    <row r="711" spans="1:13" x14ac:dyDescent="0.3">
      <c r="A711" t="str">
        <f>IFERROR(INDEX('Product Master'!$A$7:$A$1000,_xlfn.AGGREGATE(15,6,(ROW('Product Master'!$A$7:$A$1000)-ROW('Product Master'!$A$7)+1)/(('Product Master'!$A$7:$A$1000&lt;&gt;"")*('Product Master'!$P$7:$P$1000="Low Stock")),ROWS($A$12:A711))),"")</f>
        <v/>
      </c>
      <c r="B711" t="str">
        <f>IF($A711="","",INDEX('Product Master'!$B$7:$B$1000,MATCH($A711,'Product Master'!$A$7:$A$1000,0)))</f>
        <v/>
      </c>
      <c r="C711" t="str">
        <f>IF($A711="","",INDEX('Product Master'!$C$7:$C$1000,MATCH($A711,'Product Master'!$A$7:$A$1000,0)))</f>
        <v/>
      </c>
      <c r="D711" t="str">
        <f>IF($A711="","",INDEX('Product Master'!$M$7:$M$1000,MATCH($A711,'Product Master'!$A$7:$A$1000,0)))</f>
        <v/>
      </c>
      <c r="E711" t="str">
        <f>IF($A711="","",INDEX('Product Master'!$N$7:$N$1000,MATCH($A711,'Product Master'!$A$7:$A$1000,0)))</f>
        <v/>
      </c>
      <c r="F711" t="str">
        <f>IF($A711="","",INDEX('Product Master'!$P$7:$P$1000,MATCH($A711,'Product Master'!$A$7:$A$1000,0)))</f>
        <v/>
      </c>
      <c r="I711" t="str">
        <f>IFERROR(INDEX('Product Master'!$A$7:$A$1000,_xlfn.AGGREGATE(15,6,(ROW('Product Master'!$A$7:$A$1000)-ROW('Product Master'!$A$7)+1)/(('Product Master'!$A$7:$A$1000&lt;&gt;"")*('Product Master'!$P$7:$P$1000="Out of Stock")),ROWS($I$12:I711))),"")</f>
        <v/>
      </c>
      <c r="J711" t="str">
        <f>IF($I711="","",INDEX('Product Master'!$B$7:$B$1000,MATCH($I711,'Product Master'!$A$7:$A$1000,0)))</f>
        <v/>
      </c>
      <c r="K711" t="str">
        <f>IF($I711="","",INDEX('Product Master'!$C$7:$C$1000,MATCH($I711,'Product Master'!$A$7:$A$1000,0)))</f>
        <v/>
      </c>
      <c r="L711" t="str">
        <f>IF($I711="","",INDEX('Product Master'!$M$7:$M$1000,MATCH($I711,'Product Master'!$A$7:$A$1000,0)))</f>
        <v/>
      </c>
      <c r="M711" t="str">
        <f>IF($I711="","",INDEX('Product Master'!$N$7:$N$1000,MATCH($I711,'Product Master'!$A$7:$A$1000,0)))</f>
        <v/>
      </c>
    </row>
    <row r="712" spans="1:13" x14ac:dyDescent="0.3">
      <c r="A712" t="str">
        <f>IFERROR(INDEX('Product Master'!$A$7:$A$1000,_xlfn.AGGREGATE(15,6,(ROW('Product Master'!$A$7:$A$1000)-ROW('Product Master'!$A$7)+1)/(('Product Master'!$A$7:$A$1000&lt;&gt;"")*('Product Master'!$P$7:$P$1000="Low Stock")),ROWS($A$12:A712))),"")</f>
        <v/>
      </c>
      <c r="B712" t="str">
        <f>IF($A712="","",INDEX('Product Master'!$B$7:$B$1000,MATCH($A712,'Product Master'!$A$7:$A$1000,0)))</f>
        <v/>
      </c>
      <c r="C712" t="str">
        <f>IF($A712="","",INDEX('Product Master'!$C$7:$C$1000,MATCH($A712,'Product Master'!$A$7:$A$1000,0)))</f>
        <v/>
      </c>
      <c r="D712" t="str">
        <f>IF($A712="","",INDEX('Product Master'!$M$7:$M$1000,MATCH($A712,'Product Master'!$A$7:$A$1000,0)))</f>
        <v/>
      </c>
      <c r="E712" t="str">
        <f>IF($A712="","",INDEX('Product Master'!$N$7:$N$1000,MATCH($A712,'Product Master'!$A$7:$A$1000,0)))</f>
        <v/>
      </c>
      <c r="F712" t="str">
        <f>IF($A712="","",INDEX('Product Master'!$P$7:$P$1000,MATCH($A712,'Product Master'!$A$7:$A$1000,0)))</f>
        <v/>
      </c>
      <c r="I712" t="str">
        <f>IFERROR(INDEX('Product Master'!$A$7:$A$1000,_xlfn.AGGREGATE(15,6,(ROW('Product Master'!$A$7:$A$1000)-ROW('Product Master'!$A$7)+1)/(('Product Master'!$A$7:$A$1000&lt;&gt;"")*('Product Master'!$P$7:$P$1000="Out of Stock")),ROWS($I$12:I712))),"")</f>
        <v/>
      </c>
      <c r="J712" t="str">
        <f>IF($I712="","",INDEX('Product Master'!$B$7:$B$1000,MATCH($I712,'Product Master'!$A$7:$A$1000,0)))</f>
        <v/>
      </c>
      <c r="K712" t="str">
        <f>IF($I712="","",INDEX('Product Master'!$C$7:$C$1000,MATCH($I712,'Product Master'!$A$7:$A$1000,0)))</f>
        <v/>
      </c>
      <c r="L712" t="str">
        <f>IF($I712="","",INDEX('Product Master'!$M$7:$M$1000,MATCH($I712,'Product Master'!$A$7:$A$1000,0)))</f>
        <v/>
      </c>
      <c r="M712" t="str">
        <f>IF($I712="","",INDEX('Product Master'!$N$7:$N$1000,MATCH($I712,'Product Master'!$A$7:$A$1000,0)))</f>
        <v/>
      </c>
    </row>
    <row r="713" spans="1:13" x14ac:dyDescent="0.3">
      <c r="A713" t="str">
        <f>IFERROR(INDEX('Product Master'!$A$7:$A$1000,_xlfn.AGGREGATE(15,6,(ROW('Product Master'!$A$7:$A$1000)-ROW('Product Master'!$A$7)+1)/(('Product Master'!$A$7:$A$1000&lt;&gt;"")*('Product Master'!$P$7:$P$1000="Low Stock")),ROWS($A$12:A713))),"")</f>
        <v/>
      </c>
      <c r="B713" t="str">
        <f>IF($A713="","",INDEX('Product Master'!$B$7:$B$1000,MATCH($A713,'Product Master'!$A$7:$A$1000,0)))</f>
        <v/>
      </c>
      <c r="C713" t="str">
        <f>IF($A713="","",INDEX('Product Master'!$C$7:$C$1000,MATCH($A713,'Product Master'!$A$7:$A$1000,0)))</f>
        <v/>
      </c>
      <c r="D713" t="str">
        <f>IF($A713="","",INDEX('Product Master'!$M$7:$M$1000,MATCH($A713,'Product Master'!$A$7:$A$1000,0)))</f>
        <v/>
      </c>
      <c r="E713" t="str">
        <f>IF($A713="","",INDEX('Product Master'!$N$7:$N$1000,MATCH($A713,'Product Master'!$A$7:$A$1000,0)))</f>
        <v/>
      </c>
      <c r="F713" t="str">
        <f>IF($A713="","",INDEX('Product Master'!$P$7:$P$1000,MATCH($A713,'Product Master'!$A$7:$A$1000,0)))</f>
        <v/>
      </c>
      <c r="I713" t="str">
        <f>IFERROR(INDEX('Product Master'!$A$7:$A$1000,_xlfn.AGGREGATE(15,6,(ROW('Product Master'!$A$7:$A$1000)-ROW('Product Master'!$A$7)+1)/(('Product Master'!$A$7:$A$1000&lt;&gt;"")*('Product Master'!$P$7:$P$1000="Out of Stock")),ROWS($I$12:I713))),"")</f>
        <v/>
      </c>
      <c r="J713" t="str">
        <f>IF($I713="","",INDEX('Product Master'!$B$7:$B$1000,MATCH($I713,'Product Master'!$A$7:$A$1000,0)))</f>
        <v/>
      </c>
      <c r="K713" t="str">
        <f>IF($I713="","",INDEX('Product Master'!$C$7:$C$1000,MATCH($I713,'Product Master'!$A$7:$A$1000,0)))</f>
        <v/>
      </c>
      <c r="L713" t="str">
        <f>IF($I713="","",INDEX('Product Master'!$M$7:$M$1000,MATCH($I713,'Product Master'!$A$7:$A$1000,0)))</f>
        <v/>
      </c>
      <c r="M713" t="str">
        <f>IF($I713="","",INDEX('Product Master'!$N$7:$N$1000,MATCH($I713,'Product Master'!$A$7:$A$1000,0)))</f>
        <v/>
      </c>
    </row>
    <row r="714" spans="1:13" x14ac:dyDescent="0.3">
      <c r="A714" t="str">
        <f>IFERROR(INDEX('Product Master'!$A$7:$A$1000,_xlfn.AGGREGATE(15,6,(ROW('Product Master'!$A$7:$A$1000)-ROW('Product Master'!$A$7)+1)/(('Product Master'!$A$7:$A$1000&lt;&gt;"")*('Product Master'!$P$7:$P$1000="Low Stock")),ROWS($A$12:A714))),"")</f>
        <v/>
      </c>
      <c r="B714" t="str">
        <f>IF($A714="","",INDEX('Product Master'!$B$7:$B$1000,MATCH($A714,'Product Master'!$A$7:$A$1000,0)))</f>
        <v/>
      </c>
      <c r="C714" t="str">
        <f>IF($A714="","",INDEX('Product Master'!$C$7:$C$1000,MATCH($A714,'Product Master'!$A$7:$A$1000,0)))</f>
        <v/>
      </c>
      <c r="D714" t="str">
        <f>IF($A714="","",INDEX('Product Master'!$M$7:$M$1000,MATCH($A714,'Product Master'!$A$7:$A$1000,0)))</f>
        <v/>
      </c>
      <c r="E714" t="str">
        <f>IF($A714="","",INDEX('Product Master'!$N$7:$N$1000,MATCH($A714,'Product Master'!$A$7:$A$1000,0)))</f>
        <v/>
      </c>
      <c r="F714" t="str">
        <f>IF($A714="","",INDEX('Product Master'!$P$7:$P$1000,MATCH($A714,'Product Master'!$A$7:$A$1000,0)))</f>
        <v/>
      </c>
      <c r="I714" t="str">
        <f>IFERROR(INDEX('Product Master'!$A$7:$A$1000,_xlfn.AGGREGATE(15,6,(ROW('Product Master'!$A$7:$A$1000)-ROW('Product Master'!$A$7)+1)/(('Product Master'!$A$7:$A$1000&lt;&gt;"")*('Product Master'!$P$7:$P$1000="Out of Stock")),ROWS($I$12:I714))),"")</f>
        <v/>
      </c>
      <c r="J714" t="str">
        <f>IF($I714="","",INDEX('Product Master'!$B$7:$B$1000,MATCH($I714,'Product Master'!$A$7:$A$1000,0)))</f>
        <v/>
      </c>
      <c r="K714" t="str">
        <f>IF($I714="","",INDEX('Product Master'!$C$7:$C$1000,MATCH($I714,'Product Master'!$A$7:$A$1000,0)))</f>
        <v/>
      </c>
      <c r="L714" t="str">
        <f>IF($I714="","",INDEX('Product Master'!$M$7:$M$1000,MATCH($I714,'Product Master'!$A$7:$A$1000,0)))</f>
        <v/>
      </c>
      <c r="M714" t="str">
        <f>IF($I714="","",INDEX('Product Master'!$N$7:$N$1000,MATCH($I714,'Product Master'!$A$7:$A$1000,0)))</f>
        <v/>
      </c>
    </row>
    <row r="715" spans="1:13" x14ac:dyDescent="0.3">
      <c r="A715" t="str">
        <f>IFERROR(INDEX('Product Master'!$A$7:$A$1000,_xlfn.AGGREGATE(15,6,(ROW('Product Master'!$A$7:$A$1000)-ROW('Product Master'!$A$7)+1)/(('Product Master'!$A$7:$A$1000&lt;&gt;"")*('Product Master'!$P$7:$P$1000="Low Stock")),ROWS($A$12:A715))),"")</f>
        <v/>
      </c>
      <c r="B715" t="str">
        <f>IF($A715="","",INDEX('Product Master'!$B$7:$B$1000,MATCH($A715,'Product Master'!$A$7:$A$1000,0)))</f>
        <v/>
      </c>
      <c r="C715" t="str">
        <f>IF($A715="","",INDEX('Product Master'!$C$7:$C$1000,MATCH($A715,'Product Master'!$A$7:$A$1000,0)))</f>
        <v/>
      </c>
      <c r="D715" t="str">
        <f>IF($A715="","",INDEX('Product Master'!$M$7:$M$1000,MATCH($A715,'Product Master'!$A$7:$A$1000,0)))</f>
        <v/>
      </c>
      <c r="E715" t="str">
        <f>IF($A715="","",INDEX('Product Master'!$N$7:$N$1000,MATCH($A715,'Product Master'!$A$7:$A$1000,0)))</f>
        <v/>
      </c>
      <c r="F715" t="str">
        <f>IF($A715="","",INDEX('Product Master'!$P$7:$P$1000,MATCH($A715,'Product Master'!$A$7:$A$1000,0)))</f>
        <v/>
      </c>
      <c r="I715" t="str">
        <f>IFERROR(INDEX('Product Master'!$A$7:$A$1000,_xlfn.AGGREGATE(15,6,(ROW('Product Master'!$A$7:$A$1000)-ROW('Product Master'!$A$7)+1)/(('Product Master'!$A$7:$A$1000&lt;&gt;"")*('Product Master'!$P$7:$P$1000="Out of Stock")),ROWS($I$12:I715))),"")</f>
        <v/>
      </c>
      <c r="J715" t="str">
        <f>IF($I715="","",INDEX('Product Master'!$B$7:$B$1000,MATCH($I715,'Product Master'!$A$7:$A$1000,0)))</f>
        <v/>
      </c>
      <c r="K715" t="str">
        <f>IF($I715="","",INDEX('Product Master'!$C$7:$C$1000,MATCH($I715,'Product Master'!$A$7:$A$1000,0)))</f>
        <v/>
      </c>
      <c r="L715" t="str">
        <f>IF($I715="","",INDEX('Product Master'!$M$7:$M$1000,MATCH($I715,'Product Master'!$A$7:$A$1000,0)))</f>
        <v/>
      </c>
      <c r="M715" t="str">
        <f>IF($I715="","",INDEX('Product Master'!$N$7:$N$1000,MATCH($I715,'Product Master'!$A$7:$A$1000,0)))</f>
        <v/>
      </c>
    </row>
    <row r="716" spans="1:13" x14ac:dyDescent="0.3">
      <c r="A716" t="str">
        <f>IFERROR(INDEX('Product Master'!$A$7:$A$1000,_xlfn.AGGREGATE(15,6,(ROW('Product Master'!$A$7:$A$1000)-ROW('Product Master'!$A$7)+1)/(('Product Master'!$A$7:$A$1000&lt;&gt;"")*('Product Master'!$P$7:$P$1000="Low Stock")),ROWS($A$12:A716))),"")</f>
        <v/>
      </c>
      <c r="B716" t="str">
        <f>IF($A716="","",INDEX('Product Master'!$B$7:$B$1000,MATCH($A716,'Product Master'!$A$7:$A$1000,0)))</f>
        <v/>
      </c>
      <c r="C716" t="str">
        <f>IF($A716="","",INDEX('Product Master'!$C$7:$C$1000,MATCH($A716,'Product Master'!$A$7:$A$1000,0)))</f>
        <v/>
      </c>
      <c r="D716" t="str">
        <f>IF($A716="","",INDEX('Product Master'!$M$7:$M$1000,MATCH($A716,'Product Master'!$A$7:$A$1000,0)))</f>
        <v/>
      </c>
      <c r="E716" t="str">
        <f>IF($A716="","",INDEX('Product Master'!$N$7:$N$1000,MATCH($A716,'Product Master'!$A$7:$A$1000,0)))</f>
        <v/>
      </c>
      <c r="F716" t="str">
        <f>IF($A716="","",INDEX('Product Master'!$P$7:$P$1000,MATCH($A716,'Product Master'!$A$7:$A$1000,0)))</f>
        <v/>
      </c>
      <c r="I716" t="str">
        <f>IFERROR(INDEX('Product Master'!$A$7:$A$1000,_xlfn.AGGREGATE(15,6,(ROW('Product Master'!$A$7:$A$1000)-ROW('Product Master'!$A$7)+1)/(('Product Master'!$A$7:$A$1000&lt;&gt;"")*('Product Master'!$P$7:$P$1000="Out of Stock")),ROWS($I$12:I716))),"")</f>
        <v/>
      </c>
      <c r="J716" t="str">
        <f>IF($I716="","",INDEX('Product Master'!$B$7:$B$1000,MATCH($I716,'Product Master'!$A$7:$A$1000,0)))</f>
        <v/>
      </c>
      <c r="K716" t="str">
        <f>IF($I716="","",INDEX('Product Master'!$C$7:$C$1000,MATCH($I716,'Product Master'!$A$7:$A$1000,0)))</f>
        <v/>
      </c>
      <c r="L716" t="str">
        <f>IF($I716="","",INDEX('Product Master'!$M$7:$M$1000,MATCH($I716,'Product Master'!$A$7:$A$1000,0)))</f>
        <v/>
      </c>
      <c r="M716" t="str">
        <f>IF($I716="","",INDEX('Product Master'!$N$7:$N$1000,MATCH($I716,'Product Master'!$A$7:$A$1000,0)))</f>
        <v/>
      </c>
    </row>
    <row r="717" spans="1:13" x14ac:dyDescent="0.3">
      <c r="A717" t="str">
        <f>IFERROR(INDEX('Product Master'!$A$7:$A$1000,_xlfn.AGGREGATE(15,6,(ROW('Product Master'!$A$7:$A$1000)-ROW('Product Master'!$A$7)+1)/(('Product Master'!$A$7:$A$1000&lt;&gt;"")*('Product Master'!$P$7:$P$1000="Low Stock")),ROWS($A$12:A717))),"")</f>
        <v/>
      </c>
      <c r="B717" t="str">
        <f>IF($A717="","",INDEX('Product Master'!$B$7:$B$1000,MATCH($A717,'Product Master'!$A$7:$A$1000,0)))</f>
        <v/>
      </c>
      <c r="C717" t="str">
        <f>IF($A717="","",INDEX('Product Master'!$C$7:$C$1000,MATCH($A717,'Product Master'!$A$7:$A$1000,0)))</f>
        <v/>
      </c>
      <c r="D717" t="str">
        <f>IF($A717="","",INDEX('Product Master'!$M$7:$M$1000,MATCH($A717,'Product Master'!$A$7:$A$1000,0)))</f>
        <v/>
      </c>
      <c r="E717" t="str">
        <f>IF($A717="","",INDEX('Product Master'!$N$7:$N$1000,MATCH($A717,'Product Master'!$A$7:$A$1000,0)))</f>
        <v/>
      </c>
      <c r="F717" t="str">
        <f>IF($A717="","",INDEX('Product Master'!$P$7:$P$1000,MATCH($A717,'Product Master'!$A$7:$A$1000,0)))</f>
        <v/>
      </c>
      <c r="I717" t="str">
        <f>IFERROR(INDEX('Product Master'!$A$7:$A$1000,_xlfn.AGGREGATE(15,6,(ROW('Product Master'!$A$7:$A$1000)-ROW('Product Master'!$A$7)+1)/(('Product Master'!$A$7:$A$1000&lt;&gt;"")*('Product Master'!$P$7:$P$1000="Out of Stock")),ROWS($I$12:I717))),"")</f>
        <v/>
      </c>
      <c r="J717" t="str">
        <f>IF($I717="","",INDEX('Product Master'!$B$7:$B$1000,MATCH($I717,'Product Master'!$A$7:$A$1000,0)))</f>
        <v/>
      </c>
      <c r="K717" t="str">
        <f>IF($I717="","",INDEX('Product Master'!$C$7:$C$1000,MATCH($I717,'Product Master'!$A$7:$A$1000,0)))</f>
        <v/>
      </c>
      <c r="L717" t="str">
        <f>IF($I717="","",INDEX('Product Master'!$M$7:$M$1000,MATCH($I717,'Product Master'!$A$7:$A$1000,0)))</f>
        <v/>
      </c>
      <c r="M717" t="str">
        <f>IF($I717="","",INDEX('Product Master'!$N$7:$N$1000,MATCH($I717,'Product Master'!$A$7:$A$1000,0)))</f>
        <v/>
      </c>
    </row>
    <row r="718" spans="1:13" x14ac:dyDescent="0.3">
      <c r="A718" t="str">
        <f>IFERROR(INDEX('Product Master'!$A$7:$A$1000,_xlfn.AGGREGATE(15,6,(ROW('Product Master'!$A$7:$A$1000)-ROW('Product Master'!$A$7)+1)/(('Product Master'!$A$7:$A$1000&lt;&gt;"")*('Product Master'!$P$7:$P$1000="Low Stock")),ROWS($A$12:A718))),"")</f>
        <v/>
      </c>
      <c r="B718" t="str">
        <f>IF($A718="","",INDEX('Product Master'!$B$7:$B$1000,MATCH($A718,'Product Master'!$A$7:$A$1000,0)))</f>
        <v/>
      </c>
      <c r="C718" t="str">
        <f>IF($A718="","",INDEX('Product Master'!$C$7:$C$1000,MATCH($A718,'Product Master'!$A$7:$A$1000,0)))</f>
        <v/>
      </c>
      <c r="D718" t="str">
        <f>IF($A718="","",INDEX('Product Master'!$M$7:$M$1000,MATCH($A718,'Product Master'!$A$7:$A$1000,0)))</f>
        <v/>
      </c>
      <c r="E718" t="str">
        <f>IF($A718="","",INDEX('Product Master'!$N$7:$N$1000,MATCH($A718,'Product Master'!$A$7:$A$1000,0)))</f>
        <v/>
      </c>
      <c r="F718" t="str">
        <f>IF($A718="","",INDEX('Product Master'!$P$7:$P$1000,MATCH($A718,'Product Master'!$A$7:$A$1000,0)))</f>
        <v/>
      </c>
      <c r="I718" t="str">
        <f>IFERROR(INDEX('Product Master'!$A$7:$A$1000,_xlfn.AGGREGATE(15,6,(ROW('Product Master'!$A$7:$A$1000)-ROW('Product Master'!$A$7)+1)/(('Product Master'!$A$7:$A$1000&lt;&gt;"")*('Product Master'!$P$7:$P$1000="Out of Stock")),ROWS($I$12:I718))),"")</f>
        <v/>
      </c>
      <c r="J718" t="str">
        <f>IF($I718="","",INDEX('Product Master'!$B$7:$B$1000,MATCH($I718,'Product Master'!$A$7:$A$1000,0)))</f>
        <v/>
      </c>
      <c r="K718" t="str">
        <f>IF($I718="","",INDEX('Product Master'!$C$7:$C$1000,MATCH($I718,'Product Master'!$A$7:$A$1000,0)))</f>
        <v/>
      </c>
      <c r="L718" t="str">
        <f>IF($I718="","",INDEX('Product Master'!$M$7:$M$1000,MATCH($I718,'Product Master'!$A$7:$A$1000,0)))</f>
        <v/>
      </c>
      <c r="M718" t="str">
        <f>IF($I718="","",INDEX('Product Master'!$N$7:$N$1000,MATCH($I718,'Product Master'!$A$7:$A$1000,0)))</f>
        <v/>
      </c>
    </row>
    <row r="719" spans="1:13" x14ac:dyDescent="0.3">
      <c r="A719" t="str">
        <f>IFERROR(INDEX('Product Master'!$A$7:$A$1000,_xlfn.AGGREGATE(15,6,(ROW('Product Master'!$A$7:$A$1000)-ROW('Product Master'!$A$7)+1)/(('Product Master'!$A$7:$A$1000&lt;&gt;"")*('Product Master'!$P$7:$P$1000="Low Stock")),ROWS($A$12:A719))),"")</f>
        <v/>
      </c>
      <c r="B719" t="str">
        <f>IF($A719="","",INDEX('Product Master'!$B$7:$B$1000,MATCH($A719,'Product Master'!$A$7:$A$1000,0)))</f>
        <v/>
      </c>
      <c r="C719" t="str">
        <f>IF($A719="","",INDEX('Product Master'!$C$7:$C$1000,MATCH($A719,'Product Master'!$A$7:$A$1000,0)))</f>
        <v/>
      </c>
      <c r="D719" t="str">
        <f>IF($A719="","",INDEX('Product Master'!$M$7:$M$1000,MATCH($A719,'Product Master'!$A$7:$A$1000,0)))</f>
        <v/>
      </c>
      <c r="E719" t="str">
        <f>IF($A719="","",INDEX('Product Master'!$N$7:$N$1000,MATCH($A719,'Product Master'!$A$7:$A$1000,0)))</f>
        <v/>
      </c>
      <c r="F719" t="str">
        <f>IF($A719="","",INDEX('Product Master'!$P$7:$P$1000,MATCH($A719,'Product Master'!$A$7:$A$1000,0)))</f>
        <v/>
      </c>
      <c r="I719" t="str">
        <f>IFERROR(INDEX('Product Master'!$A$7:$A$1000,_xlfn.AGGREGATE(15,6,(ROW('Product Master'!$A$7:$A$1000)-ROW('Product Master'!$A$7)+1)/(('Product Master'!$A$7:$A$1000&lt;&gt;"")*('Product Master'!$P$7:$P$1000="Out of Stock")),ROWS($I$12:I719))),"")</f>
        <v/>
      </c>
      <c r="J719" t="str">
        <f>IF($I719="","",INDEX('Product Master'!$B$7:$B$1000,MATCH($I719,'Product Master'!$A$7:$A$1000,0)))</f>
        <v/>
      </c>
      <c r="K719" t="str">
        <f>IF($I719="","",INDEX('Product Master'!$C$7:$C$1000,MATCH($I719,'Product Master'!$A$7:$A$1000,0)))</f>
        <v/>
      </c>
      <c r="L719" t="str">
        <f>IF($I719="","",INDEX('Product Master'!$M$7:$M$1000,MATCH($I719,'Product Master'!$A$7:$A$1000,0)))</f>
        <v/>
      </c>
      <c r="M719" t="str">
        <f>IF($I719="","",INDEX('Product Master'!$N$7:$N$1000,MATCH($I719,'Product Master'!$A$7:$A$1000,0)))</f>
        <v/>
      </c>
    </row>
    <row r="720" spans="1:13" x14ac:dyDescent="0.3">
      <c r="A720" t="str">
        <f>IFERROR(INDEX('Product Master'!$A$7:$A$1000,_xlfn.AGGREGATE(15,6,(ROW('Product Master'!$A$7:$A$1000)-ROW('Product Master'!$A$7)+1)/(('Product Master'!$A$7:$A$1000&lt;&gt;"")*('Product Master'!$P$7:$P$1000="Low Stock")),ROWS($A$12:A720))),"")</f>
        <v/>
      </c>
      <c r="B720" t="str">
        <f>IF($A720="","",INDEX('Product Master'!$B$7:$B$1000,MATCH($A720,'Product Master'!$A$7:$A$1000,0)))</f>
        <v/>
      </c>
      <c r="C720" t="str">
        <f>IF($A720="","",INDEX('Product Master'!$C$7:$C$1000,MATCH($A720,'Product Master'!$A$7:$A$1000,0)))</f>
        <v/>
      </c>
      <c r="D720" t="str">
        <f>IF($A720="","",INDEX('Product Master'!$M$7:$M$1000,MATCH($A720,'Product Master'!$A$7:$A$1000,0)))</f>
        <v/>
      </c>
      <c r="E720" t="str">
        <f>IF($A720="","",INDEX('Product Master'!$N$7:$N$1000,MATCH($A720,'Product Master'!$A$7:$A$1000,0)))</f>
        <v/>
      </c>
      <c r="F720" t="str">
        <f>IF($A720="","",INDEX('Product Master'!$P$7:$P$1000,MATCH($A720,'Product Master'!$A$7:$A$1000,0)))</f>
        <v/>
      </c>
      <c r="I720" t="str">
        <f>IFERROR(INDEX('Product Master'!$A$7:$A$1000,_xlfn.AGGREGATE(15,6,(ROW('Product Master'!$A$7:$A$1000)-ROW('Product Master'!$A$7)+1)/(('Product Master'!$A$7:$A$1000&lt;&gt;"")*('Product Master'!$P$7:$P$1000="Out of Stock")),ROWS($I$12:I720))),"")</f>
        <v/>
      </c>
      <c r="J720" t="str">
        <f>IF($I720="","",INDEX('Product Master'!$B$7:$B$1000,MATCH($I720,'Product Master'!$A$7:$A$1000,0)))</f>
        <v/>
      </c>
      <c r="K720" t="str">
        <f>IF($I720="","",INDEX('Product Master'!$C$7:$C$1000,MATCH($I720,'Product Master'!$A$7:$A$1000,0)))</f>
        <v/>
      </c>
      <c r="L720" t="str">
        <f>IF($I720="","",INDEX('Product Master'!$M$7:$M$1000,MATCH($I720,'Product Master'!$A$7:$A$1000,0)))</f>
        <v/>
      </c>
      <c r="M720" t="str">
        <f>IF($I720="","",INDEX('Product Master'!$N$7:$N$1000,MATCH($I720,'Product Master'!$A$7:$A$1000,0)))</f>
        <v/>
      </c>
    </row>
    <row r="721" spans="1:13" x14ac:dyDescent="0.3">
      <c r="A721" t="str">
        <f>IFERROR(INDEX('Product Master'!$A$7:$A$1000,_xlfn.AGGREGATE(15,6,(ROW('Product Master'!$A$7:$A$1000)-ROW('Product Master'!$A$7)+1)/(('Product Master'!$A$7:$A$1000&lt;&gt;"")*('Product Master'!$P$7:$P$1000="Low Stock")),ROWS($A$12:A721))),"")</f>
        <v/>
      </c>
      <c r="B721" t="str">
        <f>IF($A721="","",INDEX('Product Master'!$B$7:$B$1000,MATCH($A721,'Product Master'!$A$7:$A$1000,0)))</f>
        <v/>
      </c>
      <c r="C721" t="str">
        <f>IF($A721="","",INDEX('Product Master'!$C$7:$C$1000,MATCH($A721,'Product Master'!$A$7:$A$1000,0)))</f>
        <v/>
      </c>
      <c r="D721" t="str">
        <f>IF($A721="","",INDEX('Product Master'!$M$7:$M$1000,MATCH($A721,'Product Master'!$A$7:$A$1000,0)))</f>
        <v/>
      </c>
      <c r="E721" t="str">
        <f>IF($A721="","",INDEX('Product Master'!$N$7:$N$1000,MATCH($A721,'Product Master'!$A$7:$A$1000,0)))</f>
        <v/>
      </c>
      <c r="F721" t="str">
        <f>IF($A721="","",INDEX('Product Master'!$P$7:$P$1000,MATCH($A721,'Product Master'!$A$7:$A$1000,0)))</f>
        <v/>
      </c>
      <c r="I721" t="str">
        <f>IFERROR(INDEX('Product Master'!$A$7:$A$1000,_xlfn.AGGREGATE(15,6,(ROW('Product Master'!$A$7:$A$1000)-ROW('Product Master'!$A$7)+1)/(('Product Master'!$A$7:$A$1000&lt;&gt;"")*('Product Master'!$P$7:$P$1000="Out of Stock")),ROWS($I$12:I721))),"")</f>
        <v/>
      </c>
      <c r="J721" t="str">
        <f>IF($I721="","",INDEX('Product Master'!$B$7:$B$1000,MATCH($I721,'Product Master'!$A$7:$A$1000,0)))</f>
        <v/>
      </c>
      <c r="K721" t="str">
        <f>IF($I721="","",INDEX('Product Master'!$C$7:$C$1000,MATCH($I721,'Product Master'!$A$7:$A$1000,0)))</f>
        <v/>
      </c>
      <c r="L721" t="str">
        <f>IF($I721="","",INDEX('Product Master'!$M$7:$M$1000,MATCH($I721,'Product Master'!$A$7:$A$1000,0)))</f>
        <v/>
      </c>
      <c r="M721" t="str">
        <f>IF($I721="","",INDEX('Product Master'!$N$7:$N$1000,MATCH($I721,'Product Master'!$A$7:$A$1000,0)))</f>
        <v/>
      </c>
    </row>
    <row r="722" spans="1:13" x14ac:dyDescent="0.3">
      <c r="A722" t="str">
        <f>IFERROR(INDEX('Product Master'!$A$7:$A$1000,_xlfn.AGGREGATE(15,6,(ROW('Product Master'!$A$7:$A$1000)-ROW('Product Master'!$A$7)+1)/(('Product Master'!$A$7:$A$1000&lt;&gt;"")*('Product Master'!$P$7:$P$1000="Low Stock")),ROWS($A$12:A722))),"")</f>
        <v/>
      </c>
      <c r="B722" t="str">
        <f>IF($A722="","",INDEX('Product Master'!$B$7:$B$1000,MATCH($A722,'Product Master'!$A$7:$A$1000,0)))</f>
        <v/>
      </c>
      <c r="C722" t="str">
        <f>IF($A722="","",INDEX('Product Master'!$C$7:$C$1000,MATCH($A722,'Product Master'!$A$7:$A$1000,0)))</f>
        <v/>
      </c>
      <c r="D722" t="str">
        <f>IF($A722="","",INDEX('Product Master'!$M$7:$M$1000,MATCH($A722,'Product Master'!$A$7:$A$1000,0)))</f>
        <v/>
      </c>
      <c r="E722" t="str">
        <f>IF($A722="","",INDEX('Product Master'!$N$7:$N$1000,MATCH($A722,'Product Master'!$A$7:$A$1000,0)))</f>
        <v/>
      </c>
      <c r="F722" t="str">
        <f>IF($A722="","",INDEX('Product Master'!$P$7:$P$1000,MATCH($A722,'Product Master'!$A$7:$A$1000,0)))</f>
        <v/>
      </c>
      <c r="I722" t="str">
        <f>IFERROR(INDEX('Product Master'!$A$7:$A$1000,_xlfn.AGGREGATE(15,6,(ROW('Product Master'!$A$7:$A$1000)-ROW('Product Master'!$A$7)+1)/(('Product Master'!$A$7:$A$1000&lt;&gt;"")*('Product Master'!$P$7:$P$1000="Out of Stock")),ROWS($I$12:I722))),"")</f>
        <v/>
      </c>
      <c r="J722" t="str">
        <f>IF($I722="","",INDEX('Product Master'!$B$7:$B$1000,MATCH($I722,'Product Master'!$A$7:$A$1000,0)))</f>
        <v/>
      </c>
      <c r="K722" t="str">
        <f>IF($I722="","",INDEX('Product Master'!$C$7:$C$1000,MATCH($I722,'Product Master'!$A$7:$A$1000,0)))</f>
        <v/>
      </c>
      <c r="L722" t="str">
        <f>IF($I722="","",INDEX('Product Master'!$M$7:$M$1000,MATCH($I722,'Product Master'!$A$7:$A$1000,0)))</f>
        <v/>
      </c>
      <c r="M722" t="str">
        <f>IF($I722="","",INDEX('Product Master'!$N$7:$N$1000,MATCH($I722,'Product Master'!$A$7:$A$1000,0)))</f>
        <v/>
      </c>
    </row>
    <row r="723" spans="1:13" x14ac:dyDescent="0.3">
      <c r="A723" t="str">
        <f>IFERROR(INDEX('Product Master'!$A$7:$A$1000,_xlfn.AGGREGATE(15,6,(ROW('Product Master'!$A$7:$A$1000)-ROW('Product Master'!$A$7)+1)/(('Product Master'!$A$7:$A$1000&lt;&gt;"")*('Product Master'!$P$7:$P$1000="Low Stock")),ROWS($A$12:A723))),"")</f>
        <v/>
      </c>
      <c r="B723" t="str">
        <f>IF($A723="","",INDEX('Product Master'!$B$7:$B$1000,MATCH($A723,'Product Master'!$A$7:$A$1000,0)))</f>
        <v/>
      </c>
      <c r="C723" t="str">
        <f>IF($A723="","",INDEX('Product Master'!$C$7:$C$1000,MATCH($A723,'Product Master'!$A$7:$A$1000,0)))</f>
        <v/>
      </c>
      <c r="D723" t="str">
        <f>IF($A723="","",INDEX('Product Master'!$M$7:$M$1000,MATCH($A723,'Product Master'!$A$7:$A$1000,0)))</f>
        <v/>
      </c>
      <c r="E723" t="str">
        <f>IF($A723="","",INDEX('Product Master'!$N$7:$N$1000,MATCH($A723,'Product Master'!$A$7:$A$1000,0)))</f>
        <v/>
      </c>
      <c r="F723" t="str">
        <f>IF($A723="","",INDEX('Product Master'!$P$7:$P$1000,MATCH($A723,'Product Master'!$A$7:$A$1000,0)))</f>
        <v/>
      </c>
      <c r="I723" t="str">
        <f>IFERROR(INDEX('Product Master'!$A$7:$A$1000,_xlfn.AGGREGATE(15,6,(ROW('Product Master'!$A$7:$A$1000)-ROW('Product Master'!$A$7)+1)/(('Product Master'!$A$7:$A$1000&lt;&gt;"")*('Product Master'!$P$7:$P$1000="Out of Stock")),ROWS($I$12:I723))),"")</f>
        <v/>
      </c>
      <c r="J723" t="str">
        <f>IF($I723="","",INDEX('Product Master'!$B$7:$B$1000,MATCH($I723,'Product Master'!$A$7:$A$1000,0)))</f>
        <v/>
      </c>
      <c r="K723" t="str">
        <f>IF($I723="","",INDEX('Product Master'!$C$7:$C$1000,MATCH($I723,'Product Master'!$A$7:$A$1000,0)))</f>
        <v/>
      </c>
      <c r="L723" t="str">
        <f>IF($I723="","",INDEX('Product Master'!$M$7:$M$1000,MATCH($I723,'Product Master'!$A$7:$A$1000,0)))</f>
        <v/>
      </c>
      <c r="M723" t="str">
        <f>IF($I723="","",INDEX('Product Master'!$N$7:$N$1000,MATCH($I723,'Product Master'!$A$7:$A$1000,0)))</f>
        <v/>
      </c>
    </row>
    <row r="724" spans="1:13" x14ac:dyDescent="0.3">
      <c r="A724" t="str">
        <f>IFERROR(INDEX('Product Master'!$A$7:$A$1000,_xlfn.AGGREGATE(15,6,(ROW('Product Master'!$A$7:$A$1000)-ROW('Product Master'!$A$7)+1)/(('Product Master'!$A$7:$A$1000&lt;&gt;"")*('Product Master'!$P$7:$P$1000="Low Stock")),ROWS($A$12:A724))),"")</f>
        <v/>
      </c>
      <c r="B724" t="str">
        <f>IF($A724="","",INDEX('Product Master'!$B$7:$B$1000,MATCH($A724,'Product Master'!$A$7:$A$1000,0)))</f>
        <v/>
      </c>
      <c r="C724" t="str">
        <f>IF($A724="","",INDEX('Product Master'!$C$7:$C$1000,MATCH($A724,'Product Master'!$A$7:$A$1000,0)))</f>
        <v/>
      </c>
      <c r="D724" t="str">
        <f>IF($A724="","",INDEX('Product Master'!$M$7:$M$1000,MATCH($A724,'Product Master'!$A$7:$A$1000,0)))</f>
        <v/>
      </c>
      <c r="E724" t="str">
        <f>IF($A724="","",INDEX('Product Master'!$N$7:$N$1000,MATCH($A724,'Product Master'!$A$7:$A$1000,0)))</f>
        <v/>
      </c>
      <c r="F724" t="str">
        <f>IF($A724="","",INDEX('Product Master'!$P$7:$P$1000,MATCH($A724,'Product Master'!$A$7:$A$1000,0)))</f>
        <v/>
      </c>
      <c r="I724" t="str">
        <f>IFERROR(INDEX('Product Master'!$A$7:$A$1000,_xlfn.AGGREGATE(15,6,(ROW('Product Master'!$A$7:$A$1000)-ROW('Product Master'!$A$7)+1)/(('Product Master'!$A$7:$A$1000&lt;&gt;"")*('Product Master'!$P$7:$P$1000="Out of Stock")),ROWS($I$12:I724))),"")</f>
        <v/>
      </c>
      <c r="J724" t="str">
        <f>IF($I724="","",INDEX('Product Master'!$B$7:$B$1000,MATCH($I724,'Product Master'!$A$7:$A$1000,0)))</f>
        <v/>
      </c>
      <c r="K724" t="str">
        <f>IF($I724="","",INDEX('Product Master'!$C$7:$C$1000,MATCH($I724,'Product Master'!$A$7:$A$1000,0)))</f>
        <v/>
      </c>
      <c r="L724" t="str">
        <f>IF($I724="","",INDEX('Product Master'!$M$7:$M$1000,MATCH($I724,'Product Master'!$A$7:$A$1000,0)))</f>
        <v/>
      </c>
      <c r="M724" t="str">
        <f>IF($I724="","",INDEX('Product Master'!$N$7:$N$1000,MATCH($I724,'Product Master'!$A$7:$A$1000,0)))</f>
        <v/>
      </c>
    </row>
    <row r="725" spans="1:13" x14ac:dyDescent="0.3">
      <c r="A725" t="str">
        <f>IFERROR(INDEX('Product Master'!$A$7:$A$1000,_xlfn.AGGREGATE(15,6,(ROW('Product Master'!$A$7:$A$1000)-ROW('Product Master'!$A$7)+1)/(('Product Master'!$A$7:$A$1000&lt;&gt;"")*('Product Master'!$P$7:$P$1000="Low Stock")),ROWS($A$12:A725))),"")</f>
        <v/>
      </c>
      <c r="B725" t="str">
        <f>IF($A725="","",INDEX('Product Master'!$B$7:$B$1000,MATCH($A725,'Product Master'!$A$7:$A$1000,0)))</f>
        <v/>
      </c>
      <c r="C725" t="str">
        <f>IF($A725="","",INDEX('Product Master'!$C$7:$C$1000,MATCH($A725,'Product Master'!$A$7:$A$1000,0)))</f>
        <v/>
      </c>
      <c r="D725" t="str">
        <f>IF($A725="","",INDEX('Product Master'!$M$7:$M$1000,MATCH($A725,'Product Master'!$A$7:$A$1000,0)))</f>
        <v/>
      </c>
      <c r="E725" t="str">
        <f>IF($A725="","",INDEX('Product Master'!$N$7:$N$1000,MATCH($A725,'Product Master'!$A$7:$A$1000,0)))</f>
        <v/>
      </c>
      <c r="F725" t="str">
        <f>IF($A725="","",INDEX('Product Master'!$P$7:$P$1000,MATCH($A725,'Product Master'!$A$7:$A$1000,0)))</f>
        <v/>
      </c>
      <c r="I725" t="str">
        <f>IFERROR(INDEX('Product Master'!$A$7:$A$1000,_xlfn.AGGREGATE(15,6,(ROW('Product Master'!$A$7:$A$1000)-ROW('Product Master'!$A$7)+1)/(('Product Master'!$A$7:$A$1000&lt;&gt;"")*('Product Master'!$P$7:$P$1000="Out of Stock")),ROWS($I$12:I725))),"")</f>
        <v/>
      </c>
      <c r="J725" t="str">
        <f>IF($I725="","",INDEX('Product Master'!$B$7:$B$1000,MATCH($I725,'Product Master'!$A$7:$A$1000,0)))</f>
        <v/>
      </c>
      <c r="K725" t="str">
        <f>IF($I725="","",INDEX('Product Master'!$C$7:$C$1000,MATCH($I725,'Product Master'!$A$7:$A$1000,0)))</f>
        <v/>
      </c>
      <c r="L725" t="str">
        <f>IF($I725="","",INDEX('Product Master'!$M$7:$M$1000,MATCH($I725,'Product Master'!$A$7:$A$1000,0)))</f>
        <v/>
      </c>
      <c r="M725" t="str">
        <f>IF($I725="","",INDEX('Product Master'!$N$7:$N$1000,MATCH($I725,'Product Master'!$A$7:$A$1000,0)))</f>
        <v/>
      </c>
    </row>
    <row r="726" spans="1:13" x14ac:dyDescent="0.3">
      <c r="A726" t="str">
        <f>IFERROR(INDEX('Product Master'!$A$7:$A$1000,_xlfn.AGGREGATE(15,6,(ROW('Product Master'!$A$7:$A$1000)-ROW('Product Master'!$A$7)+1)/(('Product Master'!$A$7:$A$1000&lt;&gt;"")*('Product Master'!$P$7:$P$1000="Low Stock")),ROWS($A$12:A726))),"")</f>
        <v/>
      </c>
      <c r="B726" t="str">
        <f>IF($A726="","",INDEX('Product Master'!$B$7:$B$1000,MATCH($A726,'Product Master'!$A$7:$A$1000,0)))</f>
        <v/>
      </c>
      <c r="C726" t="str">
        <f>IF($A726="","",INDEX('Product Master'!$C$7:$C$1000,MATCH($A726,'Product Master'!$A$7:$A$1000,0)))</f>
        <v/>
      </c>
      <c r="D726" t="str">
        <f>IF($A726="","",INDEX('Product Master'!$M$7:$M$1000,MATCH($A726,'Product Master'!$A$7:$A$1000,0)))</f>
        <v/>
      </c>
      <c r="E726" t="str">
        <f>IF($A726="","",INDEX('Product Master'!$N$7:$N$1000,MATCH($A726,'Product Master'!$A$7:$A$1000,0)))</f>
        <v/>
      </c>
      <c r="F726" t="str">
        <f>IF($A726="","",INDEX('Product Master'!$P$7:$P$1000,MATCH($A726,'Product Master'!$A$7:$A$1000,0)))</f>
        <v/>
      </c>
      <c r="I726" t="str">
        <f>IFERROR(INDEX('Product Master'!$A$7:$A$1000,_xlfn.AGGREGATE(15,6,(ROW('Product Master'!$A$7:$A$1000)-ROW('Product Master'!$A$7)+1)/(('Product Master'!$A$7:$A$1000&lt;&gt;"")*('Product Master'!$P$7:$P$1000="Out of Stock")),ROWS($I$12:I726))),"")</f>
        <v/>
      </c>
      <c r="J726" t="str">
        <f>IF($I726="","",INDEX('Product Master'!$B$7:$B$1000,MATCH($I726,'Product Master'!$A$7:$A$1000,0)))</f>
        <v/>
      </c>
      <c r="K726" t="str">
        <f>IF($I726="","",INDEX('Product Master'!$C$7:$C$1000,MATCH($I726,'Product Master'!$A$7:$A$1000,0)))</f>
        <v/>
      </c>
      <c r="L726" t="str">
        <f>IF($I726="","",INDEX('Product Master'!$M$7:$M$1000,MATCH($I726,'Product Master'!$A$7:$A$1000,0)))</f>
        <v/>
      </c>
      <c r="M726" t="str">
        <f>IF($I726="","",INDEX('Product Master'!$N$7:$N$1000,MATCH($I726,'Product Master'!$A$7:$A$1000,0)))</f>
        <v/>
      </c>
    </row>
    <row r="727" spans="1:13" x14ac:dyDescent="0.3">
      <c r="A727" t="str">
        <f>IFERROR(INDEX('Product Master'!$A$7:$A$1000,_xlfn.AGGREGATE(15,6,(ROW('Product Master'!$A$7:$A$1000)-ROW('Product Master'!$A$7)+1)/(('Product Master'!$A$7:$A$1000&lt;&gt;"")*('Product Master'!$P$7:$P$1000="Low Stock")),ROWS($A$12:A727))),"")</f>
        <v/>
      </c>
      <c r="B727" t="str">
        <f>IF($A727="","",INDEX('Product Master'!$B$7:$B$1000,MATCH($A727,'Product Master'!$A$7:$A$1000,0)))</f>
        <v/>
      </c>
      <c r="C727" t="str">
        <f>IF($A727="","",INDEX('Product Master'!$C$7:$C$1000,MATCH($A727,'Product Master'!$A$7:$A$1000,0)))</f>
        <v/>
      </c>
      <c r="D727" t="str">
        <f>IF($A727="","",INDEX('Product Master'!$M$7:$M$1000,MATCH($A727,'Product Master'!$A$7:$A$1000,0)))</f>
        <v/>
      </c>
      <c r="E727" t="str">
        <f>IF($A727="","",INDEX('Product Master'!$N$7:$N$1000,MATCH($A727,'Product Master'!$A$7:$A$1000,0)))</f>
        <v/>
      </c>
      <c r="F727" t="str">
        <f>IF($A727="","",INDEX('Product Master'!$P$7:$P$1000,MATCH($A727,'Product Master'!$A$7:$A$1000,0)))</f>
        <v/>
      </c>
      <c r="I727" t="str">
        <f>IFERROR(INDEX('Product Master'!$A$7:$A$1000,_xlfn.AGGREGATE(15,6,(ROW('Product Master'!$A$7:$A$1000)-ROW('Product Master'!$A$7)+1)/(('Product Master'!$A$7:$A$1000&lt;&gt;"")*('Product Master'!$P$7:$P$1000="Out of Stock")),ROWS($I$12:I727))),"")</f>
        <v/>
      </c>
      <c r="J727" t="str">
        <f>IF($I727="","",INDEX('Product Master'!$B$7:$B$1000,MATCH($I727,'Product Master'!$A$7:$A$1000,0)))</f>
        <v/>
      </c>
      <c r="K727" t="str">
        <f>IF($I727="","",INDEX('Product Master'!$C$7:$C$1000,MATCH($I727,'Product Master'!$A$7:$A$1000,0)))</f>
        <v/>
      </c>
      <c r="L727" t="str">
        <f>IF($I727="","",INDEX('Product Master'!$M$7:$M$1000,MATCH($I727,'Product Master'!$A$7:$A$1000,0)))</f>
        <v/>
      </c>
      <c r="M727" t="str">
        <f>IF($I727="","",INDEX('Product Master'!$N$7:$N$1000,MATCH($I727,'Product Master'!$A$7:$A$1000,0)))</f>
        <v/>
      </c>
    </row>
    <row r="728" spans="1:13" x14ac:dyDescent="0.3">
      <c r="A728" t="str">
        <f>IFERROR(INDEX('Product Master'!$A$7:$A$1000,_xlfn.AGGREGATE(15,6,(ROW('Product Master'!$A$7:$A$1000)-ROW('Product Master'!$A$7)+1)/(('Product Master'!$A$7:$A$1000&lt;&gt;"")*('Product Master'!$P$7:$P$1000="Low Stock")),ROWS($A$12:A728))),"")</f>
        <v/>
      </c>
      <c r="B728" t="str">
        <f>IF($A728="","",INDEX('Product Master'!$B$7:$B$1000,MATCH($A728,'Product Master'!$A$7:$A$1000,0)))</f>
        <v/>
      </c>
      <c r="C728" t="str">
        <f>IF($A728="","",INDEX('Product Master'!$C$7:$C$1000,MATCH($A728,'Product Master'!$A$7:$A$1000,0)))</f>
        <v/>
      </c>
      <c r="D728" t="str">
        <f>IF($A728="","",INDEX('Product Master'!$M$7:$M$1000,MATCH($A728,'Product Master'!$A$7:$A$1000,0)))</f>
        <v/>
      </c>
      <c r="E728" t="str">
        <f>IF($A728="","",INDEX('Product Master'!$N$7:$N$1000,MATCH($A728,'Product Master'!$A$7:$A$1000,0)))</f>
        <v/>
      </c>
      <c r="F728" t="str">
        <f>IF($A728="","",INDEX('Product Master'!$P$7:$P$1000,MATCH($A728,'Product Master'!$A$7:$A$1000,0)))</f>
        <v/>
      </c>
      <c r="I728" t="str">
        <f>IFERROR(INDEX('Product Master'!$A$7:$A$1000,_xlfn.AGGREGATE(15,6,(ROW('Product Master'!$A$7:$A$1000)-ROW('Product Master'!$A$7)+1)/(('Product Master'!$A$7:$A$1000&lt;&gt;"")*('Product Master'!$P$7:$P$1000="Out of Stock")),ROWS($I$12:I728))),"")</f>
        <v/>
      </c>
      <c r="J728" t="str">
        <f>IF($I728="","",INDEX('Product Master'!$B$7:$B$1000,MATCH($I728,'Product Master'!$A$7:$A$1000,0)))</f>
        <v/>
      </c>
      <c r="K728" t="str">
        <f>IF($I728="","",INDEX('Product Master'!$C$7:$C$1000,MATCH($I728,'Product Master'!$A$7:$A$1000,0)))</f>
        <v/>
      </c>
      <c r="L728" t="str">
        <f>IF($I728="","",INDEX('Product Master'!$M$7:$M$1000,MATCH($I728,'Product Master'!$A$7:$A$1000,0)))</f>
        <v/>
      </c>
      <c r="M728" t="str">
        <f>IF($I728="","",INDEX('Product Master'!$N$7:$N$1000,MATCH($I728,'Product Master'!$A$7:$A$1000,0)))</f>
        <v/>
      </c>
    </row>
    <row r="729" spans="1:13" x14ac:dyDescent="0.3">
      <c r="A729" t="str">
        <f>IFERROR(INDEX('Product Master'!$A$7:$A$1000,_xlfn.AGGREGATE(15,6,(ROW('Product Master'!$A$7:$A$1000)-ROW('Product Master'!$A$7)+1)/(('Product Master'!$A$7:$A$1000&lt;&gt;"")*('Product Master'!$P$7:$P$1000="Low Stock")),ROWS($A$12:A729))),"")</f>
        <v/>
      </c>
      <c r="B729" t="str">
        <f>IF($A729="","",INDEX('Product Master'!$B$7:$B$1000,MATCH($A729,'Product Master'!$A$7:$A$1000,0)))</f>
        <v/>
      </c>
      <c r="C729" t="str">
        <f>IF($A729="","",INDEX('Product Master'!$C$7:$C$1000,MATCH($A729,'Product Master'!$A$7:$A$1000,0)))</f>
        <v/>
      </c>
      <c r="D729" t="str">
        <f>IF($A729="","",INDEX('Product Master'!$M$7:$M$1000,MATCH($A729,'Product Master'!$A$7:$A$1000,0)))</f>
        <v/>
      </c>
      <c r="E729" t="str">
        <f>IF($A729="","",INDEX('Product Master'!$N$7:$N$1000,MATCH($A729,'Product Master'!$A$7:$A$1000,0)))</f>
        <v/>
      </c>
      <c r="F729" t="str">
        <f>IF($A729="","",INDEX('Product Master'!$P$7:$P$1000,MATCH($A729,'Product Master'!$A$7:$A$1000,0)))</f>
        <v/>
      </c>
      <c r="I729" t="str">
        <f>IFERROR(INDEX('Product Master'!$A$7:$A$1000,_xlfn.AGGREGATE(15,6,(ROW('Product Master'!$A$7:$A$1000)-ROW('Product Master'!$A$7)+1)/(('Product Master'!$A$7:$A$1000&lt;&gt;"")*('Product Master'!$P$7:$P$1000="Out of Stock")),ROWS($I$12:I729))),"")</f>
        <v/>
      </c>
      <c r="J729" t="str">
        <f>IF($I729="","",INDEX('Product Master'!$B$7:$B$1000,MATCH($I729,'Product Master'!$A$7:$A$1000,0)))</f>
        <v/>
      </c>
      <c r="K729" t="str">
        <f>IF($I729="","",INDEX('Product Master'!$C$7:$C$1000,MATCH($I729,'Product Master'!$A$7:$A$1000,0)))</f>
        <v/>
      </c>
      <c r="L729" t="str">
        <f>IF($I729="","",INDEX('Product Master'!$M$7:$M$1000,MATCH($I729,'Product Master'!$A$7:$A$1000,0)))</f>
        <v/>
      </c>
      <c r="M729" t="str">
        <f>IF($I729="","",INDEX('Product Master'!$N$7:$N$1000,MATCH($I729,'Product Master'!$A$7:$A$1000,0)))</f>
        <v/>
      </c>
    </row>
    <row r="730" spans="1:13" x14ac:dyDescent="0.3">
      <c r="A730" t="str">
        <f>IFERROR(INDEX('Product Master'!$A$7:$A$1000,_xlfn.AGGREGATE(15,6,(ROW('Product Master'!$A$7:$A$1000)-ROW('Product Master'!$A$7)+1)/(('Product Master'!$A$7:$A$1000&lt;&gt;"")*('Product Master'!$P$7:$P$1000="Low Stock")),ROWS($A$12:A730))),"")</f>
        <v/>
      </c>
      <c r="B730" t="str">
        <f>IF($A730="","",INDEX('Product Master'!$B$7:$B$1000,MATCH($A730,'Product Master'!$A$7:$A$1000,0)))</f>
        <v/>
      </c>
      <c r="C730" t="str">
        <f>IF($A730="","",INDEX('Product Master'!$C$7:$C$1000,MATCH($A730,'Product Master'!$A$7:$A$1000,0)))</f>
        <v/>
      </c>
      <c r="D730" t="str">
        <f>IF($A730="","",INDEX('Product Master'!$M$7:$M$1000,MATCH($A730,'Product Master'!$A$7:$A$1000,0)))</f>
        <v/>
      </c>
      <c r="E730" t="str">
        <f>IF($A730="","",INDEX('Product Master'!$N$7:$N$1000,MATCH($A730,'Product Master'!$A$7:$A$1000,0)))</f>
        <v/>
      </c>
      <c r="F730" t="str">
        <f>IF($A730="","",INDEX('Product Master'!$P$7:$P$1000,MATCH($A730,'Product Master'!$A$7:$A$1000,0)))</f>
        <v/>
      </c>
      <c r="I730" t="str">
        <f>IFERROR(INDEX('Product Master'!$A$7:$A$1000,_xlfn.AGGREGATE(15,6,(ROW('Product Master'!$A$7:$A$1000)-ROW('Product Master'!$A$7)+1)/(('Product Master'!$A$7:$A$1000&lt;&gt;"")*('Product Master'!$P$7:$P$1000="Out of Stock")),ROWS($I$12:I730))),"")</f>
        <v/>
      </c>
      <c r="J730" t="str">
        <f>IF($I730="","",INDEX('Product Master'!$B$7:$B$1000,MATCH($I730,'Product Master'!$A$7:$A$1000,0)))</f>
        <v/>
      </c>
      <c r="K730" t="str">
        <f>IF($I730="","",INDEX('Product Master'!$C$7:$C$1000,MATCH($I730,'Product Master'!$A$7:$A$1000,0)))</f>
        <v/>
      </c>
      <c r="L730" t="str">
        <f>IF($I730="","",INDEX('Product Master'!$M$7:$M$1000,MATCH($I730,'Product Master'!$A$7:$A$1000,0)))</f>
        <v/>
      </c>
      <c r="M730" t="str">
        <f>IF($I730="","",INDEX('Product Master'!$N$7:$N$1000,MATCH($I730,'Product Master'!$A$7:$A$1000,0)))</f>
        <v/>
      </c>
    </row>
    <row r="731" spans="1:13" x14ac:dyDescent="0.3">
      <c r="A731" t="str">
        <f>IFERROR(INDEX('Product Master'!$A$7:$A$1000,_xlfn.AGGREGATE(15,6,(ROW('Product Master'!$A$7:$A$1000)-ROW('Product Master'!$A$7)+1)/(('Product Master'!$A$7:$A$1000&lt;&gt;"")*('Product Master'!$P$7:$P$1000="Low Stock")),ROWS($A$12:A731))),"")</f>
        <v/>
      </c>
      <c r="B731" t="str">
        <f>IF($A731="","",INDEX('Product Master'!$B$7:$B$1000,MATCH($A731,'Product Master'!$A$7:$A$1000,0)))</f>
        <v/>
      </c>
      <c r="C731" t="str">
        <f>IF($A731="","",INDEX('Product Master'!$C$7:$C$1000,MATCH($A731,'Product Master'!$A$7:$A$1000,0)))</f>
        <v/>
      </c>
      <c r="D731" t="str">
        <f>IF($A731="","",INDEX('Product Master'!$M$7:$M$1000,MATCH($A731,'Product Master'!$A$7:$A$1000,0)))</f>
        <v/>
      </c>
      <c r="E731" t="str">
        <f>IF($A731="","",INDEX('Product Master'!$N$7:$N$1000,MATCH($A731,'Product Master'!$A$7:$A$1000,0)))</f>
        <v/>
      </c>
      <c r="F731" t="str">
        <f>IF($A731="","",INDEX('Product Master'!$P$7:$P$1000,MATCH($A731,'Product Master'!$A$7:$A$1000,0)))</f>
        <v/>
      </c>
      <c r="I731" t="str">
        <f>IFERROR(INDEX('Product Master'!$A$7:$A$1000,_xlfn.AGGREGATE(15,6,(ROW('Product Master'!$A$7:$A$1000)-ROW('Product Master'!$A$7)+1)/(('Product Master'!$A$7:$A$1000&lt;&gt;"")*('Product Master'!$P$7:$P$1000="Out of Stock")),ROWS($I$12:I731))),"")</f>
        <v/>
      </c>
      <c r="J731" t="str">
        <f>IF($I731="","",INDEX('Product Master'!$B$7:$B$1000,MATCH($I731,'Product Master'!$A$7:$A$1000,0)))</f>
        <v/>
      </c>
      <c r="K731" t="str">
        <f>IF($I731="","",INDEX('Product Master'!$C$7:$C$1000,MATCH($I731,'Product Master'!$A$7:$A$1000,0)))</f>
        <v/>
      </c>
      <c r="L731" t="str">
        <f>IF($I731="","",INDEX('Product Master'!$M$7:$M$1000,MATCH($I731,'Product Master'!$A$7:$A$1000,0)))</f>
        <v/>
      </c>
      <c r="M731" t="str">
        <f>IF($I731="","",INDEX('Product Master'!$N$7:$N$1000,MATCH($I731,'Product Master'!$A$7:$A$1000,0)))</f>
        <v/>
      </c>
    </row>
    <row r="732" spans="1:13" x14ac:dyDescent="0.3">
      <c r="A732" t="str">
        <f>IFERROR(INDEX('Product Master'!$A$7:$A$1000,_xlfn.AGGREGATE(15,6,(ROW('Product Master'!$A$7:$A$1000)-ROW('Product Master'!$A$7)+1)/(('Product Master'!$A$7:$A$1000&lt;&gt;"")*('Product Master'!$P$7:$P$1000="Low Stock")),ROWS($A$12:A732))),"")</f>
        <v/>
      </c>
      <c r="B732" t="str">
        <f>IF($A732="","",INDEX('Product Master'!$B$7:$B$1000,MATCH($A732,'Product Master'!$A$7:$A$1000,0)))</f>
        <v/>
      </c>
      <c r="C732" t="str">
        <f>IF($A732="","",INDEX('Product Master'!$C$7:$C$1000,MATCH($A732,'Product Master'!$A$7:$A$1000,0)))</f>
        <v/>
      </c>
      <c r="D732" t="str">
        <f>IF($A732="","",INDEX('Product Master'!$M$7:$M$1000,MATCH($A732,'Product Master'!$A$7:$A$1000,0)))</f>
        <v/>
      </c>
      <c r="E732" t="str">
        <f>IF($A732="","",INDEX('Product Master'!$N$7:$N$1000,MATCH($A732,'Product Master'!$A$7:$A$1000,0)))</f>
        <v/>
      </c>
      <c r="F732" t="str">
        <f>IF($A732="","",INDEX('Product Master'!$P$7:$P$1000,MATCH($A732,'Product Master'!$A$7:$A$1000,0)))</f>
        <v/>
      </c>
      <c r="I732" t="str">
        <f>IFERROR(INDEX('Product Master'!$A$7:$A$1000,_xlfn.AGGREGATE(15,6,(ROW('Product Master'!$A$7:$A$1000)-ROW('Product Master'!$A$7)+1)/(('Product Master'!$A$7:$A$1000&lt;&gt;"")*('Product Master'!$P$7:$P$1000="Out of Stock")),ROWS($I$12:I732))),"")</f>
        <v/>
      </c>
      <c r="J732" t="str">
        <f>IF($I732="","",INDEX('Product Master'!$B$7:$B$1000,MATCH($I732,'Product Master'!$A$7:$A$1000,0)))</f>
        <v/>
      </c>
      <c r="K732" t="str">
        <f>IF($I732="","",INDEX('Product Master'!$C$7:$C$1000,MATCH($I732,'Product Master'!$A$7:$A$1000,0)))</f>
        <v/>
      </c>
      <c r="L732" t="str">
        <f>IF($I732="","",INDEX('Product Master'!$M$7:$M$1000,MATCH($I732,'Product Master'!$A$7:$A$1000,0)))</f>
        <v/>
      </c>
      <c r="M732" t="str">
        <f>IF($I732="","",INDEX('Product Master'!$N$7:$N$1000,MATCH($I732,'Product Master'!$A$7:$A$1000,0)))</f>
        <v/>
      </c>
    </row>
    <row r="733" spans="1:13" x14ac:dyDescent="0.3">
      <c r="A733" t="str">
        <f>IFERROR(INDEX('Product Master'!$A$7:$A$1000,_xlfn.AGGREGATE(15,6,(ROW('Product Master'!$A$7:$A$1000)-ROW('Product Master'!$A$7)+1)/(('Product Master'!$A$7:$A$1000&lt;&gt;"")*('Product Master'!$P$7:$P$1000="Low Stock")),ROWS($A$12:A733))),"")</f>
        <v/>
      </c>
      <c r="B733" t="str">
        <f>IF($A733="","",INDEX('Product Master'!$B$7:$B$1000,MATCH($A733,'Product Master'!$A$7:$A$1000,0)))</f>
        <v/>
      </c>
      <c r="C733" t="str">
        <f>IF($A733="","",INDEX('Product Master'!$C$7:$C$1000,MATCH($A733,'Product Master'!$A$7:$A$1000,0)))</f>
        <v/>
      </c>
      <c r="D733" t="str">
        <f>IF($A733="","",INDEX('Product Master'!$M$7:$M$1000,MATCH($A733,'Product Master'!$A$7:$A$1000,0)))</f>
        <v/>
      </c>
      <c r="E733" t="str">
        <f>IF($A733="","",INDEX('Product Master'!$N$7:$N$1000,MATCH($A733,'Product Master'!$A$7:$A$1000,0)))</f>
        <v/>
      </c>
      <c r="F733" t="str">
        <f>IF($A733="","",INDEX('Product Master'!$P$7:$P$1000,MATCH($A733,'Product Master'!$A$7:$A$1000,0)))</f>
        <v/>
      </c>
      <c r="I733" t="str">
        <f>IFERROR(INDEX('Product Master'!$A$7:$A$1000,_xlfn.AGGREGATE(15,6,(ROW('Product Master'!$A$7:$A$1000)-ROW('Product Master'!$A$7)+1)/(('Product Master'!$A$7:$A$1000&lt;&gt;"")*('Product Master'!$P$7:$P$1000="Out of Stock")),ROWS($I$12:I733))),"")</f>
        <v/>
      </c>
      <c r="J733" t="str">
        <f>IF($I733="","",INDEX('Product Master'!$B$7:$B$1000,MATCH($I733,'Product Master'!$A$7:$A$1000,0)))</f>
        <v/>
      </c>
      <c r="K733" t="str">
        <f>IF($I733="","",INDEX('Product Master'!$C$7:$C$1000,MATCH($I733,'Product Master'!$A$7:$A$1000,0)))</f>
        <v/>
      </c>
      <c r="L733" t="str">
        <f>IF($I733="","",INDEX('Product Master'!$M$7:$M$1000,MATCH($I733,'Product Master'!$A$7:$A$1000,0)))</f>
        <v/>
      </c>
      <c r="M733" t="str">
        <f>IF($I733="","",INDEX('Product Master'!$N$7:$N$1000,MATCH($I733,'Product Master'!$A$7:$A$1000,0)))</f>
        <v/>
      </c>
    </row>
    <row r="734" spans="1:13" x14ac:dyDescent="0.3">
      <c r="A734" t="str">
        <f>IFERROR(INDEX('Product Master'!$A$7:$A$1000,_xlfn.AGGREGATE(15,6,(ROW('Product Master'!$A$7:$A$1000)-ROW('Product Master'!$A$7)+1)/(('Product Master'!$A$7:$A$1000&lt;&gt;"")*('Product Master'!$P$7:$P$1000="Low Stock")),ROWS($A$12:A734))),"")</f>
        <v/>
      </c>
      <c r="B734" t="str">
        <f>IF($A734="","",INDEX('Product Master'!$B$7:$B$1000,MATCH($A734,'Product Master'!$A$7:$A$1000,0)))</f>
        <v/>
      </c>
      <c r="C734" t="str">
        <f>IF($A734="","",INDEX('Product Master'!$C$7:$C$1000,MATCH($A734,'Product Master'!$A$7:$A$1000,0)))</f>
        <v/>
      </c>
      <c r="D734" t="str">
        <f>IF($A734="","",INDEX('Product Master'!$M$7:$M$1000,MATCH($A734,'Product Master'!$A$7:$A$1000,0)))</f>
        <v/>
      </c>
      <c r="E734" t="str">
        <f>IF($A734="","",INDEX('Product Master'!$N$7:$N$1000,MATCH($A734,'Product Master'!$A$7:$A$1000,0)))</f>
        <v/>
      </c>
      <c r="F734" t="str">
        <f>IF($A734="","",INDEX('Product Master'!$P$7:$P$1000,MATCH($A734,'Product Master'!$A$7:$A$1000,0)))</f>
        <v/>
      </c>
      <c r="I734" t="str">
        <f>IFERROR(INDEX('Product Master'!$A$7:$A$1000,_xlfn.AGGREGATE(15,6,(ROW('Product Master'!$A$7:$A$1000)-ROW('Product Master'!$A$7)+1)/(('Product Master'!$A$7:$A$1000&lt;&gt;"")*('Product Master'!$P$7:$P$1000="Out of Stock")),ROWS($I$12:I734))),"")</f>
        <v/>
      </c>
      <c r="J734" t="str">
        <f>IF($I734="","",INDEX('Product Master'!$B$7:$B$1000,MATCH($I734,'Product Master'!$A$7:$A$1000,0)))</f>
        <v/>
      </c>
      <c r="K734" t="str">
        <f>IF($I734="","",INDEX('Product Master'!$C$7:$C$1000,MATCH($I734,'Product Master'!$A$7:$A$1000,0)))</f>
        <v/>
      </c>
      <c r="L734" t="str">
        <f>IF($I734="","",INDEX('Product Master'!$M$7:$M$1000,MATCH($I734,'Product Master'!$A$7:$A$1000,0)))</f>
        <v/>
      </c>
      <c r="M734" t="str">
        <f>IF($I734="","",INDEX('Product Master'!$N$7:$N$1000,MATCH($I734,'Product Master'!$A$7:$A$1000,0)))</f>
        <v/>
      </c>
    </row>
    <row r="735" spans="1:13" x14ac:dyDescent="0.3">
      <c r="A735" t="str">
        <f>IFERROR(INDEX('Product Master'!$A$7:$A$1000,_xlfn.AGGREGATE(15,6,(ROW('Product Master'!$A$7:$A$1000)-ROW('Product Master'!$A$7)+1)/(('Product Master'!$A$7:$A$1000&lt;&gt;"")*('Product Master'!$P$7:$P$1000="Low Stock")),ROWS($A$12:A735))),"")</f>
        <v/>
      </c>
      <c r="B735" t="str">
        <f>IF($A735="","",INDEX('Product Master'!$B$7:$B$1000,MATCH($A735,'Product Master'!$A$7:$A$1000,0)))</f>
        <v/>
      </c>
      <c r="C735" t="str">
        <f>IF($A735="","",INDEX('Product Master'!$C$7:$C$1000,MATCH($A735,'Product Master'!$A$7:$A$1000,0)))</f>
        <v/>
      </c>
      <c r="D735" t="str">
        <f>IF($A735="","",INDEX('Product Master'!$M$7:$M$1000,MATCH($A735,'Product Master'!$A$7:$A$1000,0)))</f>
        <v/>
      </c>
      <c r="E735" t="str">
        <f>IF($A735="","",INDEX('Product Master'!$N$7:$N$1000,MATCH($A735,'Product Master'!$A$7:$A$1000,0)))</f>
        <v/>
      </c>
      <c r="F735" t="str">
        <f>IF($A735="","",INDEX('Product Master'!$P$7:$P$1000,MATCH($A735,'Product Master'!$A$7:$A$1000,0)))</f>
        <v/>
      </c>
      <c r="I735" t="str">
        <f>IFERROR(INDEX('Product Master'!$A$7:$A$1000,_xlfn.AGGREGATE(15,6,(ROW('Product Master'!$A$7:$A$1000)-ROW('Product Master'!$A$7)+1)/(('Product Master'!$A$7:$A$1000&lt;&gt;"")*('Product Master'!$P$7:$P$1000="Out of Stock")),ROWS($I$12:I735))),"")</f>
        <v/>
      </c>
      <c r="J735" t="str">
        <f>IF($I735="","",INDEX('Product Master'!$B$7:$B$1000,MATCH($I735,'Product Master'!$A$7:$A$1000,0)))</f>
        <v/>
      </c>
      <c r="K735" t="str">
        <f>IF($I735="","",INDEX('Product Master'!$C$7:$C$1000,MATCH($I735,'Product Master'!$A$7:$A$1000,0)))</f>
        <v/>
      </c>
      <c r="L735" t="str">
        <f>IF($I735="","",INDEX('Product Master'!$M$7:$M$1000,MATCH($I735,'Product Master'!$A$7:$A$1000,0)))</f>
        <v/>
      </c>
      <c r="M735" t="str">
        <f>IF($I735="","",INDEX('Product Master'!$N$7:$N$1000,MATCH($I735,'Product Master'!$A$7:$A$1000,0)))</f>
        <v/>
      </c>
    </row>
    <row r="736" spans="1:13" x14ac:dyDescent="0.3">
      <c r="A736" t="str">
        <f>IFERROR(INDEX('Product Master'!$A$7:$A$1000,_xlfn.AGGREGATE(15,6,(ROW('Product Master'!$A$7:$A$1000)-ROW('Product Master'!$A$7)+1)/(('Product Master'!$A$7:$A$1000&lt;&gt;"")*('Product Master'!$P$7:$P$1000="Low Stock")),ROWS($A$12:A736))),"")</f>
        <v/>
      </c>
      <c r="B736" t="str">
        <f>IF($A736="","",INDEX('Product Master'!$B$7:$B$1000,MATCH($A736,'Product Master'!$A$7:$A$1000,0)))</f>
        <v/>
      </c>
      <c r="C736" t="str">
        <f>IF($A736="","",INDEX('Product Master'!$C$7:$C$1000,MATCH($A736,'Product Master'!$A$7:$A$1000,0)))</f>
        <v/>
      </c>
      <c r="D736" t="str">
        <f>IF($A736="","",INDEX('Product Master'!$M$7:$M$1000,MATCH($A736,'Product Master'!$A$7:$A$1000,0)))</f>
        <v/>
      </c>
      <c r="E736" t="str">
        <f>IF($A736="","",INDEX('Product Master'!$N$7:$N$1000,MATCH($A736,'Product Master'!$A$7:$A$1000,0)))</f>
        <v/>
      </c>
      <c r="F736" t="str">
        <f>IF($A736="","",INDEX('Product Master'!$P$7:$P$1000,MATCH($A736,'Product Master'!$A$7:$A$1000,0)))</f>
        <v/>
      </c>
      <c r="I736" t="str">
        <f>IFERROR(INDEX('Product Master'!$A$7:$A$1000,_xlfn.AGGREGATE(15,6,(ROW('Product Master'!$A$7:$A$1000)-ROW('Product Master'!$A$7)+1)/(('Product Master'!$A$7:$A$1000&lt;&gt;"")*('Product Master'!$P$7:$P$1000="Out of Stock")),ROWS($I$12:I736))),"")</f>
        <v/>
      </c>
      <c r="J736" t="str">
        <f>IF($I736="","",INDEX('Product Master'!$B$7:$B$1000,MATCH($I736,'Product Master'!$A$7:$A$1000,0)))</f>
        <v/>
      </c>
      <c r="K736" t="str">
        <f>IF($I736="","",INDEX('Product Master'!$C$7:$C$1000,MATCH($I736,'Product Master'!$A$7:$A$1000,0)))</f>
        <v/>
      </c>
      <c r="L736" t="str">
        <f>IF($I736="","",INDEX('Product Master'!$M$7:$M$1000,MATCH($I736,'Product Master'!$A$7:$A$1000,0)))</f>
        <v/>
      </c>
      <c r="M736" t="str">
        <f>IF($I736="","",INDEX('Product Master'!$N$7:$N$1000,MATCH($I736,'Product Master'!$A$7:$A$1000,0)))</f>
        <v/>
      </c>
    </row>
    <row r="737" spans="1:13" x14ac:dyDescent="0.3">
      <c r="A737" t="str">
        <f>IFERROR(INDEX('Product Master'!$A$7:$A$1000,_xlfn.AGGREGATE(15,6,(ROW('Product Master'!$A$7:$A$1000)-ROW('Product Master'!$A$7)+1)/(('Product Master'!$A$7:$A$1000&lt;&gt;"")*('Product Master'!$P$7:$P$1000="Low Stock")),ROWS($A$12:A737))),"")</f>
        <v/>
      </c>
      <c r="B737" t="str">
        <f>IF($A737="","",INDEX('Product Master'!$B$7:$B$1000,MATCH($A737,'Product Master'!$A$7:$A$1000,0)))</f>
        <v/>
      </c>
      <c r="C737" t="str">
        <f>IF($A737="","",INDEX('Product Master'!$C$7:$C$1000,MATCH($A737,'Product Master'!$A$7:$A$1000,0)))</f>
        <v/>
      </c>
      <c r="D737" t="str">
        <f>IF($A737="","",INDEX('Product Master'!$M$7:$M$1000,MATCH($A737,'Product Master'!$A$7:$A$1000,0)))</f>
        <v/>
      </c>
      <c r="E737" t="str">
        <f>IF($A737="","",INDEX('Product Master'!$N$7:$N$1000,MATCH($A737,'Product Master'!$A$7:$A$1000,0)))</f>
        <v/>
      </c>
      <c r="F737" t="str">
        <f>IF($A737="","",INDEX('Product Master'!$P$7:$P$1000,MATCH($A737,'Product Master'!$A$7:$A$1000,0)))</f>
        <v/>
      </c>
      <c r="I737" t="str">
        <f>IFERROR(INDEX('Product Master'!$A$7:$A$1000,_xlfn.AGGREGATE(15,6,(ROW('Product Master'!$A$7:$A$1000)-ROW('Product Master'!$A$7)+1)/(('Product Master'!$A$7:$A$1000&lt;&gt;"")*('Product Master'!$P$7:$P$1000="Out of Stock")),ROWS($I$12:I737))),"")</f>
        <v/>
      </c>
      <c r="J737" t="str">
        <f>IF($I737="","",INDEX('Product Master'!$B$7:$B$1000,MATCH($I737,'Product Master'!$A$7:$A$1000,0)))</f>
        <v/>
      </c>
      <c r="K737" t="str">
        <f>IF($I737="","",INDEX('Product Master'!$C$7:$C$1000,MATCH($I737,'Product Master'!$A$7:$A$1000,0)))</f>
        <v/>
      </c>
      <c r="L737" t="str">
        <f>IF($I737="","",INDEX('Product Master'!$M$7:$M$1000,MATCH($I737,'Product Master'!$A$7:$A$1000,0)))</f>
        <v/>
      </c>
      <c r="M737" t="str">
        <f>IF($I737="","",INDEX('Product Master'!$N$7:$N$1000,MATCH($I737,'Product Master'!$A$7:$A$1000,0)))</f>
        <v/>
      </c>
    </row>
    <row r="738" spans="1:13" x14ac:dyDescent="0.3">
      <c r="A738" t="str">
        <f>IFERROR(INDEX('Product Master'!$A$7:$A$1000,_xlfn.AGGREGATE(15,6,(ROW('Product Master'!$A$7:$A$1000)-ROW('Product Master'!$A$7)+1)/(('Product Master'!$A$7:$A$1000&lt;&gt;"")*('Product Master'!$P$7:$P$1000="Low Stock")),ROWS($A$12:A738))),"")</f>
        <v/>
      </c>
      <c r="B738" t="str">
        <f>IF($A738="","",INDEX('Product Master'!$B$7:$B$1000,MATCH($A738,'Product Master'!$A$7:$A$1000,0)))</f>
        <v/>
      </c>
      <c r="C738" t="str">
        <f>IF($A738="","",INDEX('Product Master'!$C$7:$C$1000,MATCH($A738,'Product Master'!$A$7:$A$1000,0)))</f>
        <v/>
      </c>
      <c r="D738" t="str">
        <f>IF($A738="","",INDEX('Product Master'!$M$7:$M$1000,MATCH($A738,'Product Master'!$A$7:$A$1000,0)))</f>
        <v/>
      </c>
      <c r="E738" t="str">
        <f>IF($A738="","",INDEX('Product Master'!$N$7:$N$1000,MATCH($A738,'Product Master'!$A$7:$A$1000,0)))</f>
        <v/>
      </c>
      <c r="F738" t="str">
        <f>IF($A738="","",INDEX('Product Master'!$P$7:$P$1000,MATCH($A738,'Product Master'!$A$7:$A$1000,0)))</f>
        <v/>
      </c>
      <c r="I738" t="str">
        <f>IFERROR(INDEX('Product Master'!$A$7:$A$1000,_xlfn.AGGREGATE(15,6,(ROW('Product Master'!$A$7:$A$1000)-ROW('Product Master'!$A$7)+1)/(('Product Master'!$A$7:$A$1000&lt;&gt;"")*('Product Master'!$P$7:$P$1000="Out of Stock")),ROWS($I$12:I738))),"")</f>
        <v/>
      </c>
      <c r="J738" t="str">
        <f>IF($I738="","",INDEX('Product Master'!$B$7:$B$1000,MATCH($I738,'Product Master'!$A$7:$A$1000,0)))</f>
        <v/>
      </c>
      <c r="K738" t="str">
        <f>IF($I738="","",INDEX('Product Master'!$C$7:$C$1000,MATCH($I738,'Product Master'!$A$7:$A$1000,0)))</f>
        <v/>
      </c>
      <c r="L738" t="str">
        <f>IF($I738="","",INDEX('Product Master'!$M$7:$M$1000,MATCH($I738,'Product Master'!$A$7:$A$1000,0)))</f>
        <v/>
      </c>
      <c r="M738" t="str">
        <f>IF($I738="","",INDEX('Product Master'!$N$7:$N$1000,MATCH($I738,'Product Master'!$A$7:$A$1000,0)))</f>
        <v/>
      </c>
    </row>
    <row r="739" spans="1:13" x14ac:dyDescent="0.3">
      <c r="A739" t="str">
        <f>IFERROR(INDEX('Product Master'!$A$7:$A$1000,_xlfn.AGGREGATE(15,6,(ROW('Product Master'!$A$7:$A$1000)-ROW('Product Master'!$A$7)+1)/(('Product Master'!$A$7:$A$1000&lt;&gt;"")*('Product Master'!$P$7:$P$1000="Low Stock")),ROWS($A$12:A739))),"")</f>
        <v/>
      </c>
      <c r="B739" t="str">
        <f>IF($A739="","",INDEX('Product Master'!$B$7:$B$1000,MATCH($A739,'Product Master'!$A$7:$A$1000,0)))</f>
        <v/>
      </c>
      <c r="C739" t="str">
        <f>IF($A739="","",INDEX('Product Master'!$C$7:$C$1000,MATCH($A739,'Product Master'!$A$7:$A$1000,0)))</f>
        <v/>
      </c>
      <c r="D739" t="str">
        <f>IF($A739="","",INDEX('Product Master'!$M$7:$M$1000,MATCH($A739,'Product Master'!$A$7:$A$1000,0)))</f>
        <v/>
      </c>
      <c r="E739" t="str">
        <f>IF($A739="","",INDEX('Product Master'!$N$7:$N$1000,MATCH($A739,'Product Master'!$A$7:$A$1000,0)))</f>
        <v/>
      </c>
      <c r="F739" t="str">
        <f>IF($A739="","",INDEX('Product Master'!$P$7:$P$1000,MATCH($A739,'Product Master'!$A$7:$A$1000,0)))</f>
        <v/>
      </c>
      <c r="I739" t="str">
        <f>IFERROR(INDEX('Product Master'!$A$7:$A$1000,_xlfn.AGGREGATE(15,6,(ROW('Product Master'!$A$7:$A$1000)-ROW('Product Master'!$A$7)+1)/(('Product Master'!$A$7:$A$1000&lt;&gt;"")*('Product Master'!$P$7:$P$1000="Out of Stock")),ROWS($I$12:I739))),"")</f>
        <v/>
      </c>
      <c r="J739" t="str">
        <f>IF($I739="","",INDEX('Product Master'!$B$7:$B$1000,MATCH($I739,'Product Master'!$A$7:$A$1000,0)))</f>
        <v/>
      </c>
      <c r="K739" t="str">
        <f>IF($I739="","",INDEX('Product Master'!$C$7:$C$1000,MATCH($I739,'Product Master'!$A$7:$A$1000,0)))</f>
        <v/>
      </c>
      <c r="L739" t="str">
        <f>IF($I739="","",INDEX('Product Master'!$M$7:$M$1000,MATCH($I739,'Product Master'!$A$7:$A$1000,0)))</f>
        <v/>
      </c>
      <c r="M739" t="str">
        <f>IF($I739="","",INDEX('Product Master'!$N$7:$N$1000,MATCH($I739,'Product Master'!$A$7:$A$1000,0)))</f>
        <v/>
      </c>
    </row>
    <row r="740" spans="1:13" x14ac:dyDescent="0.3">
      <c r="A740" t="str">
        <f>IFERROR(INDEX('Product Master'!$A$7:$A$1000,_xlfn.AGGREGATE(15,6,(ROW('Product Master'!$A$7:$A$1000)-ROW('Product Master'!$A$7)+1)/(('Product Master'!$A$7:$A$1000&lt;&gt;"")*('Product Master'!$P$7:$P$1000="Low Stock")),ROWS($A$12:A740))),"")</f>
        <v/>
      </c>
      <c r="B740" t="str">
        <f>IF($A740="","",INDEX('Product Master'!$B$7:$B$1000,MATCH($A740,'Product Master'!$A$7:$A$1000,0)))</f>
        <v/>
      </c>
      <c r="C740" t="str">
        <f>IF($A740="","",INDEX('Product Master'!$C$7:$C$1000,MATCH($A740,'Product Master'!$A$7:$A$1000,0)))</f>
        <v/>
      </c>
      <c r="D740" t="str">
        <f>IF($A740="","",INDEX('Product Master'!$M$7:$M$1000,MATCH($A740,'Product Master'!$A$7:$A$1000,0)))</f>
        <v/>
      </c>
      <c r="E740" t="str">
        <f>IF($A740="","",INDEX('Product Master'!$N$7:$N$1000,MATCH($A740,'Product Master'!$A$7:$A$1000,0)))</f>
        <v/>
      </c>
      <c r="F740" t="str">
        <f>IF($A740="","",INDEX('Product Master'!$P$7:$P$1000,MATCH($A740,'Product Master'!$A$7:$A$1000,0)))</f>
        <v/>
      </c>
      <c r="I740" t="str">
        <f>IFERROR(INDEX('Product Master'!$A$7:$A$1000,_xlfn.AGGREGATE(15,6,(ROW('Product Master'!$A$7:$A$1000)-ROW('Product Master'!$A$7)+1)/(('Product Master'!$A$7:$A$1000&lt;&gt;"")*('Product Master'!$P$7:$P$1000="Out of Stock")),ROWS($I$12:I740))),"")</f>
        <v/>
      </c>
      <c r="J740" t="str">
        <f>IF($I740="","",INDEX('Product Master'!$B$7:$B$1000,MATCH($I740,'Product Master'!$A$7:$A$1000,0)))</f>
        <v/>
      </c>
      <c r="K740" t="str">
        <f>IF($I740="","",INDEX('Product Master'!$C$7:$C$1000,MATCH($I740,'Product Master'!$A$7:$A$1000,0)))</f>
        <v/>
      </c>
      <c r="L740" t="str">
        <f>IF($I740="","",INDEX('Product Master'!$M$7:$M$1000,MATCH($I740,'Product Master'!$A$7:$A$1000,0)))</f>
        <v/>
      </c>
      <c r="M740" t="str">
        <f>IF($I740="","",INDEX('Product Master'!$N$7:$N$1000,MATCH($I740,'Product Master'!$A$7:$A$1000,0)))</f>
        <v/>
      </c>
    </row>
    <row r="741" spans="1:13" x14ac:dyDescent="0.3">
      <c r="A741" t="str">
        <f>IFERROR(INDEX('Product Master'!$A$7:$A$1000,_xlfn.AGGREGATE(15,6,(ROW('Product Master'!$A$7:$A$1000)-ROW('Product Master'!$A$7)+1)/(('Product Master'!$A$7:$A$1000&lt;&gt;"")*('Product Master'!$P$7:$P$1000="Low Stock")),ROWS($A$12:A741))),"")</f>
        <v/>
      </c>
      <c r="B741" t="str">
        <f>IF($A741="","",INDEX('Product Master'!$B$7:$B$1000,MATCH($A741,'Product Master'!$A$7:$A$1000,0)))</f>
        <v/>
      </c>
      <c r="C741" t="str">
        <f>IF($A741="","",INDEX('Product Master'!$C$7:$C$1000,MATCH($A741,'Product Master'!$A$7:$A$1000,0)))</f>
        <v/>
      </c>
      <c r="D741" t="str">
        <f>IF($A741="","",INDEX('Product Master'!$M$7:$M$1000,MATCH($A741,'Product Master'!$A$7:$A$1000,0)))</f>
        <v/>
      </c>
      <c r="E741" t="str">
        <f>IF($A741="","",INDEX('Product Master'!$N$7:$N$1000,MATCH($A741,'Product Master'!$A$7:$A$1000,0)))</f>
        <v/>
      </c>
      <c r="F741" t="str">
        <f>IF($A741="","",INDEX('Product Master'!$P$7:$P$1000,MATCH($A741,'Product Master'!$A$7:$A$1000,0)))</f>
        <v/>
      </c>
      <c r="I741" t="str">
        <f>IFERROR(INDEX('Product Master'!$A$7:$A$1000,_xlfn.AGGREGATE(15,6,(ROW('Product Master'!$A$7:$A$1000)-ROW('Product Master'!$A$7)+1)/(('Product Master'!$A$7:$A$1000&lt;&gt;"")*('Product Master'!$P$7:$P$1000="Out of Stock")),ROWS($I$12:I741))),"")</f>
        <v/>
      </c>
      <c r="J741" t="str">
        <f>IF($I741="","",INDEX('Product Master'!$B$7:$B$1000,MATCH($I741,'Product Master'!$A$7:$A$1000,0)))</f>
        <v/>
      </c>
      <c r="K741" t="str">
        <f>IF($I741="","",INDEX('Product Master'!$C$7:$C$1000,MATCH($I741,'Product Master'!$A$7:$A$1000,0)))</f>
        <v/>
      </c>
      <c r="L741" t="str">
        <f>IF($I741="","",INDEX('Product Master'!$M$7:$M$1000,MATCH($I741,'Product Master'!$A$7:$A$1000,0)))</f>
        <v/>
      </c>
      <c r="M741" t="str">
        <f>IF($I741="","",INDEX('Product Master'!$N$7:$N$1000,MATCH($I741,'Product Master'!$A$7:$A$1000,0)))</f>
        <v/>
      </c>
    </row>
    <row r="742" spans="1:13" x14ac:dyDescent="0.3">
      <c r="A742" t="str">
        <f>IFERROR(INDEX('Product Master'!$A$7:$A$1000,_xlfn.AGGREGATE(15,6,(ROW('Product Master'!$A$7:$A$1000)-ROW('Product Master'!$A$7)+1)/(('Product Master'!$A$7:$A$1000&lt;&gt;"")*('Product Master'!$P$7:$P$1000="Low Stock")),ROWS($A$12:A742))),"")</f>
        <v/>
      </c>
      <c r="B742" t="str">
        <f>IF($A742="","",INDEX('Product Master'!$B$7:$B$1000,MATCH($A742,'Product Master'!$A$7:$A$1000,0)))</f>
        <v/>
      </c>
      <c r="C742" t="str">
        <f>IF($A742="","",INDEX('Product Master'!$C$7:$C$1000,MATCH($A742,'Product Master'!$A$7:$A$1000,0)))</f>
        <v/>
      </c>
      <c r="D742" t="str">
        <f>IF($A742="","",INDEX('Product Master'!$M$7:$M$1000,MATCH($A742,'Product Master'!$A$7:$A$1000,0)))</f>
        <v/>
      </c>
      <c r="E742" t="str">
        <f>IF($A742="","",INDEX('Product Master'!$N$7:$N$1000,MATCH($A742,'Product Master'!$A$7:$A$1000,0)))</f>
        <v/>
      </c>
      <c r="F742" t="str">
        <f>IF($A742="","",INDEX('Product Master'!$P$7:$P$1000,MATCH($A742,'Product Master'!$A$7:$A$1000,0)))</f>
        <v/>
      </c>
      <c r="I742" t="str">
        <f>IFERROR(INDEX('Product Master'!$A$7:$A$1000,_xlfn.AGGREGATE(15,6,(ROW('Product Master'!$A$7:$A$1000)-ROW('Product Master'!$A$7)+1)/(('Product Master'!$A$7:$A$1000&lt;&gt;"")*('Product Master'!$P$7:$P$1000="Out of Stock")),ROWS($I$12:I742))),"")</f>
        <v/>
      </c>
      <c r="J742" t="str">
        <f>IF($I742="","",INDEX('Product Master'!$B$7:$B$1000,MATCH($I742,'Product Master'!$A$7:$A$1000,0)))</f>
        <v/>
      </c>
      <c r="K742" t="str">
        <f>IF($I742="","",INDEX('Product Master'!$C$7:$C$1000,MATCH($I742,'Product Master'!$A$7:$A$1000,0)))</f>
        <v/>
      </c>
      <c r="L742" t="str">
        <f>IF($I742="","",INDEX('Product Master'!$M$7:$M$1000,MATCH($I742,'Product Master'!$A$7:$A$1000,0)))</f>
        <v/>
      </c>
      <c r="M742" t="str">
        <f>IF($I742="","",INDEX('Product Master'!$N$7:$N$1000,MATCH($I742,'Product Master'!$A$7:$A$1000,0)))</f>
        <v/>
      </c>
    </row>
    <row r="743" spans="1:13" x14ac:dyDescent="0.3">
      <c r="A743" t="str">
        <f>IFERROR(INDEX('Product Master'!$A$7:$A$1000,_xlfn.AGGREGATE(15,6,(ROW('Product Master'!$A$7:$A$1000)-ROW('Product Master'!$A$7)+1)/(('Product Master'!$A$7:$A$1000&lt;&gt;"")*('Product Master'!$P$7:$P$1000="Low Stock")),ROWS($A$12:A743))),"")</f>
        <v/>
      </c>
      <c r="B743" t="str">
        <f>IF($A743="","",INDEX('Product Master'!$B$7:$B$1000,MATCH($A743,'Product Master'!$A$7:$A$1000,0)))</f>
        <v/>
      </c>
      <c r="C743" t="str">
        <f>IF($A743="","",INDEX('Product Master'!$C$7:$C$1000,MATCH($A743,'Product Master'!$A$7:$A$1000,0)))</f>
        <v/>
      </c>
      <c r="D743" t="str">
        <f>IF($A743="","",INDEX('Product Master'!$M$7:$M$1000,MATCH($A743,'Product Master'!$A$7:$A$1000,0)))</f>
        <v/>
      </c>
      <c r="E743" t="str">
        <f>IF($A743="","",INDEX('Product Master'!$N$7:$N$1000,MATCH($A743,'Product Master'!$A$7:$A$1000,0)))</f>
        <v/>
      </c>
      <c r="F743" t="str">
        <f>IF($A743="","",INDEX('Product Master'!$P$7:$P$1000,MATCH($A743,'Product Master'!$A$7:$A$1000,0)))</f>
        <v/>
      </c>
      <c r="I743" t="str">
        <f>IFERROR(INDEX('Product Master'!$A$7:$A$1000,_xlfn.AGGREGATE(15,6,(ROW('Product Master'!$A$7:$A$1000)-ROW('Product Master'!$A$7)+1)/(('Product Master'!$A$7:$A$1000&lt;&gt;"")*('Product Master'!$P$7:$P$1000="Out of Stock")),ROWS($I$12:I743))),"")</f>
        <v/>
      </c>
      <c r="J743" t="str">
        <f>IF($I743="","",INDEX('Product Master'!$B$7:$B$1000,MATCH($I743,'Product Master'!$A$7:$A$1000,0)))</f>
        <v/>
      </c>
      <c r="K743" t="str">
        <f>IF($I743="","",INDEX('Product Master'!$C$7:$C$1000,MATCH($I743,'Product Master'!$A$7:$A$1000,0)))</f>
        <v/>
      </c>
      <c r="L743" t="str">
        <f>IF($I743="","",INDEX('Product Master'!$M$7:$M$1000,MATCH($I743,'Product Master'!$A$7:$A$1000,0)))</f>
        <v/>
      </c>
      <c r="M743" t="str">
        <f>IF($I743="","",INDEX('Product Master'!$N$7:$N$1000,MATCH($I743,'Product Master'!$A$7:$A$1000,0)))</f>
        <v/>
      </c>
    </row>
    <row r="744" spans="1:13" x14ac:dyDescent="0.3">
      <c r="A744" t="str">
        <f>IFERROR(INDEX('Product Master'!$A$7:$A$1000,_xlfn.AGGREGATE(15,6,(ROW('Product Master'!$A$7:$A$1000)-ROW('Product Master'!$A$7)+1)/(('Product Master'!$A$7:$A$1000&lt;&gt;"")*('Product Master'!$P$7:$P$1000="Low Stock")),ROWS($A$12:A744))),"")</f>
        <v/>
      </c>
      <c r="B744" t="str">
        <f>IF($A744="","",INDEX('Product Master'!$B$7:$B$1000,MATCH($A744,'Product Master'!$A$7:$A$1000,0)))</f>
        <v/>
      </c>
      <c r="C744" t="str">
        <f>IF($A744="","",INDEX('Product Master'!$C$7:$C$1000,MATCH($A744,'Product Master'!$A$7:$A$1000,0)))</f>
        <v/>
      </c>
      <c r="D744" t="str">
        <f>IF($A744="","",INDEX('Product Master'!$M$7:$M$1000,MATCH($A744,'Product Master'!$A$7:$A$1000,0)))</f>
        <v/>
      </c>
      <c r="E744" t="str">
        <f>IF($A744="","",INDEX('Product Master'!$N$7:$N$1000,MATCH($A744,'Product Master'!$A$7:$A$1000,0)))</f>
        <v/>
      </c>
      <c r="F744" t="str">
        <f>IF($A744="","",INDEX('Product Master'!$P$7:$P$1000,MATCH($A744,'Product Master'!$A$7:$A$1000,0)))</f>
        <v/>
      </c>
      <c r="I744" t="str">
        <f>IFERROR(INDEX('Product Master'!$A$7:$A$1000,_xlfn.AGGREGATE(15,6,(ROW('Product Master'!$A$7:$A$1000)-ROW('Product Master'!$A$7)+1)/(('Product Master'!$A$7:$A$1000&lt;&gt;"")*('Product Master'!$P$7:$P$1000="Out of Stock")),ROWS($I$12:I744))),"")</f>
        <v/>
      </c>
      <c r="J744" t="str">
        <f>IF($I744="","",INDEX('Product Master'!$B$7:$B$1000,MATCH($I744,'Product Master'!$A$7:$A$1000,0)))</f>
        <v/>
      </c>
      <c r="K744" t="str">
        <f>IF($I744="","",INDEX('Product Master'!$C$7:$C$1000,MATCH($I744,'Product Master'!$A$7:$A$1000,0)))</f>
        <v/>
      </c>
      <c r="L744" t="str">
        <f>IF($I744="","",INDEX('Product Master'!$M$7:$M$1000,MATCH($I744,'Product Master'!$A$7:$A$1000,0)))</f>
        <v/>
      </c>
      <c r="M744" t="str">
        <f>IF($I744="","",INDEX('Product Master'!$N$7:$N$1000,MATCH($I744,'Product Master'!$A$7:$A$1000,0)))</f>
        <v/>
      </c>
    </row>
    <row r="745" spans="1:13" x14ac:dyDescent="0.3">
      <c r="A745" t="str">
        <f>IFERROR(INDEX('Product Master'!$A$7:$A$1000,_xlfn.AGGREGATE(15,6,(ROW('Product Master'!$A$7:$A$1000)-ROW('Product Master'!$A$7)+1)/(('Product Master'!$A$7:$A$1000&lt;&gt;"")*('Product Master'!$P$7:$P$1000="Low Stock")),ROWS($A$12:A745))),"")</f>
        <v/>
      </c>
      <c r="B745" t="str">
        <f>IF($A745="","",INDEX('Product Master'!$B$7:$B$1000,MATCH($A745,'Product Master'!$A$7:$A$1000,0)))</f>
        <v/>
      </c>
      <c r="C745" t="str">
        <f>IF($A745="","",INDEX('Product Master'!$C$7:$C$1000,MATCH($A745,'Product Master'!$A$7:$A$1000,0)))</f>
        <v/>
      </c>
      <c r="D745" t="str">
        <f>IF($A745="","",INDEX('Product Master'!$M$7:$M$1000,MATCH($A745,'Product Master'!$A$7:$A$1000,0)))</f>
        <v/>
      </c>
      <c r="E745" t="str">
        <f>IF($A745="","",INDEX('Product Master'!$N$7:$N$1000,MATCH($A745,'Product Master'!$A$7:$A$1000,0)))</f>
        <v/>
      </c>
      <c r="F745" t="str">
        <f>IF($A745="","",INDEX('Product Master'!$P$7:$P$1000,MATCH($A745,'Product Master'!$A$7:$A$1000,0)))</f>
        <v/>
      </c>
      <c r="I745" t="str">
        <f>IFERROR(INDEX('Product Master'!$A$7:$A$1000,_xlfn.AGGREGATE(15,6,(ROW('Product Master'!$A$7:$A$1000)-ROW('Product Master'!$A$7)+1)/(('Product Master'!$A$7:$A$1000&lt;&gt;"")*('Product Master'!$P$7:$P$1000="Out of Stock")),ROWS($I$12:I745))),"")</f>
        <v/>
      </c>
      <c r="J745" t="str">
        <f>IF($I745="","",INDEX('Product Master'!$B$7:$B$1000,MATCH($I745,'Product Master'!$A$7:$A$1000,0)))</f>
        <v/>
      </c>
      <c r="K745" t="str">
        <f>IF($I745="","",INDEX('Product Master'!$C$7:$C$1000,MATCH($I745,'Product Master'!$A$7:$A$1000,0)))</f>
        <v/>
      </c>
      <c r="L745" t="str">
        <f>IF($I745="","",INDEX('Product Master'!$M$7:$M$1000,MATCH($I745,'Product Master'!$A$7:$A$1000,0)))</f>
        <v/>
      </c>
      <c r="M745" t="str">
        <f>IF($I745="","",INDEX('Product Master'!$N$7:$N$1000,MATCH($I745,'Product Master'!$A$7:$A$1000,0)))</f>
        <v/>
      </c>
    </row>
    <row r="746" spans="1:13" x14ac:dyDescent="0.3">
      <c r="A746" t="str">
        <f>IFERROR(INDEX('Product Master'!$A$7:$A$1000,_xlfn.AGGREGATE(15,6,(ROW('Product Master'!$A$7:$A$1000)-ROW('Product Master'!$A$7)+1)/(('Product Master'!$A$7:$A$1000&lt;&gt;"")*('Product Master'!$P$7:$P$1000="Low Stock")),ROWS($A$12:A746))),"")</f>
        <v/>
      </c>
      <c r="B746" t="str">
        <f>IF($A746="","",INDEX('Product Master'!$B$7:$B$1000,MATCH($A746,'Product Master'!$A$7:$A$1000,0)))</f>
        <v/>
      </c>
      <c r="C746" t="str">
        <f>IF($A746="","",INDEX('Product Master'!$C$7:$C$1000,MATCH($A746,'Product Master'!$A$7:$A$1000,0)))</f>
        <v/>
      </c>
      <c r="D746" t="str">
        <f>IF($A746="","",INDEX('Product Master'!$M$7:$M$1000,MATCH($A746,'Product Master'!$A$7:$A$1000,0)))</f>
        <v/>
      </c>
      <c r="E746" t="str">
        <f>IF($A746="","",INDEX('Product Master'!$N$7:$N$1000,MATCH($A746,'Product Master'!$A$7:$A$1000,0)))</f>
        <v/>
      </c>
      <c r="F746" t="str">
        <f>IF($A746="","",INDEX('Product Master'!$P$7:$P$1000,MATCH($A746,'Product Master'!$A$7:$A$1000,0)))</f>
        <v/>
      </c>
      <c r="I746" t="str">
        <f>IFERROR(INDEX('Product Master'!$A$7:$A$1000,_xlfn.AGGREGATE(15,6,(ROW('Product Master'!$A$7:$A$1000)-ROW('Product Master'!$A$7)+1)/(('Product Master'!$A$7:$A$1000&lt;&gt;"")*('Product Master'!$P$7:$P$1000="Out of Stock")),ROWS($I$12:I746))),"")</f>
        <v/>
      </c>
      <c r="J746" t="str">
        <f>IF($I746="","",INDEX('Product Master'!$B$7:$B$1000,MATCH($I746,'Product Master'!$A$7:$A$1000,0)))</f>
        <v/>
      </c>
      <c r="K746" t="str">
        <f>IF($I746="","",INDEX('Product Master'!$C$7:$C$1000,MATCH($I746,'Product Master'!$A$7:$A$1000,0)))</f>
        <v/>
      </c>
      <c r="L746" t="str">
        <f>IF($I746="","",INDEX('Product Master'!$M$7:$M$1000,MATCH($I746,'Product Master'!$A$7:$A$1000,0)))</f>
        <v/>
      </c>
      <c r="M746" t="str">
        <f>IF($I746="","",INDEX('Product Master'!$N$7:$N$1000,MATCH($I746,'Product Master'!$A$7:$A$1000,0)))</f>
        <v/>
      </c>
    </row>
    <row r="747" spans="1:13" x14ac:dyDescent="0.3">
      <c r="A747" t="str">
        <f>IFERROR(INDEX('Product Master'!$A$7:$A$1000,_xlfn.AGGREGATE(15,6,(ROW('Product Master'!$A$7:$A$1000)-ROW('Product Master'!$A$7)+1)/(('Product Master'!$A$7:$A$1000&lt;&gt;"")*('Product Master'!$P$7:$P$1000="Low Stock")),ROWS($A$12:A747))),"")</f>
        <v/>
      </c>
      <c r="B747" t="str">
        <f>IF($A747="","",INDEX('Product Master'!$B$7:$B$1000,MATCH($A747,'Product Master'!$A$7:$A$1000,0)))</f>
        <v/>
      </c>
      <c r="C747" t="str">
        <f>IF($A747="","",INDEX('Product Master'!$C$7:$C$1000,MATCH($A747,'Product Master'!$A$7:$A$1000,0)))</f>
        <v/>
      </c>
      <c r="D747" t="str">
        <f>IF($A747="","",INDEX('Product Master'!$M$7:$M$1000,MATCH($A747,'Product Master'!$A$7:$A$1000,0)))</f>
        <v/>
      </c>
      <c r="E747" t="str">
        <f>IF($A747="","",INDEX('Product Master'!$N$7:$N$1000,MATCH($A747,'Product Master'!$A$7:$A$1000,0)))</f>
        <v/>
      </c>
      <c r="F747" t="str">
        <f>IF($A747="","",INDEX('Product Master'!$P$7:$P$1000,MATCH($A747,'Product Master'!$A$7:$A$1000,0)))</f>
        <v/>
      </c>
      <c r="I747" t="str">
        <f>IFERROR(INDEX('Product Master'!$A$7:$A$1000,_xlfn.AGGREGATE(15,6,(ROW('Product Master'!$A$7:$A$1000)-ROW('Product Master'!$A$7)+1)/(('Product Master'!$A$7:$A$1000&lt;&gt;"")*('Product Master'!$P$7:$P$1000="Out of Stock")),ROWS($I$12:I747))),"")</f>
        <v/>
      </c>
      <c r="J747" t="str">
        <f>IF($I747="","",INDEX('Product Master'!$B$7:$B$1000,MATCH($I747,'Product Master'!$A$7:$A$1000,0)))</f>
        <v/>
      </c>
      <c r="K747" t="str">
        <f>IF($I747="","",INDEX('Product Master'!$C$7:$C$1000,MATCH($I747,'Product Master'!$A$7:$A$1000,0)))</f>
        <v/>
      </c>
      <c r="L747" t="str">
        <f>IF($I747="","",INDEX('Product Master'!$M$7:$M$1000,MATCH($I747,'Product Master'!$A$7:$A$1000,0)))</f>
        <v/>
      </c>
      <c r="M747" t="str">
        <f>IF($I747="","",INDEX('Product Master'!$N$7:$N$1000,MATCH($I747,'Product Master'!$A$7:$A$1000,0)))</f>
        <v/>
      </c>
    </row>
    <row r="748" spans="1:13" x14ac:dyDescent="0.3">
      <c r="A748" t="str">
        <f>IFERROR(INDEX('Product Master'!$A$7:$A$1000,_xlfn.AGGREGATE(15,6,(ROW('Product Master'!$A$7:$A$1000)-ROW('Product Master'!$A$7)+1)/(('Product Master'!$A$7:$A$1000&lt;&gt;"")*('Product Master'!$P$7:$P$1000="Low Stock")),ROWS($A$12:A748))),"")</f>
        <v/>
      </c>
      <c r="B748" t="str">
        <f>IF($A748="","",INDEX('Product Master'!$B$7:$B$1000,MATCH($A748,'Product Master'!$A$7:$A$1000,0)))</f>
        <v/>
      </c>
      <c r="C748" t="str">
        <f>IF($A748="","",INDEX('Product Master'!$C$7:$C$1000,MATCH($A748,'Product Master'!$A$7:$A$1000,0)))</f>
        <v/>
      </c>
      <c r="D748" t="str">
        <f>IF($A748="","",INDEX('Product Master'!$M$7:$M$1000,MATCH($A748,'Product Master'!$A$7:$A$1000,0)))</f>
        <v/>
      </c>
      <c r="E748" t="str">
        <f>IF($A748="","",INDEX('Product Master'!$N$7:$N$1000,MATCH($A748,'Product Master'!$A$7:$A$1000,0)))</f>
        <v/>
      </c>
      <c r="F748" t="str">
        <f>IF($A748="","",INDEX('Product Master'!$P$7:$P$1000,MATCH($A748,'Product Master'!$A$7:$A$1000,0)))</f>
        <v/>
      </c>
      <c r="I748" t="str">
        <f>IFERROR(INDEX('Product Master'!$A$7:$A$1000,_xlfn.AGGREGATE(15,6,(ROW('Product Master'!$A$7:$A$1000)-ROW('Product Master'!$A$7)+1)/(('Product Master'!$A$7:$A$1000&lt;&gt;"")*('Product Master'!$P$7:$P$1000="Out of Stock")),ROWS($I$12:I748))),"")</f>
        <v/>
      </c>
      <c r="J748" t="str">
        <f>IF($I748="","",INDEX('Product Master'!$B$7:$B$1000,MATCH($I748,'Product Master'!$A$7:$A$1000,0)))</f>
        <v/>
      </c>
      <c r="K748" t="str">
        <f>IF($I748="","",INDEX('Product Master'!$C$7:$C$1000,MATCH($I748,'Product Master'!$A$7:$A$1000,0)))</f>
        <v/>
      </c>
      <c r="L748" t="str">
        <f>IF($I748="","",INDEX('Product Master'!$M$7:$M$1000,MATCH($I748,'Product Master'!$A$7:$A$1000,0)))</f>
        <v/>
      </c>
      <c r="M748" t="str">
        <f>IF($I748="","",INDEX('Product Master'!$N$7:$N$1000,MATCH($I748,'Product Master'!$A$7:$A$1000,0)))</f>
        <v/>
      </c>
    </row>
    <row r="749" spans="1:13" x14ac:dyDescent="0.3">
      <c r="A749" t="str">
        <f>IFERROR(INDEX('Product Master'!$A$7:$A$1000,_xlfn.AGGREGATE(15,6,(ROW('Product Master'!$A$7:$A$1000)-ROW('Product Master'!$A$7)+1)/(('Product Master'!$A$7:$A$1000&lt;&gt;"")*('Product Master'!$P$7:$P$1000="Low Stock")),ROWS($A$12:A749))),"")</f>
        <v/>
      </c>
      <c r="B749" t="str">
        <f>IF($A749="","",INDEX('Product Master'!$B$7:$B$1000,MATCH($A749,'Product Master'!$A$7:$A$1000,0)))</f>
        <v/>
      </c>
      <c r="C749" t="str">
        <f>IF($A749="","",INDEX('Product Master'!$C$7:$C$1000,MATCH($A749,'Product Master'!$A$7:$A$1000,0)))</f>
        <v/>
      </c>
      <c r="D749" t="str">
        <f>IF($A749="","",INDEX('Product Master'!$M$7:$M$1000,MATCH($A749,'Product Master'!$A$7:$A$1000,0)))</f>
        <v/>
      </c>
      <c r="E749" t="str">
        <f>IF($A749="","",INDEX('Product Master'!$N$7:$N$1000,MATCH($A749,'Product Master'!$A$7:$A$1000,0)))</f>
        <v/>
      </c>
      <c r="F749" t="str">
        <f>IF($A749="","",INDEX('Product Master'!$P$7:$P$1000,MATCH($A749,'Product Master'!$A$7:$A$1000,0)))</f>
        <v/>
      </c>
      <c r="I749" t="str">
        <f>IFERROR(INDEX('Product Master'!$A$7:$A$1000,_xlfn.AGGREGATE(15,6,(ROW('Product Master'!$A$7:$A$1000)-ROW('Product Master'!$A$7)+1)/(('Product Master'!$A$7:$A$1000&lt;&gt;"")*('Product Master'!$P$7:$P$1000="Out of Stock")),ROWS($I$12:I749))),"")</f>
        <v/>
      </c>
      <c r="J749" t="str">
        <f>IF($I749="","",INDEX('Product Master'!$B$7:$B$1000,MATCH($I749,'Product Master'!$A$7:$A$1000,0)))</f>
        <v/>
      </c>
      <c r="K749" t="str">
        <f>IF($I749="","",INDEX('Product Master'!$C$7:$C$1000,MATCH($I749,'Product Master'!$A$7:$A$1000,0)))</f>
        <v/>
      </c>
      <c r="L749" t="str">
        <f>IF($I749="","",INDEX('Product Master'!$M$7:$M$1000,MATCH($I749,'Product Master'!$A$7:$A$1000,0)))</f>
        <v/>
      </c>
      <c r="M749" t="str">
        <f>IF($I749="","",INDEX('Product Master'!$N$7:$N$1000,MATCH($I749,'Product Master'!$A$7:$A$1000,0)))</f>
        <v/>
      </c>
    </row>
    <row r="750" spans="1:13" x14ac:dyDescent="0.3">
      <c r="A750" t="str">
        <f>IFERROR(INDEX('Product Master'!$A$7:$A$1000,_xlfn.AGGREGATE(15,6,(ROW('Product Master'!$A$7:$A$1000)-ROW('Product Master'!$A$7)+1)/(('Product Master'!$A$7:$A$1000&lt;&gt;"")*('Product Master'!$P$7:$P$1000="Low Stock")),ROWS($A$12:A750))),"")</f>
        <v/>
      </c>
      <c r="B750" t="str">
        <f>IF($A750="","",INDEX('Product Master'!$B$7:$B$1000,MATCH($A750,'Product Master'!$A$7:$A$1000,0)))</f>
        <v/>
      </c>
      <c r="C750" t="str">
        <f>IF($A750="","",INDEX('Product Master'!$C$7:$C$1000,MATCH($A750,'Product Master'!$A$7:$A$1000,0)))</f>
        <v/>
      </c>
      <c r="D750" t="str">
        <f>IF($A750="","",INDEX('Product Master'!$M$7:$M$1000,MATCH($A750,'Product Master'!$A$7:$A$1000,0)))</f>
        <v/>
      </c>
      <c r="E750" t="str">
        <f>IF($A750="","",INDEX('Product Master'!$N$7:$N$1000,MATCH($A750,'Product Master'!$A$7:$A$1000,0)))</f>
        <v/>
      </c>
      <c r="F750" t="str">
        <f>IF($A750="","",INDEX('Product Master'!$P$7:$P$1000,MATCH($A750,'Product Master'!$A$7:$A$1000,0)))</f>
        <v/>
      </c>
      <c r="I750" t="str">
        <f>IFERROR(INDEX('Product Master'!$A$7:$A$1000,_xlfn.AGGREGATE(15,6,(ROW('Product Master'!$A$7:$A$1000)-ROW('Product Master'!$A$7)+1)/(('Product Master'!$A$7:$A$1000&lt;&gt;"")*('Product Master'!$P$7:$P$1000="Out of Stock")),ROWS($I$12:I750))),"")</f>
        <v/>
      </c>
      <c r="J750" t="str">
        <f>IF($I750="","",INDEX('Product Master'!$B$7:$B$1000,MATCH($I750,'Product Master'!$A$7:$A$1000,0)))</f>
        <v/>
      </c>
      <c r="K750" t="str">
        <f>IF($I750="","",INDEX('Product Master'!$C$7:$C$1000,MATCH($I750,'Product Master'!$A$7:$A$1000,0)))</f>
        <v/>
      </c>
      <c r="L750" t="str">
        <f>IF($I750="","",INDEX('Product Master'!$M$7:$M$1000,MATCH($I750,'Product Master'!$A$7:$A$1000,0)))</f>
        <v/>
      </c>
      <c r="M750" t="str">
        <f>IF($I750="","",INDEX('Product Master'!$N$7:$N$1000,MATCH($I750,'Product Master'!$A$7:$A$1000,0)))</f>
        <v/>
      </c>
    </row>
    <row r="751" spans="1:13" x14ac:dyDescent="0.3">
      <c r="A751" t="str">
        <f>IFERROR(INDEX('Product Master'!$A$7:$A$1000,_xlfn.AGGREGATE(15,6,(ROW('Product Master'!$A$7:$A$1000)-ROW('Product Master'!$A$7)+1)/(('Product Master'!$A$7:$A$1000&lt;&gt;"")*('Product Master'!$P$7:$P$1000="Low Stock")),ROWS($A$12:A751))),"")</f>
        <v/>
      </c>
      <c r="B751" t="str">
        <f>IF($A751="","",INDEX('Product Master'!$B$7:$B$1000,MATCH($A751,'Product Master'!$A$7:$A$1000,0)))</f>
        <v/>
      </c>
      <c r="C751" t="str">
        <f>IF($A751="","",INDEX('Product Master'!$C$7:$C$1000,MATCH($A751,'Product Master'!$A$7:$A$1000,0)))</f>
        <v/>
      </c>
      <c r="D751" t="str">
        <f>IF($A751="","",INDEX('Product Master'!$M$7:$M$1000,MATCH($A751,'Product Master'!$A$7:$A$1000,0)))</f>
        <v/>
      </c>
      <c r="E751" t="str">
        <f>IF($A751="","",INDEX('Product Master'!$N$7:$N$1000,MATCH($A751,'Product Master'!$A$7:$A$1000,0)))</f>
        <v/>
      </c>
      <c r="F751" t="str">
        <f>IF($A751="","",INDEX('Product Master'!$P$7:$P$1000,MATCH($A751,'Product Master'!$A$7:$A$1000,0)))</f>
        <v/>
      </c>
      <c r="I751" t="str">
        <f>IFERROR(INDEX('Product Master'!$A$7:$A$1000,_xlfn.AGGREGATE(15,6,(ROW('Product Master'!$A$7:$A$1000)-ROW('Product Master'!$A$7)+1)/(('Product Master'!$A$7:$A$1000&lt;&gt;"")*('Product Master'!$P$7:$P$1000="Out of Stock")),ROWS($I$12:I751))),"")</f>
        <v/>
      </c>
      <c r="J751" t="str">
        <f>IF($I751="","",INDEX('Product Master'!$B$7:$B$1000,MATCH($I751,'Product Master'!$A$7:$A$1000,0)))</f>
        <v/>
      </c>
      <c r="K751" t="str">
        <f>IF($I751="","",INDEX('Product Master'!$C$7:$C$1000,MATCH($I751,'Product Master'!$A$7:$A$1000,0)))</f>
        <v/>
      </c>
      <c r="L751" t="str">
        <f>IF($I751="","",INDEX('Product Master'!$M$7:$M$1000,MATCH($I751,'Product Master'!$A$7:$A$1000,0)))</f>
        <v/>
      </c>
      <c r="M751" t="str">
        <f>IF($I751="","",INDEX('Product Master'!$N$7:$N$1000,MATCH($I751,'Product Master'!$A$7:$A$1000,0)))</f>
        <v/>
      </c>
    </row>
    <row r="752" spans="1:13" x14ac:dyDescent="0.3">
      <c r="A752" t="str">
        <f>IFERROR(INDEX('Product Master'!$A$7:$A$1000,_xlfn.AGGREGATE(15,6,(ROW('Product Master'!$A$7:$A$1000)-ROW('Product Master'!$A$7)+1)/(('Product Master'!$A$7:$A$1000&lt;&gt;"")*('Product Master'!$P$7:$P$1000="Low Stock")),ROWS($A$12:A752))),"")</f>
        <v/>
      </c>
      <c r="B752" t="str">
        <f>IF($A752="","",INDEX('Product Master'!$B$7:$B$1000,MATCH($A752,'Product Master'!$A$7:$A$1000,0)))</f>
        <v/>
      </c>
      <c r="C752" t="str">
        <f>IF($A752="","",INDEX('Product Master'!$C$7:$C$1000,MATCH($A752,'Product Master'!$A$7:$A$1000,0)))</f>
        <v/>
      </c>
      <c r="D752" t="str">
        <f>IF($A752="","",INDEX('Product Master'!$M$7:$M$1000,MATCH($A752,'Product Master'!$A$7:$A$1000,0)))</f>
        <v/>
      </c>
      <c r="E752" t="str">
        <f>IF($A752="","",INDEX('Product Master'!$N$7:$N$1000,MATCH($A752,'Product Master'!$A$7:$A$1000,0)))</f>
        <v/>
      </c>
      <c r="F752" t="str">
        <f>IF($A752="","",INDEX('Product Master'!$P$7:$P$1000,MATCH($A752,'Product Master'!$A$7:$A$1000,0)))</f>
        <v/>
      </c>
      <c r="I752" t="str">
        <f>IFERROR(INDEX('Product Master'!$A$7:$A$1000,_xlfn.AGGREGATE(15,6,(ROW('Product Master'!$A$7:$A$1000)-ROW('Product Master'!$A$7)+1)/(('Product Master'!$A$7:$A$1000&lt;&gt;"")*('Product Master'!$P$7:$P$1000="Out of Stock")),ROWS($I$12:I752))),"")</f>
        <v/>
      </c>
      <c r="J752" t="str">
        <f>IF($I752="","",INDEX('Product Master'!$B$7:$B$1000,MATCH($I752,'Product Master'!$A$7:$A$1000,0)))</f>
        <v/>
      </c>
      <c r="K752" t="str">
        <f>IF($I752="","",INDEX('Product Master'!$C$7:$C$1000,MATCH($I752,'Product Master'!$A$7:$A$1000,0)))</f>
        <v/>
      </c>
      <c r="L752" t="str">
        <f>IF($I752="","",INDEX('Product Master'!$M$7:$M$1000,MATCH($I752,'Product Master'!$A$7:$A$1000,0)))</f>
        <v/>
      </c>
      <c r="M752" t="str">
        <f>IF($I752="","",INDEX('Product Master'!$N$7:$N$1000,MATCH($I752,'Product Master'!$A$7:$A$1000,0)))</f>
        <v/>
      </c>
    </row>
    <row r="753" spans="1:13" x14ac:dyDescent="0.3">
      <c r="A753" t="str">
        <f>IFERROR(INDEX('Product Master'!$A$7:$A$1000,_xlfn.AGGREGATE(15,6,(ROW('Product Master'!$A$7:$A$1000)-ROW('Product Master'!$A$7)+1)/(('Product Master'!$A$7:$A$1000&lt;&gt;"")*('Product Master'!$P$7:$P$1000="Low Stock")),ROWS($A$12:A753))),"")</f>
        <v/>
      </c>
      <c r="B753" t="str">
        <f>IF($A753="","",INDEX('Product Master'!$B$7:$B$1000,MATCH($A753,'Product Master'!$A$7:$A$1000,0)))</f>
        <v/>
      </c>
      <c r="C753" t="str">
        <f>IF($A753="","",INDEX('Product Master'!$C$7:$C$1000,MATCH($A753,'Product Master'!$A$7:$A$1000,0)))</f>
        <v/>
      </c>
      <c r="D753" t="str">
        <f>IF($A753="","",INDEX('Product Master'!$M$7:$M$1000,MATCH($A753,'Product Master'!$A$7:$A$1000,0)))</f>
        <v/>
      </c>
      <c r="E753" t="str">
        <f>IF($A753="","",INDEX('Product Master'!$N$7:$N$1000,MATCH($A753,'Product Master'!$A$7:$A$1000,0)))</f>
        <v/>
      </c>
      <c r="F753" t="str">
        <f>IF($A753="","",INDEX('Product Master'!$P$7:$P$1000,MATCH($A753,'Product Master'!$A$7:$A$1000,0)))</f>
        <v/>
      </c>
      <c r="I753" t="str">
        <f>IFERROR(INDEX('Product Master'!$A$7:$A$1000,_xlfn.AGGREGATE(15,6,(ROW('Product Master'!$A$7:$A$1000)-ROW('Product Master'!$A$7)+1)/(('Product Master'!$A$7:$A$1000&lt;&gt;"")*('Product Master'!$P$7:$P$1000="Out of Stock")),ROWS($I$12:I753))),"")</f>
        <v/>
      </c>
      <c r="J753" t="str">
        <f>IF($I753="","",INDEX('Product Master'!$B$7:$B$1000,MATCH($I753,'Product Master'!$A$7:$A$1000,0)))</f>
        <v/>
      </c>
      <c r="K753" t="str">
        <f>IF($I753="","",INDEX('Product Master'!$C$7:$C$1000,MATCH($I753,'Product Master'!$A$7:$A$1000,0)))</f>
        <v/>
      </c>
      <c r="L753" t="str">
        <f>IF($I753="","",INDEX('Product Master'!$M$7:$M$1000,MATCH($I753,'Product Master'!$A$7:$A$1000,0)))</f>
        <v/>
      </c>
      <c r="M753" t="str">
        <f>IF($I753="","",INDEX('Product Master'!$N$7:$N$1000,MATCH($I753,'Product Master'!$A$7:$A$1000,0)))</f>
        <v/>
      </c>
    </row>
    <row r="754" spans="1:13" x14ac:dyDescent="0.3">
      <c r="A754" t="str">
        <f>IFERROR(INDEX('Product Master'!$A$7:$A$1000,_xlfn.AGGREGATE(15,6,(ROW('Product Master'!$A$7:$A$1000)-ROW('Product Master'!$A$7)+1)/(('Product Master'!$A$7:$A$1000&lt;&gt;"")*('Product Master'!$P$7:$P$1000="Low Stock")),ROWS($A$12:A754))),"")</f>
        <v/>
      </c>
      <c r="B754" t="str">
        <f>IF($A754="","",INDEX('Product Master'!$B$7:$B$1000,MATCH($A754,'Product Master'!$A$7:$A$1000,0)))</f>
        <v/>
      </c>
      <c r="C754" t="str">
        <f>IF($A754="","",INDEX('Product Master'!$C$7:$C$1000,MATCH($A754,'Product Master'!$A$7:$A$1000,0)))</f>
        <v/>
      </c>
      <c r="D754" t="str">
        <f>IF($A754="","",INDEX('Product Master'!$M$7:$M$1000,MATCH($A754,'Product Master'!$A$7:$A$1000,0)))</f>
        <v/>
      </c>
      <c r="E754" t="str">
        <f>IF($A754="","",INDEX('Product Master'!$N$7:$N$1000,MATCH($A754,'Product Master'!$A$7:$A$1000,0)))</f>
        <v/>
      </c>
      <c r="F754" t="str">
        <f>IF($A754="","",INDEX('Product Master'!$P$7:$P$1000,MATCH($A754,'Product Master'!$A$7:$A$1000,0)))</f>
        <v/>
      </c>
      <c r="I754" t="str">
        <f>IFERROR(INDEX('Product Master'!$A$7:$A$1000,_xlfn.AGGREGATE(15,6,(ROW('Product Master'!$A$7:$A$1000)-ROW('Product Master'!$A$7)+1)/(('Product Master'!$A$7:$A$1000&lt;&gt;"")*('Product Master'!$P$7:$P$1000="Out of Stock")),ROWS($I$12:I754))),"")</f>
        <v/>
      </c>
      <c r="J754" t="str">
        <f>IF($I754="","",INDEX('Product Master'!$B$7:$B$1000,MATCH($I754,'Product Master'!$A$7:$A$1000,0)))</f>
        <v/>
      </c>
      <c r="K754" t="str">
        <f>IF($I754="","",INDEX('Product Master'!$C$7:$C$1000,MATCH($I754,'Product Master'!$A$7:$A$1000,0)))</f>
        <v/>
      </c>
      <c r="L754" t="str">
        <f>IF($I754="","",INDEX('Product Master'!$M$7:$M$1000,MATCH($I754,'Product Master'!$A$7:$A$1000,0)))</f>
        <v/>
      </c>
      <c r="M754" t="str">
        <f>IF($I754="","",INDEX('Product Master'!$N$7:$N$1000,MATCH($I754,'Product Master'!$A$7:$A$1000,0)))</f>
        <v/>
      </c>
    </row>
    <row r="755" spans="1:13" x14ac:dyDescent="0.3">
      <c r="A755" t="str">
        <f>IFERROR(INDEX('Product Master'!$A$7:$A$1000,_xlfn.AGGREGATE(15,6,(ROW('Product Master'!$A$7:$A$1000)-ROW('Product Master'!$A$7)+1)/(('Product Master'!$A$7:$A$1000&lt;&gt;"")*('Product Master'!$P$7:$P$1000="Low Stock")),ROWS($A$12:A755))),"")</f>
        <v/>
      </c>
      <c r="B755" t="str">
        <f>IF($A755="","",INDEX('Product Master'!$B$7:$B$1000,MATCH($A755,'Product Master'!$A$7:$A$1000,0)))</f>
        <v/>
      </c>
      <c r="C755" t="str">
        <f>IF($A755="","",INDEX('Product Master'!$C$7:$C$1000,MATCH($A755,'Product Master'!$A$7:$A$1000,0)))</f>
        <v/>
      </c>
      <c r="D755" t="str">
        <f>IF($A755="","",INDEX('Product Master'!$M$7:$M$1000,MATCH($A755,'Product Master'!$A$7:$A$1000,0)))</f>
        <v/>
      </c>
      <c r="E755" t="str">
        <f>IF($A755="","",INDEX('Product Master'!$N$7:$N$1000,MATCH($A755,'Product Master'!$A$7:$A$1000,0)))</f>
        <v/>
      </c>
      <c r="F755" t="str">
        <f>IF($A755="","",INDEX('Product Master'!$P$7:$P$1000,MATCH($A755,'Product Master'!$A$7:$A$1000,0)))</f>
        <v/>
      </c>
      <c r="I755" t="str">
        <f>IFERROR(INDEX('Product Master'!$A$7:$A$1000,_xlfn.AGGREGATE(15,6,(ROW('Product Master'!$A$7:$A$1000)-ROW('Product Master'!$A$7)+1)/(('Product Master'!$A$7:$A$1000&lt;&gt;"")*('Product Master'!$P$7:$P$1000="Out of Stock")),ROWS($I$12:I755))),"")</f>
        <v/>
      </c>
      <c r="J755" t="str">
        <f>IF($I755="","",INDEX('Product Master'!$B$7:$B$1000,MATCH($I755,'Product Master'!$A$7:$A$1000,0)))</f>
        <v/>
      </c>
      <c r="K755" t="str">
        <f>IF($I755="","",INDEX('Product Master'!$C$7:$C$1000,MATCH($I755,'Product Master'!$A$7:$A$1000,0)))</f>
        <v/>
      </c>
      <c r="L755" t="str">
        <f>IF($I755="","",INDEX('Product Master'!$M$7:$M$1000,MATCH($I755,'Product Master'!$A$7:$A$1000,0)))</f>
        <v/>
      </c>
      <c r="M755" t="str">
        <f>IF($I755="","",INDEX('Product Master'!$N$7:$N$1000,MATCH($I755,'Product Master'!$A$7:$A$1000,0)))</f>
        <v/>
      </c>
    </row>
    <row r="756" spans="1:13" x14ac:dyDescent="0.3">
      <c r="A756" t="str">
        <f>IFERROR(INDEX('Product Master'!$A$7:$A$1000,_xlfn.AGGREGATE(15,6,(ROW('Product Master'!$A$7:$A$1000)-ROW('Product Master'!$A$7)+1)/(('Product Master'!$A$7:$A$1000&lt;&gt;"")*('Product Master'!$P$7:$P$1000="Low Stock")),ROWS($A$12:A756))),"")</f>
        <v/>
      </c>
      <c r="B756" t="str">
        <f>IF($A756="","",INDEX('Product Master'!$B$7:$B$1000,MATCH($A756,'Product Master'!$A$7:$A$1000,0)))</f>
        <v/>
      </c>
      <c r="C756" t="str">
        <f>IF($A756="","",INDEX('Product Master'!$C$7:$C$1000,MATCH($A756,'Product Master'!$A$7:$A$1000,0)))</f>
        <v/>
      </c>
      <c r="D756" t="str">
        <f>IF($A756="","",INDEX('Product Master'!$M$7:$M$1000,MATCH($A756,'Product Master'!$A$7:$A$1000,0)))</f>
        <v/>
      </c>
      <c r="E756" t="str">
        <f>IF($A756="","",INDEX('Product Master'!$N$7:$N$1000,MATCH($A756,'Product Master'!$A$7:$A$1000,0)))</f>
        <v/>
      </c>
      <c r="F756" t="str">
        <f>IF($A756="","",INDEX('Product Master'!$P$7:$P$1000,MATCH($A756,'Product Master'!$A$7:$A$1000,0)))</f>
        <v/>
      </c>
      <c r="I756" t="str">
        <f>IFERROR(INDEX('Product Master'!$A$7:$A$1000,_xlfn.AGGREGATE(15,6,(ROW('Product Master'!$A$7:$A$1000)-ROW('Product Master'!$A$7)+1)/(('Product Master'!$A$7:$A$1000&lt;&gt;"")*('Product Master'!$P$7:$P$1000="Out of Stock")),ROWS($I$12:I756))),"")</f>
        <v/>
      </c>
      <c r="J756" t="str">
        <f>IF($I756="","",INDEX('Product Master'!$B$7:$B$1000,MATCH($I756,'Product Master'!$A$7:$A$1000,0)))</f>
        <v/>
      </c>
      <c r="K756" t="str">
        <f>IF($I756="","",INDEX('Product Master'!$C$7:$C$1000,MATCH($I756,'Product Master'!$A$7:$A$1000,0)))</f>
        <v/>
      </c>
      <c r="L756" t="str">
        <f>IF($I756="","",INDEX('Product Master'!$M$7:$M$1000,MATCH($I756,'Product Master'!$A$7:$A$1000,0)))</f>
        <v/>
      </c>
      <c r="M756" t="str">
        <f>IF($I756="","",INDEX('Product Master'!$N$7:$N$1000,MATCH($I756,'Product Master'!$A$7:$A$1000,0)))</f>
        <v/>
      </c>
    </row>
    <row r="757" spans="1:13" x14ac:dyDescent="0.3">
      <c r="A757" t="str">
        <f>IFERROR(INDEX('Product Master'!$A$7:$A$1000,_xlfn.AGGREGATE(15,6,(ROW('Product Master'!$A$7:$A$1000)-ROW('Product Master'!$A$7)+1)/(('Product Master'!$A$7:$A$1000&lt;&gt;"")*('Product Master'!$P$7:$P$1000="Low Stock")),ROWS($A$12:A757))),"")</f>
        <v/>
      </c>
      <c r="B757" t="str">
        <f>IF($A757="","",INDEX('Product Master'!$B$7:$B$1000,MATCH($A757,'Product Master'!$A$7:$A$1000,0)))</f>
        <v/>
      </c>
      <c r="C757" t="str">
        <f>IF($A757="","",INDEX('Product Master'!$C$7:$C$1000,MATCH($A757,'Product Master'!$A$7:$A$1000,0)))</f>
        <v/>
      </c>
      <c r="D757" t="str">
        <f>IF($A757="","",INDEX('Product Master'!$M$7:$M$1000,MATCH($A757,'Product Master'!$A$7:$A$1000,0)))</f>
        <v/>
      </c>
      <c r="E757" t="str">
        <f>IF($A757="","",INDEX('Product Master'!$N$7:$N$1000,MATCH($A757,'Product Master'!$A$7:$A$1000,0)))</f>
        <v/>
      </c>
      <c r="F757" t="str">
        <f>IF($A757="","",INDEX('Product Master'!$P$7:$P$1000,MATCH($A757,'Product Master'!$A$7:$A$1000,0)))</f>
        <v/>
      </c>
      <c r="I757" t="str">
        <f>IFERROR(INDEX('Product Master'!$A$7:$A$1000,_xlfn.AGGREGATE(15,6,(ROW('Product Master'!$A$7:$A$1000)-ROW('Product Master'!$A$7)+1)/(('Product Master'!$A$7:$A$1000&lt;&gt;"")*('Product Master'!$P$7:$P$1000="Out of Stock")),ROWS($I$12:I757))),"")</f>
        <v/>
      </c>
      <c r="J757" t="str">
        <f>IF($I757="","",INDEX('Product Master'!$B$7:$B$1000,MATCH($I757,'Product Master'!$A$7:$A$1000,0)))</f>
        <v/>
      </c>
      <c r="K757" t="str">
        <f>IF($I757="","",INDEX('Product Master'!$C$7:$C$1000,MATCH($I757,'Product Master'!$A$7:$A$1000,0)))</f>
        <v/>
      </c>
      <c r="L757" t="str">
        <f>IF($I757="","",INDEX('Product Master'!$M$7:$M$1000,MATCH($I757,'Product Master'!$A$7:$A$1000,0)))</f>
        <v/>
      </c>
      <c r="M757" t="str">
        <f>IF($I757="","",INDEX('Product Master'!$N$7:$N$1000,MATCH($I757,'Product Master'!$A$7:$A$1000,0)))</f>
        <v/>
      </c>
    </row>
    <row r="758" spans="1:13" x14ac:dyDescent="0.3">
      <c r="A758" t="str">
        <f>IFERROR(INDEX('Product Master'!$A$7:$A$1000,_xlfn.AGGREGATE(15,6,(ROW('Product Master'!$A$7:$A$1000)-ROW('Product Master'!$A$7)+1)/(('Product Master'!$A$7:$A$1000&lt;&gt;"")*('Product Master'!$P$7:$P$1000="Low Stock")),ROWS($A$12:A758))),"")</f>
        <v/>
      </c>
      <c r="B758" t="str">
        <f>IF($A758="","",INDEX('Product Master'!$B$7:$B$1000,MATCH($A758,'Product Master'!$A$7:$A$1000,0)))</f>
        <v/>
      </c>
      <c r="C758" t="str">
        <f>IF($A758="","",INDEX('Product Master'!$C$7:$C$1000,MATCH($A758,'Product Master'!$A$7:$A$1000,0)))</f>
        <v/>
      </c>
      <c r="D758" t="str">
        <f>IF($A758="","",INDEX('Product Master'!$M$7:$M$1000,MATCH($A758,'Product Master'!$A$7:$A$1000,0)))</f>
        <v/>
      </c>
      <c r="E758" t="str">
        <f>IF($A758="","",INDEX('Product Master'!$N$7:$N$1000,MATCH($A758,'Product Master'!$A$7:$A$1000,0)))</f>
        <v/>
      </c>
      <c r="F758" t="str">
        <f>IF($A758="","",INDEX('Product Master'!$P$7:$P$1000,MATCH($A758,'Product Master'!$A$7:$A$1000,0)))</f>
        <v/>
      </c>
      <c r="I758" t="str">
        <f>IFERROR(INDEX('Product Master'!$A$7:$A$1000,_xlfn.AGGREGATE(15,6,(ROW('Product Master'!$A$7:$A$1000)-ROW('Product Master'!$A$7)+1)/(('Product Master'!$A$7:$A$1000&lt;&gt;"")*('Product Master'!$P$7:$P$1000="Out of Stock")),ROWS($I$12:I758))),"")</f>
        <v/>
      </c>
      <c r="J758" t="str">
        <f>IF($I758="","",INDEX('Product Master'!$B$7:$B$1000,MATCH($I758,'Product Master'!$A$7:$A$1000,0)))</f>
        <v/>
      </c>
      <c r="K758" t="str">
        <f>IF($I758="","",INDEX('Product Master'!$C$7:$C$1000,MATCH($I758,'Product Master'!$A$7:$A$1000,0)))</f>
        <v/>
      </c>
      <c r="L758" t="str">
        <f>IF($I758="","",INDEX('Product Master'!$M$7:$M$1000,MATCH($I758,'Product Master'!$A$7:$A$1000,0)))</f>
        <v/>
      </c>
      <c r="M758" t="str">
        <f>IF($I758="","",INDEX('Product Master'!$N$7:$N$1000,MATCH($I758,'Product Master'!$A$7:$A$1000,0)))</f>
        <v/>
      </c>
    </row>
    <row r="759" spans="1:13" x14ac:dyDescent="0.3">
      <c r="A759" t="str">
        <f>IFERROR(INDEX('Product Master'!$A$7:$A$1000,_xlfn.AGGREGATE(15,6,(ROW('Product Master'!$A$7:$A$1000)-ROW('Product Master'!$A$7)+1)/(('Product Master'!$A$7:$A$1000&lt;&gt;"")*('Product Master'!$P$7:$P$1000="Low Stock")),ROWS($A$12:A759))),"")</f>
        <v/>
      </c>
      <c r="B759" t="str">
        <f>IF($A759="","",INDEX('Product Master'!$B$7:$B$1000,MATCH($A759,'Product Master'!$A$7:$A$1000,0)))</f>
        <v/>
      </c>
      <c r="C759" t="str">
        <f>IF($A759="","",INDEX('Product Master'!$C$7:$C$1000,MATCH($A759,'Product Master'!$A$7:$A$1000,0)))</f>
        <v/>
      </c>
      <c r="D759" t="str">
        <f>IF($A759="","",INDEX('Product Master'!$M$7:$M$1000,MATCH($A759,'Product Master'!$A$7:$A$1000,0)))</f>
        <v/>
      </c>
      <c r="E759" t="str">
        <f>IF($A759="","",INDEX('Product Master'!$N$7:$N$1000,MATCH($A759,'Product Master'!$A$7:$A$1000,0)))</f>
        <v/>
      </c>
      <c r="F759" t="str">
        <f>IF($A759="","",INDEX('Product Master'!$P$7:$P$1000,MATCH($A759,'Product Master'!$A$7:$A$1000,0)))</f>
        <v/>
      </c>
      <c r="I759" t="str">
        <f>IFERROR(INDEX('Product Master'!$A$7:$A$1000,_xlfn.AGGREGATE(15,6,(ROW('Product Master'!$A$7:$A$1000)-ROW('Product Master'!$A$7)+1)/(('Product Master'!$A$7:$A$1000&lt;&gt;"")*('Product Master'!$P$7:$P$1000="Out of Stock")),ROWS($I$12:I759))),"")</f>
        <v/>
      </c>
      <c r="J759" t="str">
        <f>IF($I759="","",INDEX('Product Master'!$B$7:$B$1000,MATCH($I759,'Product Master'!$A$7:$A$1000,0)))</f>
        <v/>
      </c>
      <c r="K759" t="str">
        <f>IF($I759="","",INDEX('Product Master'!$C$7:$C$1000,MATCH($I759,'Product Master'!$A$7:$A$1000,0)))</f>
        <v/>
      </c>
      <c r="L759" t="str">
        <f>IF($I759="","",INDEX('Product Master'!$M$7:$M$1000,MATCH($I759,'Product Master'!$A$7:$A$1000,0)))</f>
        <v/>
      </c>
      <c r="M759" t="str">
        <f>IF($I759="","",INDEX('Product Master'!$N$7:$N$1000,MATCH($I759,'Product Master'!$A$7:$A$1000,0)))</f>
        <v/>
      </c>
    </row>
    <row r="760" spans="1:13" x14ac:dyDescent="0.3">
      <c r="A760" t="str">
        <f>IFERROR(INDEX('Product Master'!$A$7:$A$1000,_xlfn.AGGREGATE(15,6,(ROW('Product Master'!$A$7:$A$1000)-ROW('Product Master'!$A$7)+1)/(('Product Master'!$A$7:$A$1000&lt;&gt;"")*('Product Master'!$P$7:$P$1000="Low Stock")),ROWS($A$12:A760))),"")</f>
        <v/>
      </c>
      <c r="B760" t="str">
        <f>IF($A760="","",INDEX('Product Master'!$B$7:$B$1000,MATCH($A760,'Product Master'!$A$7:$A$1000,0)))</f>
        <v/>
      </c>
      <c r="C760" t="str">
        <f>IF($A760="","",INDEX('Product Master'!$C$7:$C$1000,MATCH($A760,'Product Master'!$A$7:$A$1000,0)))</f>
        <v/>
      </c>
      <c r="D760" t="str">
        <f>IF($A760="","",INDEX('Product Master'!$M$7:$M$1000,MATCH($A760,'Product Master'!$A$7:$A$1000,0)))</f>
        <v/>
      </c>
      <c r="E760" t="str">
        <f>IF($A760="","",INDEX('Product Master'!$N$7:$N$1000,MATCH($A760,'Product Master'!$A$7:$A$1000,0)))</f>
        <v/>
      </c>
      <c r="F760" t="str">
        <f>IF($A760="","",INDEX('Product Master'!$P$7:$P$1000,MATCH($A760,'Product Master'!$A$7:$A$1000,0)))</f>
        <v/>
      </c>
      <c r="I760" t="str">
        <f>IFERROR(INDEX('Product Master'!$A$7:$A$1000,_xlfn.AGGREGATE(15,6,(ROW('Product Master'!$A$7:$A$1000)-ROW('Product Master'!$A$7)+1)/(('Product Master'!$A$7:$A$1000&lt;&gt;"")*('Product Master'!$P$7:$P$1000="Out of Stock")),ROWS($I$12:I760))),"")</f>
        <v/>
      </c>
      <c r="J760" t="str">
        <f>IF($I760="","",INDEX('Product Master'!$B$7:$B$1000,MATCH($I760,'Product Master'!$A$7:$A$1000,0)))</f>
        <v/>
      </c>
      <c r="K760" t="str">
        <f>IF($I760="","",INDEX('Product Master'!$C$7:$C$1000,MATCH($I760,'Product Master'!$A$7:$A$1000,0)))</f>
        <v/>
      </c>
      <c r="L760" t="str">
        <f>IF($I760="","",INDEX('Product Master'!$M$7:$M$1000,MATCH($I760,'Product Master'!$A$7:$A$1000,0)))</f>
        <v/>
      </c>
      <c r="M760" t="str">
        <f>IF($I760="","",INDEX('Product Master'!$N$7:$N$1000,MATCH($I760,'Product Master'!$A$7:$A$1000,0)))</f>
        <v/>
      </c>
    </row>
    <row r="761" spans="1:13" x14ac:dyDescent="0.3">
      <c r="A761" t="str">
        <f>IFERROR(INDEX('Product Master'!$A$7:$A$1000,_xlfn.AGGREGATE(15,6,(ROW('Product Master'!$A$7:$A$1000)-ROW('Product Master'!$A$7)+1)/(('Product Master'!$A$7:$A$1000&lt;&gt;"")*('Product Master'!$P$7:$P$1000="Low Stock")),ROWS($A$12:A761))),"")</f>
        <v/>
      </c>
      <c r="B761" t="str">
        <f>IF($A761="","",INDEX('Product Master'!$B$7:$B$1000,MATCH($A761,'Product Master'!$A$7:$A$1000,0)))</f>
        <v/>
      </c>
      <c r="C761" t="str">
        <f>IF($A761="","",INDEX('Product Master'!$C$7:$C$1000,MATCH($A761,'Product Master'!$A$7:$A$1000,0)))</f>
        <v/>
      </c>
      <c r="D761" t="str">
        <f>IF($A761="","",INDEX('Product Master'!$M$7:$M$1000,MATCH($A761,'Product Master'!$A$7:$A$1000,0)))</f>
        <v/>
      </c>
      <c r="E761" t="str">
        <f>IF($A761="","",INDEX('Product Master'!$N$7:$N$1000,MATCH($A761,'Product Master'!$A$7:$A$1000,0)))</f>
        <v/>
      </c>
      <c r="F761" t="str">
        <f>IF($A761="","",INDEX('Product Master'!$P$7:$P$1000,MATCH($A761,'Product Master'!$A$7:$A$1000,0)))</f>
        <v/>
      </c>
      <c r="I761" t="str">
        <f>IFERROR(INDEX('Product Master'!$A$7:$A$1000,_xlfn.AGGREGATE(15,6,(ROW('Product Master'!$A$7:$A$1000)-ROW('Product Master'!$A$7)+1)/(('Product Master'!$A$7:$A$1000&lt;&gt;"")*('Product Master'!$P$7:$P$1000="Out of Stock")),ROWS($I$12:I761))),"")</f>
        <v/>
      </c>
      <c r="J761" t="str">
        <f>IF($I761="","",INDEX('Product Master'!$B$7:$B$1000,MATCH($I761,'Product Master'!$A$7:$A$1000,0)))</f>
        <v/>
      </c>
      <c r="K761" t="str">
        <f>IF($I761="","",INDEX('Product Master'!$C$7:$C$1000,MATCH($I761,'Product Master'!$A$7:$A$1000,0)))</f>
        <v/>
      </c>
      <c r="L761" t="str">
        <f>IF($I761="","",INDEX('Product Master'!$M$7:$M$1000,MATCH($I761,'Product Master'!$A$7:$A$1000,0)))</f>
        <v/>
      </c>
      <c r="M761" t="str">
        <f>IF($I761="","",INDEX('Product Master'!$N$7:$N$1000,MATCH($I761,'Product Master'!$A$7:$A$1000,0)))</f>
        <v/>
      </c>
    </row>
    <row r="762" spans="1:13" x14ac:dyDescent="0.3">
      <c r="A762" t="str">
        <f>IFERROR(INDEX('Product Master'!$A$7:$A$1000,_xlfn.AGGREGATE(15,6,(ROW('Product Master'!$A$7:$A$1000)-ROW('Product Master'!$A$7)+1)/(('Product Master'!$A$7:$A$1000&lt;&gt;"")*('Product Master'!$P$7:$P$1000="Low Stock")),ROWS($A$12:A762))),"")</f>
        <v/>
      </c>
      <c r="B762" t="str">
        <f>IF($A762="","",INDEX('Product Master'!$B$7:$B$1000,MATCH($A762,'Product Master'!$A$7:$A$1000,0)))</f>
        <v/>
      </c>
      <c r="C762" t="str">
        <f>IF($A762="","",INDEX('Product Master'!$C$7:$C$1000,MATCH($A762,'Product Master'!$A$7:$A$1000,0)))</f>
        <v/>
      </c>
      <c r="D762" t="str">
        <f>IF($A762="","",INDEX('Product Master'!$M$7:$M$1000,MATCH($A762,'Product Master'!$A$7:$A$1000,0)))</f>
        <v/>
      </c>
      <c r="E762" t="str">
        <f>IF($A762="","",INDEX('Product Master'!$N$7:$N$1000,MATCH($A762,'Product Master'!$A$7:$A$1000,0)))</f>
        <v/>
      </c>
      <c r="F762" t="str">
        <f>IF($A762="","",INDEX('Product Master'!$P$7:$P$1000,MATCH($A762,'Product Master'!$A$7:$A$1000,0)))</f>
        <v/>
      </c>
      <c r="I762" t="str">
        <f>IFERROR(INDEX('Product Master'!$A$7:$A$1000,_xlfn.AGGREGATE(15,6,(ROW('Product Master'!$A$7:$A$1000)-ROW('Product Master'!$A$7)+1)/(('Product Master'!$A$7:$A$1000&lt;&gt;"")*('Product Master'!$P$7:$P$1000="Out of Stock")),ROWS($I$12:I762))),"")</f>
        <v/>
      </c>
      <c r="J762" t="str">
        <f>IF($I762="","",INDEX('Product Master'!$B$7:$B$1000,MATCH($I762,'Product Master'!$A$7:$A$1000,0)))</f>
        <v/>
      </c>
      <c r="K762" t="str">
        <f>IF($I762="","",INDEX('Product Master'!$C$7:$C$1000,MATCH($I762,'Product Master'!$A$7:$A$1000,0)))</f>
        <v/>
      </c>
      <c r="L762" t="str">
        <f>IF($I762="","",INDEX('Product Master'!$M$7:$M$1000,MATCH($I762,'Product Master'!$A$7:$A$1000,0)))</f>
        <v/>
      </c>
      <c r="M762" t="str">
        <f>IF($I762="","",INDEX('Product Master'!$N$7:$N$1000,MATCH($I762,'Product Master'!$A$7:$A$1000,0)))</f>
        <v/>
      </c>
    </row>
    <row r="763" spans="1:13" x14ac:dyDescent="0.3">
      <c r="A763" t="str">
        <f>IFERROR(INDEX('Product Master'!$A$7:$A$1000,_xlfn.AGGREGATE(15,6,(ROW('Product Master'!$A$7:$A$1000)-ROW('Product Master'!$A$7)+1)/(('Product Master'!$A$7:$A$1000&lt;&gt;"")*('Product Master'!$P$7:$P$1000="Low Stock")),ROWS($A$12:A763))),"")</f>
        <v/>
      </c>
      <c r="B763" t="str">
        <f>IF($A763="","",INDEX('Product Master'!$B$7:$B$1000,MATCH($A763,'Product Master'!$A$7:$A$1000,0)))</f>
        <v/>
      </c>
      <c r="C763" t="str">
        <f>IF($A763="","",INDEX('Product Master'!$C$7:$C$1000,MATCH($A763,'Product Master'!$A$7:$A$1000,0)))</f>
        <v/>
      </c>
      <c r="D763" t="str">
        <f>IF($A763="","",INDEX('Product Master'!$M$7:$M$1000,MATCH($A763,'Product Master'!$A$7:$A$1000,0)))</f>
        <v/>
      </c>
      <c r="E763" t="str">
        <f>IF($A763="","",INDEX('Product Master'!$N$7:$N$1000,MATCH($A763,'Product Master'!$A$7:$A$1000,0)))</f>
        <v/>
      </c>
      <c r="F763" t="str">
        <f>IF($A763="","",INDEX('Product Master'!$P$7:$P$1000,MATCH($A763,'Product Master'!$A$7:$A$1000,0)))</f>
        <v/>
      </c>
      <c r="I763" t="str">
        <f>IFERROR(INDEX('Product Master'!$A$7:$A$1000,_xlfn.AGGREGATE(15,6,(ROW('Product Master'!$A$7:$A$1000)-ROW('Product Master'!$A$7)+1)/(('Product Master'!$A$7:$A$1000&lt;&gt;"")*('Product Master'!$P$7:$P$1000="Out of Stock")),ROWS($I$12:I763))),"")</f>
        <v/>
      </c>
      <c r="J763" t="str">
        <f>IF($I763="","",INDEX('Product Master'!$B$7:$B$1000,MATCH($I763,'Product Master'!$A$7:$A$1000,0)))</f>
        <v/>
      </c>
      <c r="K763" t="str">
        <f>IF($I763="","",INDEX('Product Master'!$C$7:$C$1000,MATCH($I763,'Product Master'!$A$7:$A$1000,0)))</f>
        <v/>
      </c>
      <c r="L763" t="str">
        <f>IF($I763="","",INDEX('Product Master'!$M$7:$M$1000,MATCH($I763,'Product Master'!$A$7:$A$1000,0)))</f>
        <v/>
      </c>
      <c r="M763" t="str">
        <f>IF($I763="","",INDEX('Product Master'!$N$7:$N$1000,MATCH($I763,'Product Master'!$A$7:$A$1000,0)))</f>
        <v/>
      </c>
    </row>
    <row r="764" spans="1:13" x14ac:dyDescent="0.3">
      <c r="A764" t="str">
        <f>IFERROR(INDEX('Product Master'!$A$7:$A$1000,_xlfn.AGGREGATE(15,6,(ROW('Product Master'!$A$7:$A$1000)-ROW('Product Master'!$A$7)+1)/(('Product Master'!$A$7:$A$1000&lt;&gt;"")*('Product Master'!$P$7:$P$1000="Low Stock")),ROWS($A$12:A764))),"")</f>
        <v/>
      </c>
      <c r="B764" t="str">
        <f>IF($A764="","",INDEX('Product Master'!$B$7:$B$1000,MATCH($A764,'Product Master'!$A$7:$A$1000,0)))</f>
        <v/>
      </c>
      <c r="C764" t="str">
        <f>IF($A764="","",INDEX('Product Master'!$C$7:$C$1000,MATCH($A764,'Product Master'!$A$7:$A$1000,0)))</f>
        <v/>
      </c>
      <c r="D764" t="str">
        <f>IF($A764="","",INDEX('Product Master'!$M$7:$M$1000,MATCH($A764,'Product Master'!$A$7:$A$1000,0)))</f>
        <v/>
      </c>
      <c r="E764" t="str">
        <f>IF($A764="","",INDEX('Product Master'!$N$7:$N$1000,MATCH($A764,'Product Master'!$A$7:$A$1000,0)))</f>
        <v/>
      </c>
      <c r="F764" t="str">
        <f>IF($A764="","",INDEX('Product Master'!$P$7:$P$1000,MATCH($A764,'Product Master'!$A$7:$A$1000,0)))</f>
        <v/>
      </c>
      <c r="I764" t="str">
        <f>IFERROR(INDEX('Product Master'!$A$7:$A$1000,_xlfn.AGGREGATE(15,6,(ROW('Product Master'!$A$7:$A$1000)-ROW('Product Master'!$A$7)+1)/(('Product Master'!$A$7:$A$1000&lt;&gt;"")*('Product Master'!$P$7:$P$1000="Out of Stock")),ROWS($I$12:I764))),"")</f>
        <v/>
      </c>
      <c r="J764" t="str">
        <f>IF($I764="","",INDEX('Product Master'!$B$7:$B$1000,MATCH($I764,'Product Master'!$A$7:$A$1000,0)))</f>
        <v/>
      </c>
      <c r="K764" t="str">
        <f>IF($I764="","",INDEX('Product Master'!$C$7:$C$1000,MATCH($I764,'Product Master'!$A$7:$A$1000,0)))</f>
        <v/>
      </c>
      <c r="L764" t="str">
        <f>IF($I764="","",INDEX('Product Master'!$M$7:$M$1000,MATCH($I764,'Product Master'!$A$7:$A$1000,0)))</f>
        <v/>
      </c>
      <c r="M764" t="str">
        <f>IF($I764="","",INDEX('Product Master'!$N$7:$N$1000,MATCH($I764,'Product Master'!$A$7:$A$1000,0)))</f>
        <v/>
      </c>
    </row>
    <row r="765" spans="1:13" x14ac:dyDescent="0.3">
      <c r="A765" t="str">
        <f>IFERROR(INDEX('Product Master'!$A$7:$A$1000,_xlfn.AGGREGATE(15,6,(ROW('Product Master'!$A$7:$A$1000)-ROW('Product Master'!$A$7)+1)/(('Product Master'!$A$7:$A$1000&lt;&gt;"")*('Product Master'!$P$7:$P$1000="Low Stock")),ROWS($A$12:A765))),"")</f>
        <v/>
      </c>
      <c r="B765" t="str">
        <f>IF($A765="","",INDEX('Product Master'!$B$7:$B$1000,MATCH($A765,'Product Master'!$A$7:$A$1000,0)))</f>
        <v/>
      </c>
      <c r="C765" t="str">
        <f>IF($A765="","",INDEX('Product Master'!$C$7:$C$1000,MATCH($A765,'Product Master'!$A$7:$A$1000,0)))</f>
        <v/>
      </c>
      <c r="D765" t="str">
        <f>IF($A765="","",INDEX('Product Master'!$M$7:$M$1000,MATCH($A765,'Product Master'!$A$7:$A$1000,0)))</f>
        <v/>
      </c>
      <c r="E765" t="str">
        <f>IF($A765="","",INDEX('Product Master'!$N$7:$N$1000,MATCH($A765,'Product Master'!$A$7:$A$1000,0)))</f>
        <v/>
      </c>
      <c r="F765" t="str">
        <f>IF($A765="","",INDEX('Product Master'!$P$7:$P$1000,MATCH($A765,'Product Master'!$A$7:$A$1000,0)))</f>
        <v/>
      </c>
      <c r="I765" t="str">
        <f>IFERROR(INDEX('Product Master'!$A$7:$A$1000,_xlfn.AGGREGATE(15,6,(ROW('Product Master'!$A$7:$A$1000)-ROW('Product Master'!$A$7)+1)/(('Product Master'!$A$7:$A$1000&lt;&gt;"")*('Product Master'!$P$7:$P$1000="Out of Stock")),ROWS($I$12:I765))),"")</f>
        <v/>
      </c>
      <c r="J765" t="str">
        <f>IF($I765="","",INDEX('Product Master'!$B$7:$B$1000,MATCH($I765,'Product Master'!$A$7:$A$1000,0)))</f>
        <v/>
      </c>
      <c r="K765" t="str">
        <f>IF($I765="","",INDEX('Product Master'!$C$7:$C$1000,MATCH($I765,'Product Master'!$A$7:$A$1000,0)))</f>
        <v/>
      </c>
      <c r="L765" t="str">
        <f>IF($I765="","",INDEX('Product Master'!$M$7:$M$1000,MATCH($I765,'Product Master'!$A$7:$A$1000,0)))</f>
        <v/>
      </c>
      <c r="M765" t="str">
        <f>IF($I765="","",INDEX('Product Master'!$N$7:$N$1000,MATCH($I765,'Product Master'!$A$7:$A$1000,0)))</f>
        <v/>
      </c>
    </row>
    <row r="766" spans="1:13" x14ac:dyDescent="0.3">
      <c r="A766" t="str">
        <f>IFERROR(INDEX('Product Master'!$A$7:$A$1000,_xlfn.AGGREGATE(15,6,(ROW('Product Master'!$A$7:$A$1000)-ROW('Product Master'!$A$7)+1)/(('Product Master'!$A$7:$A$1000&lt;&gt;"")*('Product Master'!$P$7:$P$1000="Low Stock")),ROWS($A$12:A766))),"")</f>
        <v/>
      </c>
      <c r="B766" t="str">
        <f>IF($A766="","",INDEX('Product Master'!$B$7:$B$1000,MATCH($A766,'Product Master'!$A$7:$A$1000,0)))</f>
        <v/>
      </c>
      <c r="C766" t="str">
        <f>IF($A766="","",INDEX('Product Master'!$C$7:$C$1000,MATCH($A766,'Product Master'!$A$7:$A$1000,0)))</f>
        <v/>
      </c>
      <c r="D766" t="str">
        <f>IF($A766="","",INDEX('Product Master'!$M$7:$M$1000,MATCH($A766,'Product Master'!$A$7:$A$1000,0)))</f>
        <v/>
      </c>
      <c r="E766" t="str">
        <f>IF($A766="","",INDEX('Product Master'!$N$7:$N$1000,MATCH($A766,'Product Master'!$A$7:$A$1000,0)))</f>
        <v/>
      </c>
      <c r="F766" t="str">
        <f>IF($A766="","",INDEX('Product Master'!$P$7:$P$1000,MATCH($A766,'Product Master'!$A$7:$A$1000,0)))</f>
        <v/>
      </c>
      <c r="I766" t="str">
        <f>IFERROR(INDEX('Product Master'!$A$7:$A$1000,_xlfn.AGGREGATE(15,6,(ROW('Product Master'!$A$7:$A$1000)-ROW('Product Master'!$A$7)+1)/(('Product Master'!$A$7:$A$1000&lt;&gt;"")*('Product Master'!$P$7:$P$1000="Out of Stock")),ROWS($I$12:I766))),"")</f>
        <v/>
      </c>
      <c r="J766" t="str">
        <f>IF($I766="","",INDEX('Product Master'!$B$7:$B$1000,MATCH($I766,'Product Master'!$A$7:$A$1000,0)))</f>
        <v/>
      </c>
      <c r="K766" t="str">
        <f>IF($I766="","",INDEX('Product Master'!$C$7:$C$1000,MATCH($I766,'Product Master'!$A$7:$A$1000,0)))</f>
        <v/>
      </c>
      <c r="L766" t="str">
        <f>IF($I766="","",INDEX('Product Master'!$M$7:$M$1000,MATCH($I766,'Product Master'!$A$7:$A$1000,0)))</f>
        <v/>
      </c>
      <c r="M766" t="str">
        <f>IF($I766="","",INDEX('Product Master'!$N$7:$N$1000,MATCH($I766,'Product Master'!$A$7:$A$1000,0)))</f>
        <v/>
      </c>
    </row>
    <row r="767" spans="1:13" x14ac:dyDescent="0.3">
      <c r="A767" t="str">
        <f>IFERROR(INDEX('Product Master'!$A$7:$A$1000,_xlfn.AGGREGATE(15,6,(ROW('Product Master'!$A$7:$A$1000)-ROW('Product Master'!$A$7)+1)/(('Product Master'!$A$7:$A$1000&lt;&gt;"")*('Product Master'!$P$7:$P$1000="Low Stock")),ROWS($A$12:A767))),"")</f>
        <v/>
      </c>
      <c r="B767" t="str">
        <f>IF($A767="","",INDEX('Product Master'!$B$7:$B$1000,MATCH($A767,'Product Master'!$A$7:$A$1000,0)))</f>
        <v/>
      </c>
      <c r="C767" t="str">
        <f>IF($A767="","",INDEX('Product Master'!$C$7:$C$1000,MATCH($A767,'Product Master'!$A$7:$A$1000,0)))</f>
        <v/>
      </c>
      <c r="D767" t="str">
        <f>IF($A767="","",INDEX('Product Master'!$M$7:$M$1000,MATCH($A767,'Product Master'!$A$7:$A$1000,0)))</f>
        <v/>
      </c>
      <c r="E767" t="str">
        <f>IF($A767="","",INDEX('Product Master'!$N$7:$N$1000,MATCH($A767,'Product Master'!$A$7:$A$1000,0)))</f>
        <v/>
      </c>
      <c r="F767" t="str">
        <f>IF($A767="","",INDEX('Product Master'!$P$7:$P$1000,MATCH($A767,'Product Master'!$A$7:$A$1000,0)))</f>
        <v/>
      </c>
      <c r="I767" t="str">
        <f>IFERROR(INDEX('Product Master'!$A$7:$A$1000,_xlfn.AGGREGATE(15,6,(ROW('Product Master'!$A$7:$A$1000)-ROW('Product Master'!$A$7)+1)/(('Product Master'!$A$7:$A$1000&lt;&gt;"")*('Product Master'!$P$7:$P$1000="Out of Stock")),ROWS($I$12:I767))),"")</f>
        <v/>
      </c>
      <c r="J767" t="str">
        <f>IF($I767="","",INDEX('Product Master'!$B$7:$B$1000,MATCH($I767,'Product Master'!$A$7:$A$1000,0)))</f>
        <v/>
      </c>
      <c r="K767" t="str">
        <f>IF($I767="","",INDEX('Product Master'!$C$7:$C$1000,MATCH($I767,'Product Master'!$A$7:$A$1000,0)))</f>
        <v/>
      </c>
      <c r="L767" t="str">
        <f>IF($I767="","",INDEX('Product Master'!$M$7:$M$1000,MATCH($I767,'Product Master'!$A$7:$A$1000,0)))</f>
        <v/>
      </c>
      <c r="M767" t="str">
        <f>IF($I767="","",INDEX('Product Master'!$N$7:$N$1000,MATCH($I767,'Product Master'!$A$7:$A$1000,0)))</f>
        <v/>
      </c>
    </row>
    <row r="768" spans="1:13" x14ac:dyDescent="0.3">
      <c r="A768" t="str">
        <f>IFERROR(INDEX('Product Master'!$A$7:$A$1000,_xlfn.AGGREGATE(15,6,(ROW('Product Master'!$A$7:$A$1000)-ROW('Product Master'!$A$7)+1)/(('Product Master'!$A$7:$A$1000&lt;&gt;"")*('Product Master'!$P$7:$P$1000="Low Stock")),ROWS($A$12:A768))),"")</f>
        <v/>
      </c>
      <c r="B768" t="str">
        <f>IF($A768="","",INDEX('Product Master'!$B$7:$B$1000,MATCH($A768,'Product Master'!$A$7:$A$1000,0)))</f>
        <v/>
      </c>
      <c r="C768" t="str">
        <f>IF($A768="","",INDEX('Product Master'!$C$7:$C$1000,MATCH($A768,'Product Master'!$A$7:$A$1000,0)))</f>
        <v/>
      </c>
      <c r="D768" t="str">
        <f>IF($A768="","",INDEX('Product Master'!$M$7:$M$1000,MATCH($A768,'Product Master'!$A$7:$A$1000,0)))</f>
        <v/>
      </c>
      <c r="E768" t="str">
        <f>IF($A768="","",INDEX('Product Master'!$N$7:$N$1000,MATCH($A768,'Product Master'!$A$7:$A$1000,0)))</f>
        <v/>
      </c>
      <c r="F768" t="str">
        <f>IF($A768="","",INDEX('Product Master'!$P$7:$P$1000,MATCH($A768,'Product Master'!$A$7:$A$1000,0)))</f>
        <v/>
      </c>
      <c r="I768" t="str">
        <f>IFERROR(INDEX('Product Master'!$A$7:$A$1000,_xlfn.AGGREGATE(15,6,(ROW('Product Master'!$A$7:$A$1000)-ROW('Product Master'!$A$7)+1)/(('Product Master'!$A$7:$A$1000&lt;&gt;"")*('Product Master'!$P$7:$P$1000="Out of Stock")),ROWS($I$12:I768))),"")</f>
        <v/>
      </c>
      <c r="J768" t="str">
        <f>IF($I768="","",INDEX('Product Master'!$B$7:$B$1000,MATCH($I768,'Product Master'!$A$7:$A$1000,0)))</f>
        <v/>
      </c>
      <c r="K768" t="str">
        <f>IF($I768="","",INDEX('Product Master'!$C$7:$C$1000,MATCH($I768,'Product Master'!$A$7:$A$1000,0)))</f>
        <v/>
      </c>
      <c r="L768" t="str">
        <f>IF($I768="","",INDEX('Product Master'!$M$7:$M$1000,MATCH($I768,'Product Master'!$A$7:$A$1000,0)))</f>
        <v/>
      </c>
      <c r="M768" t="str">
        <f>IF($I768="","",INDEX('Product Master'!$N$7:$N$1000,MATCH($I768,'Product Master'!$A$7:$A$1000,0)))</f>
        <v/>
      </c>
    </row>
    <row r="769" spans="1:13" x14ac:dyDescent="0.3">
      <c r="A769" t="str">
        <f>IFERROR(INDEX('Product Master'!$A$7:$A$1000,_xlfn.AGGREGATE(15,6,(ROW('Product Master'!$A$7:$A$1000)-ROW('Product Master'!$A$7)+1)/(('Product Master'!$A$7:$A$1000&lt;&gt;"")*('Product Master'!$P$7:$P$1000="Low Stock")),ROWS($A$12:A769))),"")</f>
        <v/>
      </c>
      <c r="B769" t="str">
        <f>IF($A769="","",INDEX('Product Master'!$B$7:$B$1000,MATCH($A769,'Product Master'!$A$7:$A$1000,0)))</f>
        <v/>
      </c>
      <c r="C769" t="str">
        <f>IF($A769="","",INDEX('Product Master'!$C$7:$C$1000,MATCH($A769,'Product Master'!$A$7:$A$1000,0)))</f>
        <v/>
      </c>
      <c r="D769" t="str">
        <f>IF($A769="","",INDEX('Product Master'!$M$7:$M$1000,MATCH($A769,'Product Master'!$A$7:$A$1000,0)))</f>
        <v/>
      </c>
      <c r="E769" t="str">
        <f>IF($A769="","",INDEX('Product Master'!$N$7:$N$1000,MATCH($A769,'Product Master'!$A$7:$A$1000,0)))</f>
        <v/>
      </c>
      <c r="F769" t="str">
        <f>IF($A769="","",INDEX('Product Master'!$P$7:$P$1000,MATCH($A769,'Product Master'!$A$7:$A$1000,0)))</f>
        <v/>
      </c>
      <c r="I769" t="str">
        <f>IFERROR(INDEX('Product Master'!$A$7:$A$1000,_xlfn.AGGREGATE(15,6,(ROW('Product Master'!$A$7:$A$1000)-ROW('Product Master'!$A$7)+1)/(('Product Master'!$A$7:$A$1000&lt;&gt;"")*('Product Master'!$P$7:$P$1000="Out of Stock")),ROWS($I$12:I769))),"")</f>
        <v/>
      </c>
      <c r="J769" t="str">
        <f>IF($I769="","",INDEX('Product Master'!$B$7:$B$1000,MATCH($I769,'Product Master'!$A$7:$A$1000,0)))</f>
        <v/>
      </c>
      <c r="K769" t="str">
        <f>IF($I769="","",INDEX('Product Master'!$C$7:$C$1000,MATCH($I769,'Product Master'!$A$7:$A$1000,0)))</f>
        <v/>
      </c>
      <c r="L769" t="str">
        <f>IF($I769="","",INDEX('Product Master'!$M$7:$M$1000,MATCH($I769,'Product Master'!$A$7:$A$1000,0)))</f>
        <v/>
      </c>
      <c r="M769" t="str">
        <f>IF($I769="","",INDEX('Product Master'!$N$7:$N$1000,MATCH($I769,'Product Master'!$A$7:$A$1000,0)))</f>
        <v/>
      </c>
    </row>
    <row r="770" spans="1:13" x14ac:dyDescent="0.3">
      <c r="A770" t="str">
        <f>IFERROR(INDEX('Product Master'!$A$7:$A$1000,_xlfn.AGGREGATE(15,6,(ROW('Product Master'!$A$7:$A$1000)-ROW('Product Master'!$A$7)+1)/(('Product Master'!$A$7:$A$1000&lt;&gt;"")*('Product Master'!$P$7:$P$1000="Low Stock")),ROWS($A$12:A770))),"")</f>
        <v/>
      </c>
      <c r="B770" t="str">
        <f>IF($A770="","",INDEX('Product Master'!$B$7:$B$1000,MATCH($A770,'Product Master'!$A$7:$A$1000,0)))</f>
        <v/>
      </c>
      <c r="C770" t="str">
        <f>IF($A770="","",INDEX('Product Master'!$C$7:$C$1000,MATCH($A770,'Product Master'!$A$7:$A$1000,0)))</f>
        <v/>
      </c>
      <c r="D770" t="str">
        <f>IF($A770="","",INDEX('Product Master'!$M$7:$M$1000,MATCH($A770,'Product Master'!$A$7:$A$1000,0)))</f>
        <v/>
      </c>
      <c r="E770" t="str">
        <f>IF($A770="","",INDEX('Product Master'!$N$7:$N$1000,MATCH($A770,'Product Master'!$A$7:$A$1000,0)))</f>
        <v/>
      </c>
      <c r="F770" t="str">
        <f>IF($A770="","",INDEX('Product Master'!$P$7:$P$1000,MATCH($A770,'Product Master'!$A$7:$A$1000,0)))</f>
        <v/>
      </c>
      <c r="I770" t="str">
        <f>IFERROR(INDEX('Product Master'!$A$7:$A$1000,_xlfn.AGGREGATE(15,6,(ROW('Product Master'!$A$7:$A$1000)-ROW('Product Master'!$A$7)+1)/(('Product Master'!$A$7:$A$1000&lt;&gt;"")*('Product Master'!$P$7:$P$1000="Out of Stock")),ROWS($I$12:I770))),"")</f>
        <v/>
      </c>
      <c r="J770" t="str">
        <f>IF($I770="","",INDEX('Product Master'!$B$7:$B$1000,MATCH($I770,'Product Master'!$A$7:$A$1000,0)))</f>
        <v/>
      </c>
      <c r="K770" t="str">
        <f>IF($I770="","",INDEX('Product Master'!$C$7:$C$1000,MATCH($I770,'Product Master'!$A$7:$A$1000,0)))</f>
        <v/>
      </c>
      <c r="L770" t="str">
        <f>IF($I770="","",INDEX('Product Master'!$M$7:$M$1000,MATCH($I770,'Product Master'!$A$7:$A$1000,0)))</f>
        <v/>
      </c>
      <c r="M770" t="str">
        <f>IF($I770="","",INDEX('Product Master'!$N$7:$N$1000,MATCH($I770,'Product Master'!$A$7:$A$1000,0)))</f>
        <v/>
      </c>
    </row>
    <row r="771" spans="1:13" x14ac:dyDescent="0.3">
      <c r="A771" t="str">
        <f>IFERROR(INDEX('Product Master'!$A$7:$A$1000,_xlfn.AGGREGATE(15,6,(ROW('Product Master'!$A$7:$A$1000)-ROW('Product Master'!$A$7)+1)/(('Product Master'!$A$7:$A$1000&lt;&gt;"")*('Product Master'!$P$7:$P$1000="Low Stock")),ROWS($A$12:A771))),"")</f>
        <v/>
      </c>
      <c r="B771" t="str">
        <f>IF($A771="","",INDEX('Product Master'!$B$7:$B$1000,MATCH($A771,'Product Master'!$A$7:$A$1000,0)))</f>
        <v/>
      </c>
      <c r="C771" t="str">
        <f>IF($A771="","",INDEX('Product Master'!$C$7:$C$1000,MATCH($A771,'Product Master'!$A$7:$A$1000,0)))</f>
        <v/>
      </c>
      <c r="D771" t="str">
        <f>IF($A771="","",INDEX('Product Master'!$M$7:$M$1000,MATCH($A771,'Product Master'!$A$7:$A$1000,0)))</f>
        <v/>
      </c>
      <c r="E771" t="str">
        <f>IF($A771="","",INDEX('Product Master'!$N$7:$N$1000,MATCH($A771,'Product Master'!$A$7:$A$1000,0)))</f>
        <v/>
      </c>
      <c r="F771" t="str">
        <f>IF($A771="","",INDEX('Product Master'!$P$7:$P$1000,MATCH($A771,'Product Master'!$A$7:$A$1000,0)))</f>
        <v/>
      </c>
      <c r="I771" t="str">
        <f>IFERROR(INDEX('Product Master'!$A$7:$A$1000,_xlfn.AGGREGATE(15,6,(ROW('Product Master'!$A$7:$A$1000)-ROW('Product Master'!$A$7)+1)/(('Product Master'!$A$7:$A$1000&lt;&gt;"")*('Product Master'!$P$7:$P$1000="Out of Stock")),ROWS($I$12:I771))),"")</f>
        <v/>
      </c>
      <c r="J771" t="str">
        <f>IF($I771="","",INDEX('Product Master'!$B$7:$B$1000,MATCH($I771,'Product Master'!$A$7:$A$1000,0)))</f>
        <v/>
      </c>
      <c r="K771" t="str">
        <f>IF($I771="","",INDEX('Product Master'!$C$7:$C$1000,MATCH($I771,'Product Master'!$A$7:$A$1000,0)))</f>
        <v/>
      </c>
      <c r="L771" t="str">
        <f>IF($I771="","",INDEX('Product Master'!$M$7:$M$1000,MATCH($I771,'Product Master'!$A$7:$A$1000,0)))</f>
        <v/>
      </c>
      <c r="M771" t="str">
        <f>IF($I771="","",INDEX('Product Master'!$N$7:$N$1000,MATCH($I771,'Product Master'!$A$7:$A$1000,0)))</f>
        <v/>
      </c>
    </row>
    <row r="772" spans="1:13" x14ac:dyDescent="0.3">
      <c r="A772" t="str">
        <f>IFERROR(INDEX('Product Master'!$A$7:$A$1000,_xlfn.AGGREGATE(15,6,(ROW('Product Master'!$A$7:$A$1000)-ROW('Product Master'!$A$7)+1)/(('Product Master'!$A$7:$A$1000&lt;&gt;"")*('Product Master'!$P$7:$P$1000="Low Stock")),ROWS($A$12:A772))),"")</f>
        <v/>
      </c>
      <c r="B772" t="str">
        <f>IF($A772="","",INDEX('Product Master'!$B$7:$B$1000,MATCH($A772,'Product Master'!$A$7:$A$1000,0)))</f>
        <v/>
      </c>
      <c r="C772" t="str">
        <f>IF($A772="","",INDEX('Product Master'!$C$7:$C$1000,MATCH($A772,'Product Master'!$A$7:$A$1000,0)))</f>
        <v/>
      </c>
      <c r="D772" t="str">
        <f>IF($A772="","",INDEX('Product Master'!$M$7:$M$1000,MATCH($A772,'Product Master'!$A$7:$A$1000,0)))</f>
        <v/>
      </c>
      <c r="E772" t="str">
        <f>IF($A772="","",INDEX('Product Master'!$N$7:$N$1000,MATCH($A772,'Product Master'!$A$7:$A$1000,0)))</f>
        <v/>
      </c>
      <c r="F772" t="str">
        <f>IF($A772="","",INDEX('Product Master'!$P$7:$P$1000,MATCH($A772,'Product Master'!$A$7:$A$1000,0)))</f>
        <v/>
      </c>
      <c r="I772" t="str">
        <f>IFERROR(INDEX('Product Master'!$A$7:$A$1000,_xlfn.AGGREGATE(15,6,(ROW('Product Master'!$A$7:$A$1000)-ROW('Product Master'!$A$7)+1)/(('Product Master'!$A$7:$A$1000&lt;&gt;"")*('Product Master'!$P$7:$P$1000="Out of Stock")),ROWS($I$12:I772))),"")</f>
        <v/>
      </c>
      <c r="J772" t="str">
        <f>IF($I772="","",INDEX('Product Master'!$B$7:$B$1000,MATCH($I772,'Product Master'!$A$7:$A$1000,0)))</f>
        <v/>
      </c>
      <c r="K772" t="str">
        <f>IF($I772="","",INDEX('Product Master'!$C$7:$C$1000,MATCH($I772,'Product Master'!$A$7:$A$1000,0)))</f>
        <v/>
      </c>
      <c r="L772" t="str">
        <f>IF($I772="","",INDEX('Product Master'!$M$7:$M$1000,MATCH($I772,'Product Master'!$A$7:$A$1000,0)))</f>
        <v/>
      </c>
      <c r="M772" t="str">
        <f>IF($I772="","",INDEX('Product Master'!$N$7:$N$1000,MATCH($I772,'Product Master'!$A$7:$A$1000,0)))</f>
        <v/>
      </c>
    </row>
    <row r="773" spans="1:13" x14ac:dyDescent="0.3">
      <c r="A773" t="str">
        <f>IFERROR(INDEX('Product Master'!$A$7:$A$1000,_xlfn.AGGREGATE(15,6,(ROW('Product Master'!$A$7:$A$1000)-ROW('Product Master'!$A$7)+1)/(('Product Master'!$A$7:$A$1000&lt;&gt;"")*('Product Master'!$P$7:$P$1000="Low Stock")),ROWS($A$12:A773))),"")</f>
        <v/>
      </c>
      <c r="B773" t="str">
        <f>IF($A773="","",INDEX('Product Master'!$B$7:$B$1000,MATCH($A773,'Product Master'!$A$7:$A$1000,0)))</f>
        <v/>
      </c>
      <c r="C773" t="str">
        <f>IF($A773="","",INDEX('Product Master'!$C$7:$C$1000,MATCH($A773,'Product Master'!$A$7:$A$1000,0)))</f>
        <v/>
      </c>
      <c r="D773" t="str">
        <f>IF($A773="","",INDEX('Product Master'!$M$7:$M$1000,MATCH($A773,'Product Master'!$A$7:$A$1000,0)))</f>
        <v/>
      </c>
      <c r="E773" t="str">
        <f>IF($A773="","",INDEX('Product Master'!$N$7:$N$1000,MATCH($A773,'Product Master'!$A$7:$A$1000,0)))</f>
        <v/>
      </c>
      <c r="F773" t="str">
        <f>IF($A773="","",INDEX('Product Master'!$P$7:$P$1000,MATCH($A773,'Product Master'!$A$7:$A$1000,0)))</f>
        <v/>
      </c>
      <c r="I773" t="str">
        <f>IFERROR(INDEX('Product Master'!$A$7:$A$1000,_xlfn.AGGREGATE(15,6,(ROW('Product Master'!$A$7:$A$1000)-ROW('Product Master'!$A$7)+1)/(('Product Master'!$A$7:$A$1000&lt;&gt;"")*('Product Master'!$P$7:$P$1000="Out of Stock")),ROWS($I$12:I773))),"")</f>
        <v/>
      </c>
      <c r="J773" t="str">
        <f>IF($I773="","",INDEX('Product Master'!$B$7:$B$1000,MATCH($I773,'Product Master'!$A$7:$A$1000,0)))</f>
        <v/>
      </c>
      <c r="K773" t="str">
        <f>IF($I773="","",INDEX('Product Master'!$C$7:$C$1000,MATCH($I773,'Product Master'!$A$7:$A$1000,0)))</f>
        <v/>
      </c>
      <c r="L773" t="str">
        <f>IF($I773="","",INDEX('Product Master'!$M$7:$M$1000,MATCH($I773,'Product Master'!$A$7:$A$1000,0)))</f>
        <v/>
      </c>
      <c r="M773" t="str">
        <f>IF($I773="","",INDEX('Product Master'!$N$7:$N$1000,MATCH($I773,'Product Master'!$A$7:$A$1000,0)))</f>
        <v/>
      </c>
    </row>
    <row r="774" spans="1:13" x14ac:dyDescent="0.3">
      <c r="A774" t="str">
        <f>IFERROR(INDEX('Product Master'!$A$7:$A$1000,_xlfn.AGGREGATE(15,6,(ROW('Product Master'!$A$7:$A$1000)-ROW('Product Master'!$A$7)+1)/(('Product Master'!$A$7:$A$1000&lt;&gt;"")*('Product Master'!$P$7:$P$1000="Low Stock")),ROWS($A$12:A774))),"")</f>
        <v/>
      </c>
      <c r="B774" t="str">
        <f>IF($A774="","",INDEX('Product Master'!$B$7:$B$1000,MATCH($A774,'Product Master'!$A$7:$A$1000,0)))</f>
        <v/>
      </c>
      <c r="C774" t="str">
        <f>IF($A774="","",INDEX('Product Master'!$C$7:$C$1000,MATCH($A774,'Product Master'!$A$7:$A$1000,0)))</f>
        <v/>
      </c>
      <c r="D774" t="str">
        <f>IF($A774="","",INDEX('Product Master'!$M$7:$M$1000,MATCH($A774,'Product Master'!$A$7:$A$1000,0)))</f>
        <v/>
      </c>
      <c r="E774" t="str">
        <f>IF($A774="","",INDEX('Product Master'!$N$7:$N$1000,MATCH($A774,'Product Master'!$A$7:$A$1000,0)))</f>
        <v/>
      </c>
      <c r="F774" t="str">
        <f>IF($A774="","",INDEX('Product Master'!$P$7:$P$1000,MATCH($A774,'Product Master'!$A$7:$A$1000,0)))</f>
        <v/>
      </c>
      <c r="I774" t="str">
        <f>IFERROR(INDEX('Product Master'!$A$7:$A$1000,_xlfn.AGGREGATE(15,6,(ROW('Product Master'!$A$7:$A$1000)-ROW('Product Master'!$A$7)+1)/(('Product Master'!$A$7:$A$1000&lt;&gt;"")*('Product Master'!$P$7:$P$1000="Out of Stock")),ROWS($I$12:I774))),"")</f>
        <v/>
      </c>
      <c r="J774" t="str">
        <f>IF($I774="","",INDEX('Product Master'!$B$7:$B$1000,MATCH($I774,'Product Master'!$A$7:$A$1000,0)))</f>
        <v/>
      </c>
      <c r="K774" t="str">
        <f>IF($I774="","",INDEX('Product Master'!$C$7:$C$1000,MATCH($I774,'Product Master'!$A$7:$A$1000,0)))</f>
        <v/>
      </c>
      <c r="L774" t="str">
        <f>IF($I774="","",INDEX('Product Master'!$M$7:$M$1000,MATCH($I774,'Product Master'!$A$7:$A$1000,0)))</f>
        <v/>
      </c>
      <c r="M774" t="str">
        <f>IF($I774="","",INDEX('Product Master'!$N$7:$N$1000,MATCH($I774,'Product Master'!$A$7:$A$1000,0)))</f>
        <v/>
      </c>
    </row>
    <row r="775" spans="1:13" x14ac:dyDescent="0.3">
      <c r="A775" t="str">
        <f>IFERROR(INDEX('Product Master'!$A$7:$A$1000,_xlfn.AGGREGATE(15,6,(ROW('Product Master'!$A$7:$A$1000)-ROW('Product Master'!$A$7)+1)/(('Product Master'!$A$7:$A$1000&lt;&gt;"")*('Product Master'!$P$7:$P$1000="Low Stock")),ROWS($A$12:A775))),"")</f>
        <v/>
      </c>
      <c r="B775" t="str">
        <f>IF($A775="","",INDEX('Product Master'!$B$7:$B$1000,MATCH($A775,'Product Master'!$A$7:$A$1000,0)))</f>
        <v/>
      </c>
      <c r="C775" t="str">
        <f>IF($A775="","",INDEX('Product Master'!$C$7:$C$1000,MATCH($A775,'Product Master'!$A$7:$A$1000,0)))</f>
        <v/>
      </c>
      <c r="D775" t="str">
        <f>IF($A775="","",INDEX('Product Master'!$M$7:$M$1000,MATCH($A775,'Product Master'!$A$7:$A$1000,0)))</f>
        <v/>
      </c>
      <c r="E775" t="str">
        <f>IF($A775="","",INDEX('Product Master'!$N$7:$N$1000,MATCH($A775,'Product Master'!$A$7:$A$1000,0)))</f>
        <v/>
      </c>
      <c r="F775" t="str">
        <f>IF($A775="","",INDEX('Product Master'!$P$7:$P$1000,MATCH($A775,'Product Master'!$A$7:$A$1000,0)))</f>
        <v/>
      </c>
      <c r="I775" t="str">
        <f>IFERROR(INDEX('Product Master'!$A$7:$A$1000,_xlfn.AGGREGATE(15,6,(ROW('Product Master'!$A$7:$A$1000)-ROW('Product Master'!$A$7)+1)/(('Product Master'!$A$7:$A$1000&lt;&gt;"")*('Product Master'!$P$7:$P$1000="Out of Stock")),ROWS($I$12:I775))),"")</f>
        <v/>
      </c>
      <c r="J775" t="str">
        <f>IF($I775="","",INDEX('Product Master'!$B$7:$B$1000,MATCH($I775,'Product Master'!$A$7:$A$1000,0)))</f>
        <v/>
      </c>
      <c r="K775" t="str">
        <f>IF($I775="","",INDEX('Product Master'!$C$7:$C$1000,MATCH($I775,'Product Master'!$A$7:$A$1000,0)))</f>
        <v/>
      </c>
      <c r="L775" t="str">
        <f>IF($I775="","",INDEX('Product Master'!$M$7:$M$1000,MATCH($I775,'Product Master'!$A$7:$A$1000,0)))</f>
        <v/>
      </c>
      <c r="M775" t="str">
        <f>IF($I775="","",INDEX('Product Master'!$N$7:$N$1000,MATCH($I775,'Product Master'!$A$7:$A$1000,0)))</f>
        <v/>
      </c>
    </row>
    <row r="776" spans="1:13" x14ac:dyDescent="0.3">
      <c r="A776" t="str">
        <f>IFERROR(INDEX('Product Master'!$A$7:$A$1000,_xlfn.AGGREGATE(15,6,(ROW('Product Master'!$A$7:$A$1000)-ROW('Product Master'!$A$7)+1)/(('Product Master'!$A$7:$A$1000&lt;&gt;"")*('Product Master'!$P$7:$P$1000="Low Stock")),ROWS($A$12:A776))),"")</f>
        <v/>
      </c>
      <c r="B776" t="str">
        <f>IF($A776="","",INDEX('Product Master'!$B$7:$B$1000,MATCH($A776,'Product Master'!$A$7:$A$1000,0)))</f>
        <v/>
      </c>
      <c r="C776" t="str">
        <f>IF($A776="","",INDEX('Product Master'!$C$7:$C$1000,MATCH($A776,'Product Master'!$A$7:$A$1000,0)))</f>
        <v/>
      </c>
      <c r="D776" t="str">
        <f>IF($A776="","",INDEX('Product Master'!$M$7:$M$1000,MATCH($A776,'Product Master'!$A$7:$A$1000,0)))</f>
        <v/>
      </c>
      <c r="E776" t="str">
        <f>IF($A776="","",INDEX('Product Master'!$N$7:$N$1000,MATCH($A776,'Product Master'!$A$7:$A$1000,0)))</f>
        <v/>
      </c>
      <c r="F776" t="str">
        <f>IF($A776="","",INDEX('Product Master'!$P$7:$P$1000,MATCH($A776,'Product Master'!$A$7:$A$1000,0)))</f>
        <v/>
      </c>
      <c r="I776" t="str">
        <f>IFERROR(INDEX('Product Master'!$A$7:$A$1000,_xlfn.AGGREGATE(15,6,(ROW('Product Master'!$A$7:$A$1000)-ROW('Product Master'!$A$7)+1)/(('Product Master'!$A$7:$A$1000&lt;&gt;"")*('Product Master'!$P$7:$P$1000="Out of Stock")),ROWS($I$12:I776))),"")</f>
        <v/>
      </c>
      <c r="J776" t="str">
        <f>IF($I776="","",INDEX('Product Master'!$B$7:$B$1000,MATCH($I776,'Product Master'!$A$7:$A$1000,0)))</f>
        <v/>
      </c>
      <c r="K776" t="str">
        <f>IF($I776="","",INDEX('Product Master'!$C$7:$C$1000,MATCH($I776,'Product Master'!$A$7:$A$1000,0)))</f>
        <v/>
      </c>
      <c r="L776" t="str">
        <f>IF($I776="","",INDEX('Product Master'!$M$7:$M$1000,MATCH($I776,'Product Master'!$A$7:$A$1000,0)))</f>
        <v/>
      </c>
      <c r="M776" t="str">
        <f>IF($I776="","",INDEX('Product Master'!$N$7:$N$1000,MATCH($I776,'Product Master'!$A$7:$A$1000,0)))</f>
        <v/>
      </c>
    </row>
    <row r="777" spans="1:13" x14ac:dyDescent="0.3">
      <c r="A777" t="str">
        <f>IFERROR(INDEX('Product Master'!$A$7:$A$1000,_xlfn.AGGREGATE(15,6,(ROW('Product Master'!$A$7:$A$1000)-ROW('Product Master'!$A$7)+1)/(('Product Master'!$A$7:$A$1000&lt;&gt;"")*('Product Master'!$P$7:$P$1000="Low Stock")),ROWS($A$12:A777))),"")</f>
        <v/>
      </c>
      <c r="B777" t="str">
        <f>IF($A777="","",INDEX('Product Master'!$B$7:$B$1000,MATCH($A777,'Product Master'!$A$7:$A$1000,0)))</f>
        <v/>
      </c>
      <c r="C777" t="str">
        <f>IF($A777="","",INDEX('Product Master'!$C$7:$C$1000,MATCH($A777,'Product Master'!$A$7:$A$1000,0)))</f>
        <v/>
      </c>
      <c r="D777" t="str">
        <f>IF($A777="","",INDEX('Product Master'!$M$7:$M$1000,MATCH($A777,'Product Master'!$A$7:$A$1000,0)))</f>
        <v/>
      </c>
      <c r="E777" t="str">
        <f>IF($A777="","",INDEX('Product Master'!$N$7:$N$1000,MATCH($A777,'Product Master'!$A$7:$A$1000,0)))</f>
        <v/>
      </c>
      <c r="F777" t="str">
        <f>IF($A777="","",INDEX('Product Master'!$P$7:$P$1000,MATCH($A777,'Product Master'!$A$7:$A$1000,0)))</f>
        <v/>
      </c>
      <c r="I777" t="str">
        <f>IFERROR(INDEX('Product Master'!$A$7:$A$1000,_xlfn.AGGREGATE(15,6,(ROW('Product Master'!$A$7:$A$1000)-ROW('Product Master'!$A$7)+1)/(('Product Master'!$A$7:$A$1000&lt;&gt;"")*('Product Master'!$P$7:$P$1000="Out of Stock")),ROWS($I$12:I777))),"")</f>
        <v/>
      </c>
      <c r="J777" t="str">
        <f>IF($I777="","",INDEX('Product Master'!$B$7:$B$1000,MATCH($I777,'Product Master'!$A$7:$A$1000,0)))</f>
        <v/>
      </c>
      <c r="K777" t="str">
        <f>IF($I777="","",INDEX('Product Master'!$C$7:$C$1000,MATCH($I777,'Product Master'!$A$7:$A$1000,0)))</f>
        <v/>
      </c>
      <c r="L777" t="str">
        <f>IF($I777="","",INDEX('Product Master'!$M$7:$M$1000,MATCH($I777,'Product Master'!$A$7:$A$1000,0)))</f>
        <v/>
      </c>
      <c r="M777" t="str">
        <f>IF($I777="","",INDEX('Product Master'!$N$7:$N$1000,MATCH($I777,'Product Master'!$A$7:$A$1000,0)))</f>
        <v/>
      </c>
    </row>
    <row r="778" spans="1:13" x14ac:dyDescent="0.3">
      <c r="A778" t="str">
        <f>IFERROR(INDEX('Product Master'!$A$7:$A$1000,_xlfn.AGGREGATE(15,6,(ROW('Product Master'!$A$7:$A$1000)-ROW('Product Master'!$A$7)+1)/(('Product Master'!$A$7:$A$1000&lt;&gt;"")*('Product Master'!$P$7:$P$1000="Low Stock")),ROWS($A$12:A778))),"")</f>
        <v/>
      </c>
      <c r="B778" t="str">
        <f>IF($A778="","",INDEX('Product Master'!$B$7:$B$1000,MATCH($A778,'Product Master'!$A$7:$A$1000,0)))</f>
        <v/>
      </c>
      <c r="C778" t="str">
        <f>IF($A778="","",INDEX('Product Master'!$C$7:$C$1000,MATCH($A778,'Product Master'!$A$7:$A$1000,0)))</f>
        <v/>
      </c>
      <c r="D778" t="str">
        <f>IF($A778="","",INDEX('Product Master'!$M$7:$M$1000,MATCH($A778,'Product Master'!$A$7:$A$1000,0)))</f>
        <v/>
      </c>
      <c r="E778" t="str">
        <f>IF($A778="","",INDEX('Product Master'!$N$7:$N$1000,MATCH($A778,'Product Master'!$A$7:$A$1000,0)))</f>
        <v/>
      </c>
      <c r="F778" t="str">
        <f>IF($A778="","",INDEX('Product Master'!$P$7:$P$1000,MATCH($A778,'Product Master'!$A$7:$A$1000,0)))</f>
        <v/>
      </c>
      <c r="I778" t="str">
        <f>IFERROR(INDEX('Product Master'!$A$7:$A$1000,_xlfn.AGGREGATE(15,6,(ROW('Product Master'!$A$7:$A$1000)-ROW('Product Master'!$A$7)+1)/(('Product Master'!$A$7:$A$1000&lt;&gt;"")*('Product Master'!$P$7:$P$1000="Out of Stock")),ROWS($I$12:I778))),"")</f>
        <v/>
      </c>
      <c r="J778" t="str">
        <f>IF($I778="","",INDEX('Product Master'!$B$7:$B$1000,MATCH($I778,'Product Master'!$A$7:$A$1000,0)))</f>
        <v/>
      </c>
      <c r="K778" t="str">
        <f>IF($I778="","",INDEX('Product Master'!$C$7:$C$1000,MATCH($I778,'Product Master'!$A$7:$A$1000,0)))</f>
        <v/>
      </c>
      <c r="L778" t="str">
        <f>IF($I778="","",INDEX('Product Master'!$M$7:$M$1000,MATCH($I778,'Product Master'!$A$7:$A$1000,0)))</f>
        <v/>
      </c>
      <c r="M778" t="str">
        <f>IF($I778="","",INDEX('Product Master'!$N$7:$N$1000,MATCH($I778,'Product Master'!$A$7:$A$1000,0)))</f>
        <v/>
      </c>
    </row>
    <row r="779" spans="1:13" x14ac:dyDescent="0.3">
      <c r="A779" t="str">
        <f>IFERROR(INDEX('Product Master'!$A$7:$A$1000,_xlfn.AGGREGATE(15,6,(ROW('Product Master'!$A$7:$A$1000)-ROW('Product Master'!$A$7)+1)/(('Product Master'!$A$7:$A$1000&lt;&gt;"")*('Product Master'!$P$7:$P$1000="Low Stock")),ROWS($A$12:A779))),"")</f>
        <v/>
      </c>
      <c r="B779" t="str">
        <f>IF($A779="","",INDEX('Product Master'!$B$7:$B$1000,MATCH($A779,'Product Master'!$A$7:$A$1000,0)))</f>
        <v/>
      </c>
      <c r="C779" t="str">
        <f>IF($A779="","",INDEX('Product Master'!$C$7:$C$1000,MATCH($A779,'Product Master'!$A$7:$A$1000,0)))</f>
        <v/>
      </c>
      <c r="D779" t="str">
        <f>IF($A779="","",INDEX('Product Master'!$M$7:$M$1000,MATCH($A779,'Product Master'!$A$7:$A$1000,0)))</f>
        <v/>
      </c>
      <c r="E779" t="str">
        <f>IF($A779="","",INDEX('Product Master'!$N$7:$N$1000,MATCH($A779,'Product Master'!$A$7:$A$1000,0)))</f>
        <v/>
      </c>
      <c r="F779" t="str">
        <f>IF($A779="","",INDEX('Product Master'!$P$7:$P$1000,MATCH($A779,'Product Master'!$A$7:$A$1000,0)))</f>
        <v/>
      </c>
      <c r="I779" t="str">
        <f>IFERROR(INDEX('Product Master'!$A$7:$A$1000,_xlfn.AGGREGATE(15,6,(ROW('Product Master'!$A$7:$A$1000)-ROW('Product Master'!$A$7)+1)/(('Product Master'!$A$7:$A$1000&lt;&gt;"")*('Product Master'!$P$7:$P$1000="Out of Stock")),ROWS($I$12:I779))),"")</f>
        <v/>
      </c>
      <c r="J779" t="str">
        <f>IF($I779="","",INDEX('Product Master'!$B$7:$B$1000,MATCH($I779,'Product Master'!$A$7:$A$1000,0)))</f>
        <v/>
      </c>
      <c r="K779" t="str">
        <f>IF($I779="","",INDEX('Product Master'!$C$7:$C$1000,MATCH($I779,'Product Master'!$A$7:$A$1000,0)))</f>
        <v/>
      </c>
      <c r="L779" t="str">
        <f>IF($I779="","",INDEX('Product Master'!$M$7:$M$1000,MATCH($I779,'Product Master'!$A$7:$A$1000,0)))</f>
        <v/>
      </c>
      <c r="M779" t="str">
        <f>IF($I779="","",INDEX('Product Master'!$N$7:$N$1000,MATCH($I779,'Product Master'!$A$7:$A$1000,0)))</f>
        <v/>
      </c>
    </row>
    <row r="780" spans="1:13" x14ac:dyDescent="0.3">
      <c r="A780" t="str">
        <f>IFERROR(INDEX('Product Master'!$A$7:$A$1000,_xlfn.AGGREGATE(15,6,(ROW('Product Master'!$A$7:$A$1000)-ROW('Product Master'!$A$7)+1)/(('Product Master'!$A$7:$A$1000&lt;&gt;"")*('Product Master'!$P$7:$P$1000="Low Stock")),ROWS($A$12:A780))),"")</f>
        <v/>
      </c>
      <c r="B780" t="str">
        <f>IF($A780="","",INDEX('Product Master'!$B$7:$B$1000,MATCH($A780,'Product Master'!$A$7:$A$1000,0)))</f>
        <v/>
      </c>
      <c r="C780" t="str">
        <f>IF($A780="","",INDEX('Product Master'!$C$7:$C$1000,MATCH($A780,'Product Master'!$A$7:$A$1000,0)))</f>
        <v/>
      </c>
      <c r="D780" t="str">
        <f>IF($A780="","",INDEX('Product Master'!$M$7:$M$1000,MATCH($A780,'Product Master'!$A$7:$A$1000,0)))</f>
        <v/>
      </c>
      <c r="E780" t="str">
        <f>IF($A780="","",INDEX('Product Master'!$N$7:$N$1000,MATCH($A780,'Product Master'!$A$7:$A$1000,0)))</f>
        <v/>
      </c>
      <c r="F780" t="str">
        <f>IF($A780="","",INDEX('Product Master'!$P$7:$P$1000,MATCH($A780,'Product Master'!$A$7:$A$1000,0)))</f>
        <v/>
      </c>
      <c r="I780" t="str">
        <f>IFERROR(INDEX('Product Master'!$A$7:$A$1000,_xlfn.AGGREGATE(15,6,(ROW('Product Master'!$A$7:$A$1000)-ROW('Product Master'!$A$7)+1)/(('Product Master'!$A$7:$A$1000&lt;&gt;"")*('Product Master'!$P$7:$P$1000="Out of Stock")),ROWS($I$12:I780))),"")</f>
        <v/>
      </c>
      <c r="J780" t="str">
        <f>IF($I780="","",INDEX('Product Master'!$B$7:$B$1000,MATCH($I780,'Product Master'!$A$7:$A$1000,0)))</f>
        <v/>
      </c>
      <c r="K780" t="str">
        <f>IF($I780="","",INDEX('Product Master'!$C$7:$C$1000,MATCH($I780,'Product Master'!$A$7:$A$1000,0)))</f>
        <v/>
      </c>
      <c r="L780" t="str">
        <f>IF($I780="","",INDEX('Product Master'!$M$7:$M$1000,MATCH($I780,'Product Master'!$A$7:$A$1000,0)))</f>
        <v/>
      </c>
      <c r="M780" t="str">
        <f>IF($I780="","",INDEX('Product Master'!$N$7:$N$1000,MATCH($I780,'Product Master'!$A$7:$A$1000,0)))</f>
        <v/>
      </c>
    </row>
    <row r="781" spans="1:13" x14ac:dyDescent="0.3">
      <c r="A781" t="str">
        <f>IFERROR(INDEX('Product Master'!$A$7:$A$1000,_xlfn.AGGREGATE(15,6,(ROW('Product Master'!$A$7:$A$1000)-ROW('Product Master'!$A$7)+1)/(('Product Master'!$A$7:$A$1000&lt;&gt;"")*('Product Master'!$P$7:$P$1000="Low Stock")),ROWS($A$12:A781))),"")</f>
        <v/>
      </c>
      <c r="B781" t="str">
        <f>IF($A781="","",INDEX('Product Master'!$B$7:$B$1000,MATCH($A781,'Product Master'!$A$7:$A$1000,0)))</f>
        <v/>
      </c>
      <c r="C781" t="str">
        <f>IF($A781="","",INDEX('Product Master'!$C$7:$C$1000,MATCH($A781,'Product Master'!$A$7:$A$1000,0)))</f>
        <v/>
      </c>
      <c r="D781" t="str">
        <f>IF($A781="","",INDEX('Product Master'!$M$7:$M$1000,MATCH($A781,'Product Master'!$A$7:$A$1000,0)))</f>
        <v/>
      </c>
      <c r="E781" t="str">
        <f>IF($A781="","",INDEX('Product Master'!$N$7:$N$1000,MATCH($A781,'Product Master'!$A$7:$A$1000,0)))</f>
        <v/>
      </c>
      <c r="F781" t="str">
        <f>IF($A781="","",INDEX('Product Master'!$P$7:$P$1000,MATCH($A781,'Product Master'!$A$7:$A$1000,0)))</f>
        <v/>
      </c>
      <c r="I781" t="str">
        <f>IFERROR(INDEX('Product Master'!$A$7:$A$1000,_xlfn.AGGREGATE(15,6,(ROW('Product Master'!$A$7:$A$1000)-ROW('Product Master'!$A$7)+1)/(('Product Master'!$A$7:$A$1000&lt;&gt;"")*('Product Master'!$P$7:$P$1000="Out of Stock")),ROWS($I$12:I781))),"")</f>
        <v/>
      </c>
      <c r="J781" t="str">
        <f>IF($I781="","",INDEX('Product Master'!$B$7:$B$1000,MATCH($I781,'Product Master'!$A$7:$A$1000,0)))</f>
        <v/>
      </c>
      <c r="K781" t="str">
        <f>IF($I781="","",INDEX('Product Master'!$C$7:$C$1000,MATCH($I781,'Product Master'!$A$7:$A$1000,0)))</f>
        <v/>
      </c>
      <c r="L781" t="str">
        <f>IF($I781="","",INDEX('Product Master'!$M$7:$M$1000,MATCH($I781,'Product Master'!$A$7:$A$1000,0)))</f>
        <v/>
      </c>
      <c r="M781" t="str">
        <f>IF($I781="","",INDEX('Product Master'!$N$7:$N$1000,MATCH($I781,'Product Master'!$A$7:$A$1000,0)))</f>
        <v/>
      </c>
    </row>
    <row r="782" spans="1:13" x14ac:dyDescent="0.3">
      <c r="A782" t="str">
        <f>IFERROR(INDEX('Product Master'!$A$7:$A$1000,_xlfn.AGGREGATE(15,6,(ROW('Product Master'!$A$7:$A$1000)-ROW('Product Master'!$A$7)+1)/(('Product Master'!$A$7:$A$1000&lt;&gt;"")*('Product Master'!$P$7:$P$1000="Low Stock")),ROWS($A$12:A782))),"")</f>
        <v/>
      </c>
      <c r="B782" t="str">
        <f>IF($A782="","",INDEX('Product Master'!$B$7:$B$1000,MATCH($A782,'Product Master'!$A$7:$A$1000,0)))</f>
        <v/>
      </c>
      <c r="C782" t="str">
        <f>IF($A782="","",INDEX('Product Master'!$C$7:$C$1000,MATCH($A782,'Product Master'!$A$7:$A$1000,0)))</f>
        <v/>
      </c>
      <c r="D782" t="str">
        <f>IF($A782="","",INDEX('Product Master'!$M$7:$M$1000,MATCH($A782,'Product Master'!$A$7:$A$1000,0)))</f>
        <v/>
      </c>
      <c r="E782" t="str">
        <f>IF($A782="","",INDEX('Product Master'!$N$7:$N$1000,MATCH($A782,'Product Master'!$A$7:$A$1000,0)))</f>
        <v/>
      </c>
      <c r="F782" t="str">
        <f>IF($A782="","",INDEX('Product Master'!$P$7:$P$1000,MATCH($A782,'Product Master'!$A$7:$A$1000,0)))</f>
        <v/>
      </c>
      <c r="I782" t="str">
        <f>IFERROR(INDEX('Product Master'!$A$7:$A$1000,_xlfn.AGGREGATE(15,6,(ROW('Product Master'!$A$7:$A$1000)-ROW('Product Master'!$A$7)+1)/(('Product Master'!$A$7:$A$1000&lt;&gt;"")*('Product Master'!$P$7:$P$1000="Out of Stock")),ROWS($I$12:I782))),"")</f>
        <v/>
      </c>
      <c r="J782" t="str">
        <f>IF($I782="","",INDEX('Product Master'!$B$7:$B$1000,MATCH($I782,'Product Master'!$A$7:$A$1000,0)))</f>
        <v/>
      </c>
      <c r="K782" t="str">
        <f>IF($I782="","",INDEX('Product Master'!$C$7:$C$1000,MATCH($I782,'Product Master'!$A$7:$A$1000,0)))</f>
        <v/>
      </c>
      <c r="L782" t="str">
        <f>IF($I782="","",INDEX('Product Master'!$M$7:$M$1000,MATCH($I782,'Product Master'!$A$7:$A$1000,0)))</f>
        <v/>
      </c>
      <c r="M782" t="str">
        <f>IF($I782="","",INDEX('Product Master'!$N$7:$N$1000,MATCH($I782,'Product Master'!$A$7:$A$1000,0)))</f>
        <v/>
      </c>
    </row>
    <row r="783" spans="1:13" x14ac:dyDescent="0.3">
      <c r="A783" t="str">
        <f>IFERROR(INDEX('Product Master'!$A$7:$A$1000,_xlfn.AGGREGATE(15,6,(ROW('Product Master'!$A$7:$A$1000)-ROW('Product Master'!$A$7)+1)/(('Product Master'!$A$7:$A$1000&lt;&gt;"")*('Product Master'!$P$7:$P$1000="Low Stock")),ROWS($A$12:A783))),"")</f>
        <v/>
      </c>
      <c r="B783" t="str">
        <f>IF($A783="","",INDEX('Product Master'!$B$7:$B$1000,MATCH($A783,'Product Master'!$A$7:$A$1000,0)))</f>
        <v/>
      </c>
      <c r="C783" t="str">
        <f>IF($A783="","",INDEX('Product Master'!$C$7:$C$1000,MATCH($A783,'Product Master'!$A$7:$A$1000,0)))</f>
        <v/>
      </c>
      <c r="D783" t="str">
        <f>IF($A783="","",INDEX('Product Master'!$M$7:$M$1000,MATCH($A783,'Product Master'!$A$7:$A$1000,0)))</f>
        <v/>
      </c>
      <c r="E783" t="str">
        <f>IF($A783="","",INDEX('Product Master'!$N$7:$N$1000,MATCH($A783,'Product Master'!$A$7:$A$1000,0)))</f>
        <v/>
      </c>
      <c r="F783" t="str">
        <f>IF($A783="","",INDEX('Product Master'!$P$7:$P$1000,MATCH($A783,'Product Master'!$A$7:$A$1000,0)))</f>
        <v/>
      </c>
      <c r="I783" t="str">
        <f>IFERROR(INDEX('Product Master'!$A$7:$A$1000,_xlfn.AGGREGATE(15,6,(ROW('Product Master'!$A$7:$A$1000)-ROW('Product Master'!$A$7)+1)/(('Product Master'!$A$7:$A$1000&lt;&gt;"")*('Product Master'!$P$7:$P$1000="Out of Stock")),ROWS($I$12:I783))),"")</f>
        <v/>
      </c>
      <c r="J783" t="str">
        <f>IF($I783="","",INDEX('Product Master'!$B$7:$B$1000,MATCH($I783,'Product Master'!$A$7:$A$1000,0)))</f>
        <v/>
      </c>
      <c r="K783" t="str">
        <f>IF($I783="","",INDEX('Product Master'!$C$7:$C$1000,MATCH($I783,'Product Master'!$A$7:$A$1000,0)))</f>
        <v/>
      </c>
      <c r="L783" t="str">
        <f>IF($I783="","",INDEX('Product Master'!$M$7:$M$1000,MATCH($I783,'Product Master'!$A$7:$A$1000,0)))</f>
        <v/>
      </c>
      <c r="M783" t="str">
        <f>IF($I783="","",INDEX('Product Master'!$N$7:$N$1000,MATCH($I783,'Product Master'!$A$7:$A$1000,0)))</f>
        <v/>
      </c>
    </row>
    <row r="784" spans="1:13" x14ac:dyDescent="0.3">
      <c r="A784" t="str">
        <f>IFERROR(INDEX('Product Master'!$A$7:$A$1000,_xlfn.AGGREGATE(15,6,(ROW('Product Master'!$A$7:$A$1000)-ROW('Product Master'!$A$7)+1)/(('Product Master'!$A$7:$A$1000&lt;&gt;"")*('Product Master'!$P$7:$P$1000="Low Stock")),ROWS($A$12:A784))),"")</f>
        <v/>
      </c>
      <c r="B784" t="str">
        <f>IF($A784="","",INDEX('Product Master'!$B$7:$B$1000,MATCH($A784,'Product Master'!$A$7:$A$1000,0)))</f>
        <v/>
      </c>
      <c r="C784" t="str">
        <f>IF($A784="","",INDEX('Product Master'!$C$7:$C$1000,MATCH($A784,'Product Master'!$A$7:$A$1000,0)))</f>
        <v/>
      </c>
      <c r="D784" t="str">
        <f>IF($A784="","",INDEX('Product Master'!$M$7:$M$1000,MATCH($A784,'Product Master'!$A$7:$A$1000,0)))</f>
        <v/>
      </c>
      <c r="E784" t="str">
        <f>IF($A784="","",INDEX('Product Master'!$N$7:$N$1000,MATCH($A784,'Product Master'!$A$7:$A$1000,0)))</f>
        <v/>
      </c>
      <c r="F784" t="str">
        <f>IF($A784="","",INDEX('Product Master'!$P$7:$P$1000,MATCH($A784,'Product Master'!$A$7:$A$1000,0)))</f>
        <v/>
      </c>
      <c r="I784" t="str">
        <f>IFERROR(INDEX('Product Master'!$A$7:$A$1000,_xlfn.AGGREGATE(15,6,(ROW('Product Master'!$A$7:$A$1000)-ROW('Product Master'!$A$7)+1)/(('Product Master'!$A$7:$A$1000&lt;&gt;"")*('Product Master'!$P$7:$P$1000="Out of Stock")),ROWS($I$12:I784))),"")</f>
        <v/>
      </c>
      <c r="J784" t="str">
        <f>IF($I784="","",INDEX('Product Master'!$B$7:$B$1000,MATCH($I784,'Product Master'!$A$7:$A$1000,0)))</f>
        <v/>
      </c>
      <c r="K784" t="str">
        <f>IF($I784="","",INDEX('Product Master'!$C$7:$C$1000,MATCH($I784,'Product Master'!$A$7:$A$1000,0)))</f>
        <v/>
      </c>
      <c r="L784" t="str">
        <f>IF($I784="","",INDEX('Product Master'!$M$7:$M$1000,MATCH($I784,'Product Master'!$A$7:$A$1000,0)))</f>
        <v/>
      </c>
      <c r="M784" t="str">
        <f>IF($I784="","",INDEX('Product Master'!$N$7:$N$1000,MATCH($I784,'Product Master'!$A$7:$A$1000,0)))</f>
        <v/>
      </c>
    </row>
    <row r="785" spans="1:13" x14ac:dyDescent="0.3">
      <c r="A785" t="str">
        <f>IFERROR(INDEX('Product Master'!$A$7:$A$1000,_xlfn.AGGREGATE(15,6,(ROW('Product Master'!$A$7:$A$1000)-ROW('Product Master'!$A$7)+1)/(('Product Master'!$A$7:$A$1000&lt;&gt;"")*('Product Master'!$P$7:$P$1000="Low Stock")),ROWS($A$12:A785))),"")</f>
        <v/>
      </c>
      <c r="B785" t="str">
        <f>IF($A785="","",INDEX('Product Master'!$B$7:$B$1000,MATCH($A785,'Product Master'!$A$7:$A$1000,0)))</f>
        <v/>
      </c>
      <c r="C785" t="str">
        <f>IF($A785="","",INDEX('Product Master'!$C$7:$C$1000,MATCH($A785,'Product Master'!$A$7:$A$1000,0)))</f>
        <v/>
      </c>
      <c r="D785" t="str">
        <f>IF($A785="","",INDEX('Product Master'!$M$7:$M$1000,MATCH($A785,'Product Master'!$A$7:$A$1000,0)))</f>
        <v/>
      </c>
      <c r="E785" t="str">
        <f>IF($A785="","",INDEX('Product Master'!$N$7:$N$1000,MATCH($A785,'Product Master'!$A$7:$A$1000,0)))</f>
        <v/>
      </c>
      <c r="F785" t="str">
        <f>IF($A785="","",INDEX('Product Master'!$P$7:$P$1000,MATCH($A785,'Product Master'!$A$7:$A$1000,0)))</f>
        <v/>
      </c>
      <c r="I785" t="str">
        <f>IFERROR(INDEX('Product Master'!$A$7:$A$1000,_xlfn.AGGREGATE(15,6,(ROW('Product Master'!$A$7:$A$1000)-ROW('Product Master'!$A$7)+1)/(('Product Master'!$A$7:$A$1000&lt;&gt;"")*('Product Master'!$P$7:$P$1000="Out of Stock")),ROWS($I$12:I785))),"")</f>
        <v/>
      </c>
      <c r="J785" t="str">
        <f>IF($I785="","",INDEX('Product Master'!$B$7:$B$1000,MATCH($I785,'Product Master'!$A$7:$A$1000,0)))</f>
        <v/>
      </c>
      <c r="K785" t="str">
        <f>IF($I785="","",INDEX('Product Master'!$C$7:$C$1000,MATCH($I785,'Product Master'!$A$7:$A$1000,0)))</f>
        <v/>
      </c>
      <c r="L785" t="str">
        <f>IF($I785="","",INDEX('Product Master'!$M$7:$M$1000,MATCH($I785,'Product Master'!$A$7:$A$1000,0)))</f>
        <v/>
      </c>
      <c r="M785" t="str">
        <f>IF($I785="","",INDEX('Product Master'!$N$7:$N$1000,MATCH($I785,'Product Master'!$A$7:$A$1000,0)))</f>
        <v/>
      </c>
    </row>
    <row r="786" spans="1:13" x14ac:dyDescent="0.3">
      <c r="A786" t="str">
        <f>IFERROR(INDEX('Product Master'!$A$7:$A$1000,_xlfn.AGGREGATE(15,6,(ROW('Product Master'!$A$7:$A$1000)-ROW('Product Master'!$A$7)+1)/(('Product Master'!$A$7:$A$1000&lt;&gt;"")*('Product Master'!$P$7:$P$1000="Low Stock")),ROWS($A$12:A786))),"")</f>
        <v/>
      </c>
      <c r="B786" t="str">
        <f>IF($A786="","",INDEX('Product Master'!$B$7:$B$1000,MATCH($A786,'Product Master'!$A$7:$A$1000,0)))</f>
        <v/>
      </c>
      <c r="C786" t="str">
        <f>IF($A786="","",INDEX('Product Master'!$C$7:$C$1000,MATCH($A786,'Product Master'!$A$7:$A$1000,0)))</f>
        <v/>
      </c>
      <c r="D786" t="str">
        <f>IF($A786="","",INDEX('Product Master'!$M$7:$M$1000,MATCH($A786,'Product Master'!$A$7:$A$1000,0)))</f>
        <v/>
      </c>
      <c r="E786" t="str">
        <f>IF($A786="","",INDEX('Product Master'!$N$7:$N$1000,MATCH($A786,'Product Master'!$A$7:$A$1000,0)))</f>
        <v/>
      </c>
      <c r="F786" t="str">
        <f>IF($A786="","",INDEX('Product Master'!$P$7:$P$1000,MATCH($A786,'Product Master'!$A$7:$A$1000,0)))</f>
        <v/>
      </c>
      <c r="I786" t="str">
        <f>IFERROR(INDEX('Product Master'!$A$7:$A$1000,_xlfn.AGGREGATE(15,6,(ROW('Product Master'!$A$7:$A$1000)-ROW('Product Master'!$A$7)+1)/(('Product Master'!$A$7:$A$1000&lt;&gt;"")*('Product Master'!$P$7:$P$1000="Out of Stock")),ROWS($I$12:I786))),"")</f>
        <v/>
      </c>
      <c r="J786" t="str">
        <f>IF($I786="","",INDEX('Product Master'!$B$7:$B$1000,MATCH($I786,'Product Master'!$A$7:$A$1000,0)))</f>
        <v/>
      </c>
      <c r="K786" t="str">
        <f>IF($I786="","",INDEX('Product Master'!$C$7:$C$1000,MATCH($I786,'Product Master'!$A$7:$A$1000,0)))</f>
        <v/>
      </c>
      <c r="L786" t="str">
        <f>IF($I786="","",INDEX('Product Master'!$M$7:$M$1000,MATCH($I786,'Product Master'!$A$7:$A$1000,0)))</f>
        <v/>
      </c>
      <c r="M786" t="str">
        <f>IF($I786="","",INDEX('Product Master'!$N$7:$N$1000,MATCH($I786,'Product Master'!$A$7:$A$1000,0)))</f>
        <v/>
      </c>
    </row>
    <row r="787" spans="1:13" x14ac:dyDescent="0.3">
      <c r="A787" t="str">
        <f>IFERROR(INDEX('Product Master'!$A$7:$A$1000,_xlfn.AGGREGATE(15,6,(ROW('Product Master'!$A$7:$A$1000)-ROW('Product Master'!$A$7)+1)/(('Product Master'!$A$7:$A$1000&lt;&gt;"")*('Product Master'!$P$7:$P$1000="Low Stock")),ROWS($A$12:A787))),"")</f>
        <v/>
      </c>
      <c r="B787" t="str">
        <f>IF($A787="","",INDEX('Product Master'!$B$7:$B$1000,MATCH($A787,'Product Master'!$A$7:$A$1000,0)))</f>
        <v/>
      </c>
      <c r="C787" t="str">
        <f>IF($A787="","",INDEX('Product Master'!$C$7:$C$1000,MATCH($A787,'Product Master'!$A$7:$A$1000,0)))</f>
        <v/>
      </c>
      <c r="D787" t="str">
        <f>IF($A787="","",INDEX('Product Master'!$M$7:$M$1000,MATCH($A787,'Product Master'!$A$7:$A$1000,0)))</f>
        <v/>
      </c>
      <c r="E787" t="str">
        <f>IF($A787="","",INDEX('Product Master'!$N$7:$N$1000,MATCH($A787,'Product Master'!$A$7:$A$1000,0)))</f>
        <v/>
      </c>
      <c r="F787" t="str">
        <f>IF($A787="","",INDEX('Product Master'!$P$7:$P$1000,MATCH($A787,'Product Master'!$A$7:$A$1000,0)))</f>
        <v/>
      </c>
      <c r="I787" t="str">
        <f>IFERROR(INDEX('Product Master'!$A$7:$A$1000,_xlfn.AGGREGATE(15,6,(ROW('Product Master'!$A$7:$A$1000)-ROW('Product Master'!$A$7)+1)/(('Product Master'!$A$7:$A$1000&lt;&gt;"")*('Product Master'!$P$7:$P$1000="Out of Stock")),ROWS($I$12:I787))),"")</f>
        <v/>
      </c>
      <c r="J787" t="str">
        <f>IF($I787="","",INDEX('Product Master'!$B$7:$B$1000,MATCH($I787,'Product Master'!$A$7:$A$1000,0)))</f>
        <v/>
      </c>
      <c r="K787" t="str">
        <f>IF($I787="","",INDEX('Product Master'!$C$7:$C$1000,MATCH($I787,'Product Master'!$A$7:$A$1000,0)))</f>
        <v/>
      </c>
      <c r="L787" t="str">
        <f>IF($I787="","",INDEX('Product Master'!$M$7:$M$1000,MATCH($I787,'Product Master'!$A$7:$A$1000,0)))</f>
        <v/>
      </c>
      <c r="M787" t="str">
        <f>IF($I787="","",INDEX('Product Master'!$N$7:$N$1000,MATCH($I787,'Product Master'!$A$7:$A$1000,0)))</f>
        <v/>
      </c>
    </row>
    <row r="788" spans="1:13" x14ac:dyDescent="0.3">
      <c r="A788" t="str">
        <f>IFERROR(INDEX('Product Master'!$A$7:$A$1000,_xlfn.AGGREGATE(15,6,(ROW('Product Master'!$A$7:$A$1000)-ROW('Product Master'!$A$7)+1)/(('Product Master'!$A$7:$A$1000&lt;&gt;"")*('Product Master'!$P$7:$P$1000="Low Stock")),ROWS($A$12:A788))),"")</f>
        <v/>
      </c>
      <c r="B788" t="str">
        <f>IF($A788="","",INDEX('Product Master'!$B$7:$B$1000,MATCH($A788,'Product Master'!$A$7:$A$1000,0)))</f>
        <v/>
      </c>
      <c r="C788" t="str">
        <f>IF($A788="","",INDEX('Product Master'!$C$7:$C$1000,MATCH($A788,'Product Master'!$A$7:$A$1000,0)))</f>
        <v/>
      </c>
      <c r="D788" t="str">
        <f>IF($A788="","",INDEX('Product Master'!$M$7:$M$1000,MATCH($A788,'Product Master'!$A$7:$A$1000,0)))</f>
        <v/>
      </c>
      <c r="E788" t="str">
        <f>IF($A788="","",INDEX('Product Master'!$N$7:$N$1000,MATCH($A788,'Product Master'!$A$7:$A$1000,0)))</f>
        <v/>
      </c>
      <c r="F788" t="str">
        <f>IF($A788="","",INDEX('Product Master'!$P$7:$P$1000,MATCH($A788,'Product Master'!$A$7:$A$1000,0)))</f>
        <v/>
      </c>
      <c r="I788" t="str">
        <f>IFERROR(INDEX('Product Master'!$A$7:$A$1000,_xlfn.AGGREGATE(15,6,(ROW('Product Master'!$A$7:$A$1000)-ROW('Product Master'!$A$7)+1)/(('Product Master'!$A$7:$A$1000&lt;&gt;"")*('Product Master'!$P$7:$P$1000="Out of Stock")),ROWS($I$12:I788))),"")</f>
        <v/>
      </c>
      <c r="J788" t="str">
        <f>IF($I788="","",INDEX('Product Master'!$B$7:$B$1000,MATCH($I788,'Product Master'!$A$7:$A$1000,0)))</f>
        <v/>
      </c>
      <c r="K788" t="str">
        <f>IF($I788="","",INDEX('Product Master'!$C$7:$C$1000,MATCH($I788,'Product Master'!$A$7:$A$1000,0)))</f>
        <v/>
      </c>
      <c r="L788" t="str">
        <f>IF($I788="","",INDEX('Product Master'!$M$7:$M$1000,MATCH($I788,'Product Master'!$A$7:$A$1000,0)))</f>
        <v/>
      </c>
      <c r="M788" t="str">
        <f>IF($I788="","",INDEX('Product Master'!$N$7:$N$1000,MATCH($I788,'Product Master'!$A$7:$A$1000,0)))</f>
        <v/>
      </c>
    </row>
    <row r="789" spans="1:13" x14ac:dyDescent="0.3">
      <c r="A789" t="str">
        <f>IFERROR(INDEX('Product Master'!$A$7:$A$1000,_xlfn.AGGREGATE(15,6,(ROW('Product Master'!$A$7:$A$1000)-ROW('Product Master'!$A$7)+1)/(('Product Master'!$A$7:$A$1000&lt;&gt;"")*('Product Master'!$P$7:$P$1000="Low Stock")),ROWS($A$12:A789))),"")</f>
        <v/>
      </c>
      <c r="B789" t="str">
        <f>IF($A789="","",INDEX('Product Master'!$B$7:$B$1000,MATCH($A789,'Product Master'!$A$7:$A$1000,0)))</f>
        <v/>
      </c>
      <c r="C789" t="str">
        <f>IF($A789="","",INDEX('Product Master'!$C$7:$C$1000,MATCH($A789,'Product Master'!$A$7:$A$1000,0)))</f>
        <v/>
      </c>
      <c r="D789" t="str">
        <f>IF($A789="","",INDEX('Product Master'!$M$7:$M$1000,MATCH($A789,'Product Master'!$A$7:$A$1000,0)))</f>
        <v/>
      </c>
      <c r="E789" t="str">
        <f>IF($A789="","",INDEX('Product Master'!$N$7:$N$1000,MATCH($A789,'Product Master'!$A$7:$A$1000,0)))</f>
        <v/>
      </c>
      <c r="F789" t="str">
        <f>IF($A789="","",INDEX('Product Master'!$P$7:$P$1000,MATCH($A789,'Product Master'!$A$7:$A$1000,0)))</f>
        <v/>
      </c>
      <c r="I789" t="str">
        <f>IFERROR(INDEX('Product Master'!$A$7:$A$1000,_xlfn.AGGREGATE(15,6,(ROW('Product Master'!$A$7:$A$1000)-ROW('Product Master'!$A$7)+1)/(('Product Master'!$A$7:$A$1000&lt;&gt;"")*('Product Master'!$P$7:$P$1000="Out of Stock")),ROWS($I$12:I789))),"")</f>
        <v/>
      </c>
      <c r="J789" t="str">
        <f>IF($I789="","",INDEX('Product Master'!$B$7:$B$1000,MATCH($I789,'Product Master'!$A$7:$A$1000,0)))</f>
        <v/>
      </c>
      <c r="K789" t="str">
        <f>IF($I789="","",INDEX('Product Master'!$C$7:$C$1000,MATCH($I789,'Product Master'!$A$7:$A$1000,0)))</f>
        <v/>
      </c>
      <c r="L789" t="str">
        <f>IF($I789="","",INDEX('Product Master'!$M$7:$M$1000,MATCH($I789,'Product Master'!$A$7:$A$1000,0)))</f>
        <v/>
      </c>
      <c r="M789" t="str">
        <f>IF($I789="","",INDEX('Product Master'!$N$7:$N$1000,MATCH($I789,'Product Master'!$A$7:$A$1000,0)))</f>
        <v/>
      </c>
    </row>
    <row r="790" spans="1:13" x14ac:dyDescent="0.3">
      <c r="A790" t="str">
        <f>IFERROR(INDEX('Product Master'!$A$7:$A$1000,_xlfn.AGGREGATE(15,6,(ROW('Product Master'!$A$7:$A$1000)-ROW('Product Master'!$A$7)+1)/(('Product Master'!$A$7:$A$1000&lt;&gt;"")*('Product Master'!$P$7:$P$1000="Low Stock")),ROWS($A$12:A790))),"")</f>
        <v/>
      </c>
      <c r="B790" t="str">
        <f>IF($A790="","",INDEX('Product Master'!$B$7:$B$1000,MATCH($A790,'Product Master'!$A$7:$A$1000,0)))</f>
        <v/>
      </c>
      <c r="C790" t="str">
        <f>IF($A790="","",INDEX('Product Master'!$C$7:$C$1000,MATCH($A790,'Product Master'!$A$7:$A$1000,0)))</f>
        <v/>
      </c>
      <c r="D790" t="str">
        <f>IF($A790="","",INDEX('Product Master'!$M$7:$M$1000,MATCH($A790,'Product Master'!$A$7:$A$1000,0)))</f>
        <v/>
      </c>
      <c r="E790" t="str">
        <f>IF($A790="","",INDEX('Product Master'!$N$7:$N$1000,MATCH($A790,'Product Master'!$A$7:$A$1000,0)))</f>
        <v/>
      </c>
      <c r="F790" t="str">
        <f>IF($A790="","",INDEX('Product Master'!$P$7:$P$1000,MATCH($A790,'Product Master'!$A$7:$A$1000,0)))</f>
        <v/>
      </c>
      <c r="I790" t="str">
        <f>IFERROR(INDEX('Product Master'!$A$7:$A$1000,_xlfn.AGGREGATE(15,6,(ROW('Product Master'!$A$7:$A$1000)-ROW('Product Master'!$A$7)+1)/(('Product Master'!$A$7:$A$1000&lt;&gt;"")*('Product Master'!$P$7:$P$1000="Out of Stock")),ROWS($I$12:I790))),"")</f>
        <v/>
      </c>
      <c r="J790" t="str">
        <f>IF($I790="","",INDEX('Product Master'!$B$7:$B$1000,MATCH($I790,'Product Master'!$A$7:$A$1000,0)))</f>
        <v/>
      </c>
      <c r="K790" t="str">
        <f>IF($I790="","",INDEX('Product Master'!$C$7:$C$1000,MATCH($I790,'Product Master'!$A$7:$A$1000,0)))</f>
        <v/>
      </c>
      <c r="L790" t="str">
        <f>IF($I790="","",INDEX('Product Master'!$M$7:$M$1000,MATCH($I790,'Product Master'!$A$7:$A$1000,0)))</f>
        <v/>
      </c>
      <c r="M790" t="str">
        <f>IF($I790="","",INDEX('Product Master'!$N$7:$N$1000,MATCH($I790,'Product Master'!$A$7:$A$1000,0)))</f>
        <v/>
      </c>
    </row>
    <row r="791" spans="1:13" x14ac:dyDescent="0.3">
      <c r="A791" t="str">
        <f>IFERROR(INDEX('Product Master'!$A$7:$A$1000,_xlfn.AGGREGATE(15,6,(ROW('Product Master'!$A$7:$A$1000)-ROW('Product Master'!$A$7)+1)/(('Product Master'!$A$7:$A$1000&lt;&gt;"")*('Product Master'!$P$7:$P$1000="Low Stock")),ROWS($A$12:A791))),"")</f>
        <v/>
      </c>
      <c r="B791" t="str">
        <f>IF($A791="","",INDEX('Product Master'!$B$7:$B$1000,MATCH($A791,'Product Master'!$A$7:$A$1000,0)))</f>
        <v/>
      </c>
      <c r="C791" t="str">
        <f>IF($A791="","",INDEX('Product Master'!$C$7:$C$1000,MATCH($A791,'Product Master'!$A$7:$A$1000,0)))</f>
        <v/>
      </c>
      <c r="D791" t="str">
        <f>IF($A791="","",INDEX('Product Master'!$M$7:$M$1000,MATCH($A791,'Product Master'!$A$7:$A$1000,0)))</f>
        <v/>
      </c>
      <c r="E791" t="str">
        <f>IF($A791="","",INDEX('Product Master'!$N$7:$N$1000,MATCH($A791,'Product Master'!$A$7:$A$1000,0)))</f>
        <v/>
      </c>
      <c r="F791" t="str">
        <f>IF($A791="","",INDEX('Product Master'!$P$7:$P$1000,MATCH($A791,'Product Master'!$A$7:$A$1000,0)))</f>
        <v/>
      </c>
      <c r="I791" t="str">
        <f>IFERROR(INDEX('Product Master'!$A$7:$A$1000,_xlfn.AGGREGATE(15,6,(ROW('Product Master'!$A$7:$A$1000)-ROW('Product Master'!$A$7)+1)/(('Product Master'!$A$7:$A$1000&lt;&gt;"")*('Product Master'!$P$7:$P$1000="Out of Stock")),ROWS($I$12:I791))),"")</f>
        <v/>
      </c>
      <c r="J791" t="str">
        <f>IF($I791="","",INDEX('Product Master'!$B$7:$B$1000,MATCH($I791,'Product Master'!$A$7:$A$1000,0)))</f>
        <v/>
      </c>
      <c r="K791" t="str">
        <f>IF($I791="","",INDEX('Product Master'!$C$7:$C$1000,MATCH($I791,'Product Master'!$A$7:$A$1000,0)))</f>
        <v/>
      </c>
      <c r="L791" t="str">
        <f>IF($I791="","",INDEX('Product Master'!$M$7:$M$1000,MATCH($I791,'Product Master'!$A$7:$A$1000,0)))</f>
        <v/>
      </c>
      <c r="M791" t="str">
        <f>IF($I791="","",INDEX('Product Master'!$N$7:$N$1000,MATCH($I791,'Product Master'!$A$7:$A$1000,0)))</f>
        <v/>
      </c>
    </row>
    <row r="792" spans="1:13" x14ac:dyDescent="0.3">
      <c r="A792" t="str">
        <f>IFERROR(INDEX('Product Master'!$A$7:$A$1000,_xlfn.AGGREGATE(15,6,(ROW('Product Master'!$A$7:$A$1000)-ROW('Product Master'!$A$7)+1)/(('Product Master'!$A$7:$A$1000&lt;&gt;"")*('Product Master'!$P$7:$P$1000="Low Stock")),ROWS($A$12:A792))),"")</f>
        <v/>
      </c>
      <c r="B792" t="str">
        <f>IF($A792="","",INDEX('Product Master'!$B$7:$B$1000,MATCH($A792,'Product Master'!$A$7:$A$1000,0)))</f>
        <v/>
      </c>
      <c r="C792" t="str">
        <f>IF($A792="","",INDEX('Product Master'!$C$7:$C$1000,MATCH($A792,'Product Master'!$A$7:$A$1000,0)))</f>
        <v/>
      </c>
      <c r="D792" t="str">
        <f>IF($A792="","",INDEX('Product Master'!$M$7:$M$1000,MATCH($A792,'Product Master'!$A$7:$A$1000,0)))</f>
        <v/>
      </c>
      <c r="E792" t="str">
        <f>IF($A792="","",INDEX('Product Master'!$N$7:$N$1000,MATCH($A792,'Product Master'!$A$7:$A$1000,0)))</f>
        <v/>
      </c>
      <c r="F792" t="str">
        <f>IF($A792="","",INDEX('Product Master'!$P$7:$P$1000,MATCH($A792,'Product Master'!$A$7:$A$1000,0)))</f>
        <v/>
      </c>
      <c r="I792" t="str">
        <f>IFERROR(INDEX('Product Master'!$A$7:$A$1000,_xlfn.AGGREGATE(15,6,(ROW('Product Master'!$A$7:$A$1000)-ROW('Product Master'!$A$7)+1)/(('Product Master'!$A$7:$A$1000&lt;&gt;"")*('Product Master'!$P$7:$P$1000="Out of Stock")),ROWS($I$12:I792))),"")</f>
        <v/>
      </c>
      <c r="J792" t="str">
        <f>IF($I792="","",INDEX('Product Master'!$B$7:$B$1000,MATCH($I792,'Product Master'!$A$7:$A$1000,0)))</f>
        <v/>
      </c>
      <c r="K792" t="str">
        <f>IF($I792="","",INDEX('Product Master'!$C$7:$C$1000,MATCH($I792,'Product Master'!$A$7:$A$1000,0)))</f>
        <v/>
      </c>
      <c r="L792" t="str">
        <f>IF($I792="","",INDEX('Product Master'!$M$7:$M$1000,MATCH($I792,'Product Master'!$A$7:$A$1000,0)))</f>
        <v/>
      </c>
      <c r="M792" t="str">
        <f>IF($I792="","",INDEX('Product Master'!$N$7:$N$1000,MATCH($I792,'Product Master'!$A$7:$A$1000,0)))</f>
        <v/>
      </c>
    </row>
    <row r="793" spans="1:13" x14ac:dyDescent="0.3">
      <c r="A793" t="str">
        <f>IFERROR(INDEX('Product Master'!$A$7:$A$1000,_xlfn.AGGREGATE(15,6,(ROW('Product Master'!$A$7:$A$1000)-ROW('Product Master'!$A$7)+1)/(('Product Master'!$A$7:$A$1000&lt;&gt;"")*('Product Master'!$P$7:$P$1000="Low Stock")),ROWS($A$12:A793))),"")</f>
        <v/>
      </c>
      <c r="B793" t="str">
        <f>IF($A793="","",INDEX('Product Master'!$B$7:$B$1000,MATCH($A793,'Product Master'!$A$7:$A$1000,0)))</f>
        <v/>
      </c>
      <c r="C793" t="str">
        <f>IF($A793="","",INDEX('Product Master'!$C$7:$C$1000,MATCH($A793,'Product Master'!$A$7:$A$1000,0)))</f>
        <v/>
      </c>
      <c r="D793" t="str">
        <f>IF($A793="","",INDEX('Product Master'!$M$7:$M$1000,MATCH($A793,'Product Master'!$A$7:$A$1000,0)))</f>
        <v/>
      </c>
      <c r="E793" t="str">
        <f>IF($A793="","",INDEX('Product Master'!$N$7:$N$1000,MATCH($A793,'Product Master'!$A$7:$A$1000,0)))</f>
        <v/>
      </c>
      <c r="F793" t="str">
        <f>IF($A793="","",INDEX('Product Master'!$P$7:$P$1000,MATCH($A793,'Product Master'!$A$7:$A$1000,0)))</f>
        <v/>
      </c>
      <c r="I793" t="str">
        <f>IFERROR(INDEX('Product Master'!$A$7:$A$1000,_xlfn.AGGREGATE(15,6,(ROW('Product Master'!$A$7:$A$1000)-ROW('Product Master'!$A$7)+1)/(('Product Master'!$A$7:$A$1000&lt;&gt;"")*('Product Master'!$P$7:$P$1000="Out of Stock")),ROWS($I$12:I793))),"")</f>
        <v/>
      </c>
      <c r="J793" t="str">
        <f>IF($I793="","",INDEX('Product Master'!$B$7:$B$1000,MATCH($I793,'Product Master'!$A$7:$A$1000,0)))</f>
        <v/>
      </c>
      <c r="K793" t="str">
        <f>IF($I793="","",INDEX('Product Master'!$C$7:$C$1000,MATCH($I793,'Product Master'!$A$7:$A$1000,0)))</f>
        <v/>
      </c>
      <c r="L793" t="str">
        <f>IF($I793="","",INDEX('Product Master'!$M$7:$M$1000,MATCH($I793,'Product Master'!$A$7:$A$1000,0)))</f>
        <v/>
      </c>
      <c r="M793" t="str">
        <f>IF($I793="","",INDEX('Product Master'!$N$7:$N$1000,MATCH($I793,'Product Master'!$A$7:$A$1000,0)))</f>
        <v/>
      </c>
    </row>
    <row r="794" spans="1:13" x14ac:dyDescent="0.3">
      <c r="A794" t="str">
        <f>IFERROR(INDEX('Product Master'!$A$7:$A$1000,_xlfn.AGGREGATE(15,6,(ROW('Product Master'!$A$7:$A$1000)-ROW('Product Master'!$A$7)+1)/(('Product Master'!$A$7:$A$1000&lt;&gt;"")*('Product Master'!$P$7:$P$1000="Low Stock")),ROWS($A$12:A794))),"")</f>
        <v/>
      </c>
      <c r="B794" t="str">
        <f>IF($A794="","",INDEX('Product Master'!$B$7:$B$1000,MATCH($A794,'Product Master'!$A$7:$A$1000,0)))</f>
        <v/>
      </c>
      <c r="C794" t="str">
        <f>IF($A794="","",INDEX('Product Master'!$C$7:$C$1000,MATCH($A794,'Product Master'!$A$7:$A$1000,0)))</f>
        <v/>
      </c>
      <c r="D794" t="str">
        <f>IF($A794="","",INDEX('Product Master'!$M$7:$M$1000,MATCH($A794,'Product Master'!$A$7:$A$1000,0)))</f>
        <v/>
      </c>
      <c r="E794" t="str">
        <f>IF($A794="","",INDEX('Product Master'!$N$7:$N$1000,MATCH($A794,'Product Master'!$A$7:$A$1000,0)))</f>
        <v/>
      </c>
      <c r="F794" t="str">
        <f>IF($A794="","",INDEX('Product Master'!$P$7:$P$1000,MATCH($A794,'Product Master'!$A$7:$A$1000,0)))</f>
        <v/>
      </c>
      <c r="I794" t="str">
        <f>IFERROR(INDEX('Product Master'!$A$7:$A$1000,_xlfn.AGGREGATE(15,6,(ROW('Product Master'!$A$7:$A$1000)-ROW('Product Master'!$A$7)+1)/(('Product Master'!$A$7:$A$1000&lt;&gt;"")*('Product Master'!$P$7:$P$1000="Out of Stock")),ROWS($I$12:I794))),"")</f>
        <v/>
      </c>
      <c r="J794" t="str">
        <f>IF($I794="","",INDEX('Product Master'!$B$7:$B$1000,MATCH($I794,'Product Master'!$A$7:$A$1000,0)))</f>
        <v/>
      </c>
      <c r="K794" t="str">
        <f>IF($I794="","",INDEX('Product Master'!$C$7:$C$1000,MATCH($I794,'Product Master'!$A$7:$A$1000,0)))</f>
        <v/>
      </c>
      <c r="L794" t="str">
        <f>IF($I794="","",INDEX('Product Master'!$M$7:$M$1000,MATCH($I794,'Product Master'!$A$7:$A$1000,0)))</f>
        <v/>
      </c>
      <c r="M794" t="str">
        <f>IF($I794="","",INDEX('Product Master'!$N$7:$N$1000,MATCH($I794,'Product Master'!$A$7:$A$1000,0)))</f>
        <v/>
      </c>
    </row>
    <row r="795" spans="1:13" x14ac:dyDescent="0.3">
      <c r="A795" t="str">
        <f>IFERROR(INDEX('Product Master'!$A$7:$A$1000,_xlfn.AGGREGATE(15,6,(ROW('Product Master'!$A$7:$A$1000)-ROW('Product Master'!$A$7)+1)/(('Product Master'!$A$7:$A$1000&lt;&gt;"")*('Product Master'!$P$7:$P$1000="Low Stock")),ROWS($A$12:A795))),"")</f>
        <v/>
      </c>
      <c r="B795" t="str">
        <f>IF($A795="","",INDEX('Product Master'!$B$7:$B$1000,MATCH($A795,'Product Master'!$A$7:$A$1000,0)))</f>
        <v/>
      </c>
      <c r="C795" t="str">
        <f>IF($A795="","",INDEX('Product Master'!$C$7:$C$1000,MATCH($A795,'Product Master'!$A$7:$A$1000,0)))</f>
        <v/>
      </c>
      <c r="D795" t="str">
        <f>IF($A795="","",INDEX('Product Master'!$M$7:$M$1000,MATCH($A795,'Product Master'!$A$7:$A$1000,0)))</f>
        <v/>
      </c>
      <c r="E795" t="str">
        <f>IF($A795="","",INDEX('Product Master'!$N$7:$N$1000,MATCH($A795,'Product Master'!$A$7:$A$1000,0)))</f>
        <v/>
      </c>
      <c r="F795" t="str">
        <f>IF($A795="","",INDEX('Product Master'!$P$7:$P$1000,MATCH($A795,'Product Master'!$A$7:$A$1000,0)))</f>
        <v/>
      </c>
      <c r="I795" t="str">
        <f>IFERROR(INDEX('Product Master'!$A$7:$A$1000,_xlfn.AGGREGATE(15,6,(ROW('Product Master'!$A$7:$A$1000)-ROW('Product Master'!$A$7)+1)/(('Product Master'!$A$7:$A$1000&lt;&gt;"")*('Product Master'!$P$7:$P$1000="Out of Stock")),ROWS($I$12:I795))),"")</f>
        <v/>
      </c>
      <c r="J795" t="str">
        <f>IF($I795="","",INDEX('Product Master'!$B$7:$B$1000,MATCH($I795,'Product Master'!$A$7:$A$1000,0)))</f>
        <v/>
      </c>
      <c r="K795" t="str">
        <f>IF($I795="","",INDEX('Product Master'!$C$7:$C$1000,MATCH($I795,'Product Master'!$A$7:$A$1000,0)))</f>
        <v/>
      </c>
      <c r="L795" t="str">
        <f>IF($I795="","",INDEX('Product Master'!$M$7:$M$1000,MATCH($I795,'Product Master'!$A$7:$A$1000,0)))</f>
        <v/>
      </c>
      <c r="M795" t="str">
        <f>IF($I795="","",INDEX('Product Master'!$N$7:$N$1000,MATCH($I795,'Product Master'!$A$7:$A$1000,0)))</f>
        <v/>
      </c>
    </row>
    <row r="796" spans="1:13" x14ac:dyDescent="0.3">
      <c r="A796" t="str">
        <f>IFERROR(INDEX('Product Master'!$A$7:$A$1000,_xlfn.AGGREGATE(15,6,(ROW('Product Master'!$A$7:$A$1000)-ROW('Product Master'!$A$7)+1)/(('Product Master'!$A$7:$A$1000&lt;&gt;"")*('Product Master'!$P$7:$P$1000="Low Stock")),ROWS($A$12:A796))),"")</f>
        <v/>
      </c>
      <c r="B796" t="str">
        <f>IF($A796="","",INDEX('Product Master'!$B$7:$B$1000,MATCH($A796,'Product Master'!$A$7:$A$1000,0)))</f>
        <v/>
      </c>
      <c r="C796" t="str">
        <f>IF($A796="","",INDEX('Product Master'!$C$7:$C$1000,MATCH($A796,'Product Master'!$A$7:$A$1000,0)))</f>
        <v/>
      </c>
      <c r="D796" t="str">
        <f>IF($A796="","",INDEX('Product Master'!$M$7:$M$1000,MATCH($A796,'Product Master'!$A$7:$A$1000,0)))</f>
        <v/>
      </c>
      <c r="E796" t="str">
        <f>IF($A796="","",INDEX('Product Master'!$N$7:$N$1000,MATCH($A796,'Product Master'!$A$7:$A$1000,0)))</f>
        <v/>
      </c>
      <c r="F796" t="str">
        <f>IF($A796="","",INDEX('Product Master'!$P$7:$P$1000,MATCH($A796,'Product Master'!$A$7:$A$1000,0)))</f>
        <v/>
      </c>
      <c r="I796" t="str">
        <f>IFERROR(INDEX('Product Master'!$A$7:$A$1000,_xlfn.AGGREGATE(15,6,(ROW('Product Master'!$A$7:$A$1000)-ROW('Product Master'!$A$7)+1)/(('Product Master'!$A$7:$A$1000&lt;&gt;"")*('Product Master'!$P$7:$P$1000="Out of Stock")),ROWS($I$12:I796))),"")</f>
        <v/>
      </c>
      <c r="J796" t="str">
        <f>IF($I796="","",INDEX('Product Master'!$B$7:$B$1000,MATCH($I796,'Product Master'!$A$7:$A$1000,0)))</f>
        <v/>
      </c>
      <c r="K796" t="str">
        <f>IF($I796="","",INDEX('Product Master'!$C$7:$C$1000,MATCH($I796,'Product Master'!$A$7:$A$1000,0)))</f>
        <v/>
      </c>
      <c r="L796" t="str">
        <f>IF($I796="","",INDEX('Product Master'!$M$7:$M$1000,MATCH($I796,'Product Master'!$A$7:$A$1000,0)))</f>
        <v/>
      </c>
      <c r="M796" t="str">
        <f>IF($I796="","",INDEX('Product Master'!$N$7:$N$1000,MATCH($I796,'Product Master'!$A$7:$A$1000,0)))</f>
        <v/>
      </c>
    </row>
    <row r="797" spans="1:13" x14ac:dyDescent="0.3">
      <c r="A797" t="str">
        <f>IFERROR(INDEX('Product Master'!$A$7:$A$1000,_xlfn.AGGREGATE(15,6,(ROW('Product Master'!$A$7:$A$1000)-ROW('Product Master'!$A$7)+1)/(('Product Master'!$A$7:$A$1000&lt;&gt;"")*('Product Master'!$P$7:$P$1000="Low Stock")),ROWS($A$12:A797))),"")</f>
        <v/>
      </c>
      <c r="B797" t="str">
        <f>IF($A797="","",INDEX('Product Master'!$B$7:$B$1000,MATCH($A797,'Product Master'!$A$7:$A$1000,0)))</f>
        <v/>
      </c>
      <c r="C797" t="str">
        <f>IF($A797="","",INDEX('Product Master'!$C$7:$C$1000,MATCH($A797,'Product Master'!$A$7:$A$1000,0)))</f>
        <v/>
      </c>
      <c r="D797" t="str">
        <f>IF($A797="","",INDEX('Product Master'!$M$7:$M$1000,MATCH($A797,'Product Master'!$A$7:$A$1000,0)))</f>
        <v/>
      </c>
      <c r="E797" t="str">
        <f>IF($A797="","",INDEX('Product Master'!$N$7:$N$1000,MATCH($A797,'Product Master'!$A$7:$A$1000,0)))</f>
        <v/>
      </c>
      <c r="F797" t="str">
        <f>IF($A797="","",INDEX('Product Master'!$P$7:$P$1000,MATCH($A797,'Product Master'!$A$7:$A$1000,0)))</f>
        <v/>
      </c>
      <c r="I797" t="str">
        <f>IFERROR(INDEX('Product Master'!$A$7:$A$1000,_xlfn.AGGREGATE(15,6,(ROW('Product Master'!$A$7:$A$1000)-ROW('Product Master'!$A$7)+1)/(('Product Master'!$A$7:$A$1000&lt;&gt;"")*('Product Master'!$P$7:$P$1000="Out of Stock")),ROWS($I$12:I797))),"")</f>
        <v/>
      </c>
      <c r="J797" t="str">
        <f>IF($I797="","",INDEX('Product Master'!$B$7:$B$1000,MATCH($I797,'Product Master'!$A$7:$A$1000,0)))</f>
        <v/>
      </c>
      <c r="K797" t="str">
        <f>IF($I797="","",INDEX('Product Master'!$C$7:$C$1000,MATCH($I797,'Product Master'!$A$7:$A$1000,0)))</f>
        <v/>
      </c>
      <c r="L797" t="str">
        <f>IF($I797="","",INDEX('Product Master'!$M$7:$M$1000,MATCH($I797,'Product Master'!$A$7:$A$1000,0)))</f>
        <v/>
      </c>
      <c r="M797" t="str">
        <f>IF($I797="","",INDEX('Product Master'!$N$7:$N$1000,MATCH($I797,'Product Master'!$A$7:$A$1000,0)))</f>
        <v/>
      </c>
    </row>
    <row r="798" spans="1:13" x14ac:dyDescent="0.3">
      <c r="A798" t="str">
        <f>IFERROR(INDEX('Product Master'!$A$7:$A$1000,_xlfn.AGGREGATE(15,6,(ROW('Product Master'!$A$7:$A$1000)-ROW('Product Master'!$A$7)+1)/(('Product Master'!$A$7:$A$1000&lt;&gt;"")*('Product Master'!$P$7:$P$1000="Low Stock")),ROWS($A$12:A798))),"")</f>
        <v/>
      </c>
      <c r="B798" t="str">
        <f>IF($A798="","",INDEX('Product Master'!$B$7:$B$1000,MATCH($A798,'Product Master'!$A$7:$A$1000,0)))</f>
        <v/>
      </c>
      <c r="C798" t="str">
        <f>IF($A798="","",INDEX('Product Master'!$C$7:$C$1000,MATCH($A798,'Product Master'!$A$7:$A$1000,0)))</f>
        <v/>
      </c>
      <c r="D798" t="str">
        <f>IF($A798="","",INDEX('Product Master'!$M$7:$M$1000,MATCH($A798,'Product Master'!$A$7:$A$1000,0)))</f>
        <v/>
      </c>
      <c r="E798" t="str">
        <f>IF($A798="","",INDEX('Product Master'!$N$7:$N$1000,MATCH($A798,'Product Master'!$A$7:$A$1000,0)))</f>
        <v/>
      </c>
      <c r="F798" t="str">
        <f>IF($A798="","",INDEX('Product Master'!$P$7:$P$1000,MATCH($A798,'Product Master'!$A$7:$A$1000,0)))</f>
        <v/>
      </c>
      <c r="I798" t="str">
        <f>IFERROR(INDEX('Product Master'!$A$7:$A$1000,_xlfn.AGGREGATE(15,6,(ROW('Product Master'!$A$7:$A$1000)-ROW('Product Master'!$A$7)+1)/(('Product Master'!$A$7:$A$1000&lt;&gt;"")*('Product Master'!$P$7:$P$1000="Out of Stock")),ROWS($I$12:I798))),"")</f>
        <v/>
      </c>
      <c r="J798" t="str">
        <f>IF($I798="","",INDEX('Product Master'!$B$7:$B$1000,MATCH($I798,'Product Master'!$A$7:$A$1000,0)))</f>
        <v/>
      </c>
      <c r="K798" t="str">
        <f>IF($I798="","",INDEX('Product Master'!$C$7:$C$1000,MATCH($I798,'Product Master'!$A$7:$A$1000,0)))</f>
        <v/>
      </c>
      <c r="L798" t="str">
        <f>IF($I798="","",INDEX('Product Master'!$M$7:$M$1000,MATCH($I798,'Product Master'!$A$7:$A$1000,0)))</f>
        <v/>
      </c>
      <c r="M798" t="str">
        <f>IF($I798="","",INDEX('Product Master'!$N$7:$N$1000,MATCH($I798,'Product Master'!$A$7:$A$1000,0)))</f>
        <v/>
      </c>
    </row>
    <row r="799" spans="1:13" x14ac:dyDescent="0.3">
      <c r="A799" t="str">
        <f>IFERROR(INDEX('Product Master'!$A$7:$A$1000,_xlfn.AGGREGATE(15,6,(ROW('Product Master'!$A$7:$A$1000)-ROW('Product Master'!$A$7)+1)/(('Product Master'!$A$7:$A$1000&lt;&gt;"")*('Product Master'!$P$7:$P$1000="Low Stock")),ROWS($A$12:A799))),"")</f>
        <v/>
      </c>
      <c r="B799" t="str">
        <f>IF($A799="","",INDEX('Product Master'!$B$7:$B$1000,MATCH($A799,'Product Master'!$A$7:$A$1000,0)))</f>
        <v/>
      </c>
      <c r="C799" t="str">
        <f>IF($A799="","",INDEX('Product Master'!$C$7:$C$1000,MATCH($A799,'Product Master'!$A$7:$A$1000,0)))</f>
        <v/>
      </c>
      <c r="D799" t="str">
        <f>IF($A799="","",INDEX('Product Master'!$M$7:$M$1000,MATCH($A799,'Product Master'!$A$7:$A$1000,0)))</f>
        <v/>
      </c>
      <c r="E799" t="str">
        <f>IF($A799="","",INDEX('Product Master'!$N$7:$N$1000,MATCH($A799,'Product Master'!$A$7:$A$1000,0)))</f>
        <v/>
      </c>
      <c r="F799" t="str">
        <f>IF($A799="","",INDEX('Product Master'!$P$7:$P$1000,MATCH($A799,'Product Master'!$A$7:$A$1000,0)))</f>
        <v/>
      </c>
      <c r="I799" t="str">
        <f>IFERROR(INDEX('Product Master'!$A$7:$A$1000,_xlfn.AGGREGATE(15,6,(ROW('Product Master'!$A$7:$A$1000)-ROW('Product Master'!$A$7)+1)/(('Product Master'!$A$7:$A$1000&lt;&gt;"")*('Product Master'!$P$7:$P$1000="Out of Stock")),ROWS($I$12:I799))),"")</f>
        <v/>
      </c>
      <c r="J799" t="str">
        <f>IF($I799="","",INDEX('Product Master'!$B$7:$B$1000,MATCH($I799,'Product Master'!$A$7:$A$1000,0)))</f>
        <v/>
      </c>
      <c r="K799" t="str">
        <f>IF($I799="","",INDEX('Product Master'!$C$7:$C$1000,MATCH($I799,'Product Master'!$A$7:$A$1000,0)))</f>
        <v/>
      </c>
      <c r="L799" t="str">
        <f>IF($I799="","",INDEX('Product Master'!$M$7:$M$1000,MATCH($I799,'Product Master'!$A$7:$A$1000,0)))</f>
        <v/>
      </c>
      <c r="M799" t="str">
        <f>IF($I799="","",INDEX('Product Master'!$N$7:$N$1000,MATCH($I799,'Product Master'!$A$7:$A$1000,0)))</f>
        <v/>
      </c>
    </row>
    <row r="800" spans="1:13" x14ac:dyDescent="0.3">
      <c r="A800" t="str">
        <f>IFERROR(INDEX('Product Master'!$A$7:$A$1000,_xlfn.AGGREGATE(15,6,(ROW('Product Master'!$A$7:$A$1000)-ROW('Product Master'!$A$7)+1)/(('Product Master'!$A$7:$A$1000&lt;&gt;"")*('Product Master'!$P$7:$P$1000="Low Stock")),ROWS($A$12:A800))),"")</f>
        <v/>
      </c>
      <c r="B800" t="str">
        <f>IF($A800="","",INDEX('Product Master'!$B$7:$B$1000,MATCH($A800,'Product Master'!$A$7:$A$1000,0)))</f>
        <v/>
      </c>
      <c r="C800" t="str">
        <f>IF($A800="","",INDEX('Product Master'!$C$7:$C$1000,MATCH($A800,'Product Master'!$A$7:$A$1000,0)))</f>
        <v/>
      </c>
      <c r="D800" t="str">
        <f>IF($A800="","",INDEX('Product Master'!$M$7:$M$1000,MATCH($A800,'Product Master'!$A$7:$A$1000,0)))</f>
        <v/>
      </c>
      <c r="E800" t="str">
        <f>IF($A800="","",INDEX('Product Master'!$N$7:$N$1000,MATCH($A800,'Product Master'!$A$7:$A$1000,0)))</f>
        <v/>
      </c>
      <c r="F800" t="str">
        <f>IF($A800="","",INDEX('Product Master'!$P$7:$P$1000,MATCH($A800,'Product Master'!$A$7:$A$1000,0)))</f>
        <v/>
      </c>
      <c r="I800" t="str">
        <f>IFERROR(INDEX('Product Master'!$A$7:$A$1000,_xlfn.AGGREGATE(15,6,(ROW('Product Master'!$A$7:$A$1000)-ROW('Product Master'!$A$7)+1)/(('Product Master'!$A$7:$A$1000&lt;&gt;"")*('Product Master'!$P$7:$P$1000="Out of Stock")),ROWS($I$12:I800))),"")</f>
        <v/>
      </c>
      <c r="J800" t="str">
        <f>IF($I800="","",INDEX('Product Master'!$B$7:$B$1000,MATCH($I800,'Product Master'!$A$7:$A$1000,0)))</f>
        <v/>
      </c>
      <c r="K800" t="str">
        <f>IF($I800="","",INDEX('Product Master'!$C$7:$C$1000,MATCH($I800,'Product Master'!$A$7:$A$1000,0)))</f>
        <v/>
      </c>
      <c r="L800" t="str">
        <f>IF($I800="","",INDEX('Product Master'!$M$7:$M$1000,MATCH($I800,'Product Master'!$A$7:$A$1000,0)))</f>
        <v/>
      </c>
      <c r="M800" t="str">
        <f>IF($I800="","",INDEX('Product Master'!$N$7:$N$1000,MATCH($I800,'Product Master'!$A$7:$A$1000,0)))</f>
        <v/>
      </c>
    </row>
    <row r="801" spans="1:13" x14ac:dyDescent="0.3">
      <c r="A801" t="str">
        <f>IFERROR(INDEX('Product Master'!$A$7:$A$1000,_xlfn.AGGREGATE(15,6,(ROW('Product Master'!$A$7:$A$1000)-ROW('Product Master'!$A$7)+1)/(('Product Master'!$A$7:$A$1000&lt;&gt;"")*('Product Master'!$P$7:$P$1000="Low Stock")),ROWS($A$12:A801))),"")</f>
        <v/>
      </c>
      <c r="B801" t="str">
        <f>IF($A801="","",INDEX('Product Master'!$B$7:$B$1000,MATCH($A801,'Product Master'!$A$7:$A$1000,0)))</f>
        <v/>
      </c>
      <c r="C801" t="str">
        <f>IF($A801="","",INDEX('Product Master'!$C$7:$C$1000,MATCH($A801,'Product Master'!$A$7:$A$1000,0)))</f>
        <v/>
      </c>
      <c r="D801" t="str">
        <f>IF($A801="","",INDEX('Product Master'!$M$7:$M$1000,MATCH($A801,'Product Master'!$A$7:$A$1000,0)))</f>
        <v/>
      </c>
      <c r="E801" t="str">
        <f>IF($A801="","",INDEX('Product Master'!$N$7:$N$1000,MATCH($A801,'Product Master'!$A$7:$A$1000,0)))</f>
        <v/>
      </c>
      <c r="F801" t="str">
        <f>IF($A801="","",INDEX('Product Master'!$P$7:$P$1000,MATCH($A801,'Product Master'!$A$7:$A$1000,0)))</f>
        <v/>
      </c>
      <c r="I801" t="str">
        <f>IFERROR(INDEX('Product Master'!$A$7:$A$1000,_xlfn.AGGREGATE(15,6,(ROW('Product Master'!$A$7:$A$1000)-ROW('Product Master'!$A$7)+1)/(('Product Master'!$A$7:$A$1000&lt;&gt;"")*('Product Master'!$P$7:$P$1000="Out of Stock")),ROWS($I$12:I801))),"")</f>
        <v/>
      </c>
      <c r="J801" t="str">
        <f>IF($I801="","",INDEX('Product Master'!$B$7:$B$1000,MATCH($I801,'Product Master'!$A$7:$A$1000,0)))</f>
        <v/>
      </c>
      <c r="K801" t="str">
        <f>IF($I801="","",INDEX('Product Master'!$C$7:$C$1000,MATCH($I801,'Product Master'!$A$7:$A$1000,0)))</f>
        <v/>
      </c>
      <c r="L801" t="str">
        <f>IF($I801="","",INDEX('Product Master'!$M$7:$M$1000,MATCH($I801,'Product Master'!$A$7:$A$1000,0)))</f>
        <v/>
      </c>
      <c r="M801" t="str">
        <f>IF($I801="","",INDEX('Product Master'!$N$7:$N$1000,MATCH($I801,'Product Master'!$A$7:$A$1000,0)))</f>
        <v/>
      </c>
    </row>
    <row r="802" spans="1:13" x14ac:dyDescent="0.3">
      <c r="A802" t="str">
        <f>IFERROR(INDEX('Product Master'!$A$7:$A$1000,_xlfn.AGGREGATE(15,6,(ROW('Product Master'!$A$7:$A$1000)-ROW('Product Master'!$A$7)+1)/(('Product Master'!$A$7:$A$1000&lt;&gt;"")*('Product Master'!$P$7:$P$1000="Low Stock")),ROWS($A$12:A802))),"")</f>
        <v/>
      </c>
      <c r="B802" t="str">
        <f>IF($A802="","",INDEX('Product Master'!$B$7:$B$1000,MATCH($A802,'Product Master'!$A$7:$A$1000,0)))</f>
        <v/>
      </c>
      <c r="C802" t="str">
        <f>IF($A802="","",INDEX('Product Master'!$C$7:$C$1000,MATCH($A802,'Product Master'!$A$7:$A$1000,0)))</f>
        <v/>
      </c>
      <c r="D802" t="str">
        <f>IF($A802="","",INDEX('Product Master'!$M$7:$M$1000,MATCH($A802,'Product Master'!$A$7:$A$1000,0)))</f>
        <v/>
      </c>
      <c r="E802" t="str">
        <f>IF($A802="","",INDEX('Product Master'!$N$7:$N$1000,MATCH($A802,'Product Master'!$A$7:$A$1000,0)))</f>
        <v/>
      </c>
      <c r="F802" t="str">
        <f>IF($A802="","",INDEX('Product Master'!$P$7:$P$1000,MATCH($A802,'Product Master'!$A$7:$A$1000,0)))</f>
        <v/>
      </c>
      <c r="I802" t="str">
        <f>IFERROR(INDEX('Product Master'!$A$7:$A$1000,_xlfn.AGGREGATE(15,6,(ROW('Product Master'!$A$7:$A$1000)-ROW('Product Master'!$A$7)+1)/(('Product Master'!$A$7:$A$1000&lt;&gt;"")*('Product Master'!$P$7:$P$1000="Out of Stock")),ROWS($I$12:I802))),"")</f>
        <v/>
      </c>
      <c r="J802" t="str">
        <f>IF($I802="","",INDEX('Product Master'!$B$7:$B$1000,MATCH($I802,'Product Master'!$A$7:$A$1000,0)))</f>
        <v/>
      </c>
      <c r="K802" t="str">
        <f>IF($I802="","",INDEX('Product Master'!$C$7:$C$1000,MATCH($I802,'Product Master'!$A$7:$A$1000,0)))</f>
        <v/>
      </c>
      <c r="L802" t="str">
        <f>IF($I802="","",INDEX('Product Master'!$M$7:$M$1000,MATCH($I802,'Product Master'!$A$7:$A$1000,0)))</f>
        <v/>
      </c>
      <c r="M802" t="str">
        <f>IF($I802="","",INDEX('Product Master'!$N$7:$N$1000,MATCH($I802,'Product Master'!$A$7:$A$1000,0)))</f>
        <v/>
      </c>
    </row>
    <row r="803" spans="1:13" x14ac:dyDescent="0.3">
      <c r="A803" t="str">
        <f>IFERROR(INDEX('Product Master'!$A$7:$A$1000,_xlfn.AGGREGATE(15,6,(ROW('Product Master'!$A$7:$A$1000)-ROW('Product Master'!$A$7)+1)/(('Product Master'!$A$7:$A$1000&lt;&gt;"")*('Product Master'!$P$7:$P$1000="Low Stock")),ROWS($A$12:A803))),"")</f>
        <v/>
      </c>
      <c r="B803" t="str">
        <f>IF($A803="","",INDEX('Product Master'!$B$7:$B$1000,MATCH($A803,'Product Master'!$A$7:$A$1000,0)))</f>
        <v/>
      </c>
      <c r="C803" t="str">
        <f>IF($A803="","",INDEX('Product Master'!$C$7:$C$1000,MATCH($A803,'Product Master'!$A$7:$A$1000,0)))</f>
        <v/>
      </c>
      <c r="D803" t="str">
        <f>IF($A803="","",INDEX('Product Master'!$M$7:$M$1000,MATCH($A803,'Product Master'!$A$7:$A$1000,0)))</f>
        <v/>
      </c>
      <c r="E803" t="str">
        <f>IF($A803="","",INDEX('Product Master'!$N$7:$N$1000,MATCH($A803,'Product Master'!$A$7:$A$1000,0)))</f>
        <v/>
      </c>
      <c r="F803" t="str">
        <f>IF($A803="","",INDEX('Product Master'!$P$7:$P$1000,MATCH($A803,'Product Master'!$A$7:$A$1000,0)))</f>
        <v/>
      </c>
      <c r="I803" t="str">
        <f>IFERROR(INDEX('Product Master'!$A$7:$A$1000,_xlfn.AGGREGATE(15,6,(ROW('Product Master'!$A$7:$A$1000)-ROW('Product Master'!$A$7)+1)/(('Product Master'!$A$7:$A$1000&lt;&gt;"")*('Product Master'!$P$7:$P$1000="Out of Stock")),ROWS($I$12:I803))),"")</f>
        <v/>
      </c>
      <c r="J803" t="str">
        <f>IF($I803="","",INDEX('Product Master'!$B$7:$B$1000,MATCH($I803,'Product Master'!$A$7:$A$1000,0)))</f>
        <v/>
      </c>
      <c r="K803" t="str">
        <f>IF($I803="","",INDEX('Product Master'!$C$7:$C$1000,MATCH($I803,'Product Master'!$A$7:$A$1000,0)))</f>
        <v/>
      </c>
      <c r="L803" t="str">
        <f>IF($I803="","",INDEX('Product Master'!$M$7:$M$1000,MATCH($I803,'Product Master'!$A$7:$A$1000,0)))</f>
        <v/>
      </c>
      <c r="M803" t="str">
        <f>IF($I803="","",INDEX('Product Master'!$N$7:$N$1000,MATCH($I803,'Product Master'!$A$7:$A$1000,0)))</f>
        <v/>
      </c>
    </row>
    <row r="804" spans="1:13" x14ac:dyDescent="0.3">
      <c r="A804" t="str">
        <f>IFERROR(INDEX('Product Master'!$A$7:$A$1000,_xlfn.AGGREGATE(15,6,(ROW('Product Master'!$A$7:$A$1000)-ROW('Product Master'!$A$7)+1)/(('Product Master'!$A$7:$A$1000&lt;&gt;"")*('Product Master'!$P$7:$P$1000="Low Stock")),ROWS($A$12:A804))),"")</f>
        <v/>
      </c>
      <c r="B804" t="str">
        <f>IF($A804="","",INDEX('Product Master'!$B$7:$B$1000,MATCH($A804,'Product Master'!$A$7:$A$1000,0)))</f>
        <v/>
      </c>
      <c r="C804" t="str">
        <f>IF($A804="","",INDEX('Product Master'!$C$7:$C$1000,MATCH($A804,'Product Master'!$A$7:$A$1000,0)))</f>
        <v/>
      </c>
      <c r="D804" t="str">
        <f>IF($A804="","",INDEX('Product Master'!$M$7:$M$1000,MATCH($A804,'Product Master'!$A$7:$A$1000,0)))</f>
        <v/>
      </c>
      <c r="E804" t="str">
        <f>IF($A804="","",INDEX('Product Master'!$N$7:$N$1000,MATCH($A804,'Product Master'!$A$7:$A$1000,0)))</f>
        <v/>
      </c>
      <c r="F804" t="str">
        <f>IF($A804="","",INDEX('Product Master'!$P$7:$P$1000,MATCH($A804,'Product Master'!$A$7:$A$1000,0)))</f>
        <v/>
      </c>
      <c r="I804" t="str">
        <f>IFERROR(INDEX('Product Master'!$A$7:$A$1000,_xlfn.AGGREGATE(15,6,(ROW('Product Master'!$A$7:$A$1000)-ROW('Product Master'!$A$7)+1)/(('Product Master'!$A$7:$A$1000&lt;&gt;"")*('Product Master'!$P$7:$P$1000="Out of Stock")),ROWS($I$12:I804))),"")</f>
        <v/>
      </c>
      <c r="J804" t="str">
        <f>IF($I804="","",INDEX('Product Master'!$B$7:$B$1000,MATCH($I804,'Product Master'!$A$7:$A$1000,0)))</f>
        <v/>
      </c>
      <c r="K804" t="str">
        <f>IF($I804="","",INDEX('Product Master'!$C$7:$C$1000,MATCH($I804,'Product Master'!$A$7:$A$1000,0)))</f>
        <v/>
      </c>
      <c r="L804" t="str">
        <f>IF($I804="","",INDEX('Product Master'!$M$7:$M$1000,MATCH($I804,'Product Master'!$A$7:$A$1000,0)))</f>
        <v/>
      </c>
      <c r="M804" t="str">
        <f>IF($I804="","",INDEX('Product Master'!$N$7:$N$1000,MATCH($I804,'Product Master'!$A$7:$A$1000,0)))</f>
        <v/>
      </c>
    </row>
    <row r="805" spans="1:13" x14ac:dyDescent="0.3">
      <c r="A805" t="str">
        <f>IFERROR(INDEX('Product Master'!$A$7:$A$1000,_xlfn.AGGREGATE(15,6,(ROW('Product Master'!$A$7:$A$1000)-ROW('Product Master'!$A$7)+1)/(('Product Master'!$A$7:$A$1000&lt;&gt;"")*('Product Master'!$P$7:$P$1000="Low Stock")),ROWS($A$12:A805))),"")</f>
        <v/>
      </c>
      <c r="B805" t="str">
        <f>IF($A805="","",INDEX('Product Master'!$B$7:$B$1000,MATCH($A805,'Product Master'!$A$7:$A$1000,0)))</f>
        <v/>
      </c>
      <c r="C805" t="str">
        <f>IF($A805="","",INDEX('Product Master'!$C$7:$C$1000,MATCH($A805,'Product Master'!$A$7:$A$1000,0)))</f>
        <v/>
      </c>
      <c r="D805" t="str">
        <f>IF($A805="","",INDEX('Product Master'!$M$7:$M$1000,MATCH($A805,'Product Master'!$A$7:$A$1000,0)))</f>
        <v/>
      </c>
      <c r="E805" t="str">
        <f>IF($A805="","",INDEX('Product Master'!$N$7:$N$1000,MATCH($A805,'Product Master'!$A$7:$A$1000,0)))</f>
        <v/>
      </c>
      <c r="F805" t="str">
        <f>IF($A805="","",INDEX('Product Master'!$P$7:$P$1000,MATCH($A805,'Product Master'!$A$7:$A$1000,0)))</f>
        <v/>
      </c>
      <c r="I805" t="str">
        <f>IFERROR(INDEX('Product Master'!$A$7:$A$1000,_xlfn.AGGREGATE(15,6,(ROW('Product Master'!$A$7:$A$1000)-ROW('Product Master'!$A$7)+1)/(('Product Master'!$A$7:$A$1000&lt;&gt;"")*('Product Master'!$P$7:$P$1000="Out of Stock")),ROWS($I$12:I805))),"")</f>
        <v/>
      </c>
      <c r="J805" t="str">
        <f>IF($I805="","",INDEX('Product Master'!$B$7:$B$1000,MATCH($I805,'Product Master'!$A$7:$A$1000,0)))</f>
        <v/>
      </c>
      <c r="K805" t="str">
        <f>IF($I805="","",INDEX('Product Master'!$C$7:$C$1000,MATCH($I805,'Product Master'!$A$7:$A$1000,0)))</f>
        <v/>
      </c>
      <c r="L805" t="str">
        <f>IF($I805="","",INDEX('Product Master'!$M$7:$M$1000,MATCH($I805,'Product Master'!$A$7:$A$1000,0)))</f>
        <v/>
      </c>
      <c r="M805" t="str">
        <f>IF($I805="","",INDEX('Product Master'!$N$7:$N$1000,MATCH($I805,'Product Master'!$A$7:$A$1000,0)))</f>
        <v/>
      </c>
    </row>
    <row r="806" spans="1:13" x14ac:dyDescent="0.3">
      <c r="A806" t="str">
        <f>IFERROR(INDEX('Product Master'!$A$7:$A$1000,_xlfn.AGGREGATE(15,6,(ROW('Product Master'!$A$7:$A$1000)-ROW('Product Master'!$A$7)+1)/(('Product Master'!$A$7:$A$1000&lt;&gt;"")*('Product Master'!$P$7:$P$1000="Low Stock")),ROWS($A$12:A806))),"")</f>
        <v/>
      </c>
      <c r="B806" t="str">
        <f>IF($A806="","",INDEX('Product Master'!$B$7:$B$1000,MATCH($A806,'Product Master'!$A$7:$A$1000,0)))</f>
        <v/>
      </c>
      <c r="C806" t="str">
        <f>IF($A806="","",INDEX('Product Master'!$C$7:$C$1000,MATCH($A806,'Product Master'!$A$7:$A$1000,0)))</f>
        <v/>
      </c>
      <c r="D806" t="str">
        <f>IF($A806="","",INDEX('Product Master'!$M$7:$M$1000,MATCH($A806,'Product Master'!$A$7:$A$1000,0)))</f>
        <v/>
      </c>
      <c r="E806" t="str">
        <f>IF($A806="","",INDEX('Product Master'!$N$7:$N$1000,MATCH($A806,'Product Master'!$A$7:$A$1000,0)))</f>
        <v/>
      </c>
      <c r="F806" t="str">
        <f>IF($A806="","",INDEX('Product Master'!$P$7:$P$1000,MATCH($A806,'Product Master'!$A$7:$A$1000,0)))</f>
        <v/>
      </c>
      <c r="I806" t="str">
        <f>IFERROR(INDEX('Product Master'!$A$7:$A$1000,_xlfn.AGGREGATE(15,6,(ROW('Product Master'!$A$7:$A$1000)-ROW('Product Master'!$A$7)+1)/(('Product Master'!$A$7:$A$1000&lt;&gt;"")*('Product Master'!$P$7:$P$1000="Out of Stock")),ROWS($I$12:I806))),"")</f>
        <v/>
      </c>
      <c r="J806" t="str">
        <f>IF($I806="","",INDEX('Product Master'!$B$7:$B$1000,MATCH($I806,'Product Master'!$A$7:$A$1000,0)))</f>
        <v/>
      </c>
      <c r="K806" t="str">
        <f>IF($I806="","",INDEX('Product Master'!$C$7:$C$1000,MATCH($I806,'Product Master'!$A$7:$A$1000,0)))</f>
        <v/>
      </c>
      <c r="L806" t="str">
        <f>IF($I806="","",INDEX('Product Master'!$M$7:$M$1000,MATCH($I806,'Product Master'!$A$7:$A$1000,0)))</f>
        <v/>
      </c>
      <c r="M806" t="str">
        <f>IF($I806="","",INDEX('Product Master'!$N$7:$N$1000,MATCH($I806,'Product Master'!$A$7:$A$1000,0)))</f>
        <v/>
      </c>
    </row>
    <row r="807" spans="1:13" x14ac:dyDescent="0.3">
      <c r="A807" t="str">
        <f>IFERROR(INDEX('Product Master'!$A$7:$A$1000,_xlfn.AGGREGATE(15,6,(ROW('Product Master'!$A$7:$A$1000)-ROW('Product Master'!$A$7)+1)/(('Product Master'!$A$7:$A$1000&lt;&gt;"")*('Product Master'!$P$7:$P$1000="Low Stock")),ROWS($A$12:A807))),"")</f>
        <v/>
      </c>
      <c r="B807" t="str">
        <f>IF($A807="","",INDEX('Product Master'!$B$7:$B$1000,MATCH($A807,'Product Master'!$A$7:$A$1000,0)))</f>
        <v/>
      </c>
      <c r="C807" t="str">
        <f>IF($A807="","",INDEX('Product Master'!$C$7:$C$1000,MATCH($A807,'Product Master'!$A$7:$A$1000,0)))</f>
        <v/>
      </c>
      <c r="D807" t="str">
        <f>IF($A807="","",INDEX('Product Master'!$M$7:$M$1000,MATCH($A807,'Product Master'!$A$7:$A$1000,0)))</f>
        <v/>
      </c>
      <c r="E807" t="str">
        <f>IF($A807="","",INDEX('Product Master'!$N$7:$N$1000,MATCH($A807,'Product Master'!$A$7:$A$1000,0)))</f>
        <v/>
      </c>
      <c r="F807" t="str">
        <f>IF($A807="","",INDEX('Product Master'!$P$7:$P$1000,MATCH($A807,'Product Master'!$A$7:$A$1000,0)))</f>
        <v/>
      </c>
      <c r="I807" t="str">
        <f>IFERROR(INDEX('Product Master'!$A$7:$A$1000,_xlfn.AGGREGATE(15,6,(ROW('Product Master'!$A$7:$A$1000)-ROW('Product Master'!$A$7)+1)/(('Product Master'!$A$7:$A$1000&lt;&gt;"")*('Product Master'!$P$7:$P$1000="Out of Stock")),ROWS($I$12:I807))),"")</f>
        <v/>
      </c>
      <c r="J807" t="str">
        <f>IF($I807="","",INDEX('Product Master'!$B$7:$B$1000,MATCH($I807,'Product Master'!$A$7:$A$1000,0)))</f>
        <v/>
      </c>
      <c r="K807" t="str">
        <f>IF($I807="","",INDEX('Product Master'!$C$7:$C$1000,MATCH($I807,'Product Master'!$A$7:$A$1000,0)))</f>
        <v/>
      </c>
      <c r="L807" t="str">
        <f>IF($I807="","",INDEX('Product Master'!$M$7:$M$1000,MATCH($I807,'Product Master'!$A$7:$A$1000,0)))</f>
        <v/>
      </c>
      <c r="M807" t="str">
        <f>IF($I807="","",INDEX('Product Master'!$N$7:$N$1000,MATCH($I807,'Product Master'!$A$7:$A$1000,0)))</f>
        <v/>
      </c>
    </row>
    <row r="808" spans="1:13" x14ac:dyDescent="0.3">
      <c r="A808" t="str">
        <f>IFERROR(INDEX('Product Master'!$A$7:$A$1000,_xlfn.AGGREGATE(15,6,(ROW('Product Master'!$A$7:$A$1000)-ROW('Product Master'!$A$7)+1)/(('Product Master'!$A$7:$A$1000&lt;&gt;"")*('Product Master'!$P$7:$P$1000="Low Stock")),ROWS($A$12:A808))),"")</f>
        <v/>
      </c>
      <c r="B808" t="str">
        <f>IF($A808="","",INDEX('Product Master'!$B$7:$B$1000,MATCH($A808,'Product Master'!$A$7:$A$1000,0)))</f>
        <v/>
      </c>
      <c r="C808" t="str">
        <f>IF($A808="","",INDEX('Product Master'!$C$7:$C$1000,MATCH($A808,'Product Master'!$A$7:$A$1000,0)))</f>
        <v/>
      </c>
      <c r="D808" t="str">
        <f>IF($A808="","",INDEX('Product Master'!$M$7:$M$1000,MATCH($A808,'Product Master'!$A$7:$A$1000,0)))</f>
        <v/>
      </c>
      <c r="E808" t="str">
        <f>IF($A808="","",INDEX('Product Master'!$N$7:$N$1000,MATCH($A808,'Product Master'!$A$7:$A$1000,0)))</f>
        <v/>
      </c>
      <c r="F808" t="str">
        <f>IF($A808="","",INDEX('Product Master'!$P$7:$P$1000,MATCH($A808,'Product Master'!$A$7:$A$1000,0)))</f>
        <v/>
      </c>
      <c r="I808" t="str">
        <f>IFERROR(INDEX('Product Master'!$A$7:$A$1000,_xlfn.AGGREGATE(15,6,(ROW('Product Master'!$A$7:$A$1000)-ROW('Product Master'!$A$7)+1)/(('Product Master'!$A$7:$A$1000&lt;&gt;"")*('Product Master'!$P$7:$P$1000="Out of Stock")),ROWS($I$12:I808))),"")</f>
        <v/>
      </c>
      <c r="J808" t="str">
        <f>IF($I808="","",INDEX('Product Master'!$B$7:$B$1000,MATCH($I808,'Product Master'!$A$7:$A$1000,0)))</f>
        <v/>
      </c>
      <c r="K808" t="str">
        <f>IF($I808="","",INDEX('Product Master'!$C$7:$C$1000,MATCH($I808,'Product Master'!$A$7:$A$1000,0)))</f>
        <v/>
      </c>
      <c r="L808" t="str">
        <f>IF($I808="","",INDEX('Product Master'!$M$7:$M$1000,MATCH($I808,'Product Master'!$A$7:$A$1000,0)))</f>
        <v/>
      </c>
      <c r="M808" t="str">
        <f>IF($I808="","",INDEX('Product Master'!$N$7:$N$1000,MATCH($I808,'Product Master'!$A$7:$A$1000,0)))</f>
        <v/>
      </c>
    </row>
    <row r="809" spans="1:13" x14ac:dyDescent="0.3">
      <c r="A809" t="str">
        <f>IFERROR(INDEX('Product Master'!$A$7:$A$1000,_xlfn.AGGREGATE(15,6,(ROW('Product Master'!$A$7:$A$1000)-ROW('Product Master'!$A$7)+1)/(('Product Master'!$A$7:$A$1000&lt;&gt;"")*('Product Master'!$P$7:$P$1000="Low Stock")),ROWS($A$12:A809))),"")</f>
        <v/>
      </c>
      <c r="B809" t="str">
        <f>IF($A809="","",INDEX('Product Master'!$B$7:$B$1000,MATCH($A809,'Product Master'!$A$7:$A$1000,0)))</f>
        <v/>
      </c>
      <c r="C809" t="str">
        <f>IF($A809="","",INDEX('Product Master'!$C$7:$C$1000,MATCH($A809,'Product Master'!$A$7:$A$1000,0)))</f>
        <v/>
      </c>
      <c r="D809" t="str">
        <f>IF($A809="","",INDEX('Product Master'!$M$7:$M$1000,MATCH($A809,'Product Master'!$A$7:$A$1000,0)))</f>
        <v/>
      </c>
      <c r="E809" t="str">
        <f>IF($A809="","",INDEX('Product Master'!$N$7:$N$1000,MATCH($A809,'Product Master'!$A$7:$A$1000,0)))</f>
        <v/>
      </c>
      <c r="F809" t="str">
        <f>IF($A809="","",INDEX('Product Master'!$P$7:$P$1000,MATCH($A809,'Product Master'!$A$7:$A$1000,0)))</f>
        <v/>
      </c>
      <c r="I809" t="str">
        <f>IFERROR(INDEX('Product Master'!$A$7:$A$1000,_xlfn.AGGREGATE(15,6,(ROW('Product Master'!$A$7:$A$1000)-ROW('Product Master'!$A$7)+1)/(('Product Master'!$A$7:$A$1000&lt;&gt;"")*('Product Master'!$P$7:$P$1000="Out of Stock")),ROWS($I$12:I809))),"")</f>
        <v/>
      </c>
      <c r="J809" t="str">
        <f>IF($I809="","",INDEX('Product Master'!$B$7:$B$1000,MATCH($I809,'Product Master'!$A$7:$A$1000,0)))</f>
        <v/>
      </c>
      <c r="K809" t="str">
        <f>IF($I809="","",INDEX('Product Master'!$C$7:$C$1000,MATCH($I809,'Product Master'!$A$7:$A$1000,0)))</f>
        <v/>
      </c>
      <c r="L809" t="str">
        <f>IF($I809="","",INDEX('Product Master'!$M$7:$M$1000,MATCH($I809,'Product Master'!$A$7:$A$1000,0)))</f>
        <v/>
      </c>
      <c r="M809" t="str">
        <f>IF($I809="","",INDEX('Product Master'!$N$7:$N$1000,MATCH($I809,'Product Master'!$A$7:$A$1000,0)))</f>
        <v/>
      </c>
    </row>
    <row r="810" spans="1:13" x14ac:dyDescent="0.3">
      <c r="A810" t="str">
        <f>IFERROR(INDEX('Product Master'!$A$7:$A$1000,_xlfn.AGGREGATE(15,6,(ROW('Product Master'!$A$7:$A$1000)-ROW('Product Master'!$A$7)+1)/(('Product Master'!$A$7:$A$1000&lt;&gt;"")*('Product Master'!$P$7:$P$1000="Low Stock")),ROWS($A$12:A810))),"")</f>
        <v/>
      </c>
      <c r="B810" t="str">
        <f>IF($A810="","",INDEX('Product Master'!$B$7:$B$1000,MATCH($A810,'Product Master'!$A$7:$A$1000,0)))</f>
        <v/>
      </c>
      <c r="C810" t="str">
        <f>IF($A810="","",INDEX('Product Master'!$C$7:$C$1000,MATCH($A810,'Product Master'!$A$7:$A$1000,0)))</f>
        <v/>
      </c>
      <c r="D810" t="str">
        <f>IF($A810="","",INDEX('Product Master'!$M$7:$M$1000,MATCH($A810,'Product Master'!$A$7:$A$1000,0)))</f>
        <v/>
      </c>
      <c r="E810" t="str">
        <f>IF($A810="","",INDEX('Product Master'!$N$7:$N$1000,MATCH($A810,'Product Master'!$A$7:$A$1000,0)))</f>
        <v/>
      </c>
      <c r="F810" t="str">
        <f>IF($A810="","",INDEX('Product Master'!$P$7:$P$1000,MATCH($A810,'Product Master'!$A$7:$A$1000,0)))</f>
        <v/>
      </c>
      <c r="I810" t="str">
        <f>IFERROR(INDEX('Product Master'!$A$7:$A$1000,_xlfn.AGGREGATE(15,6,(ROW('Product Master'!$A$7:$A$1000)-ROW('Product Master'!$A$7)+1)/(('Product Master'!$A$7:$A$1000&lt;&gt;"")*('Product Master'!$P$7:$P$1000="Out of Stock")),ROWS($I$12:I810))),"")</f>
        <v/>
      </c>
      <c r="J810" t="str">
        <f>IF($I810="","",INDEX('Product Master'!$B$7:$B$1000,MATCH($I810,'Product Master'!$A$7:$A$1000,0)))</f>
        <v/>
      </c>
      <c r="K810" t="str">
        <f>IF($I810="","",INDEX('Product Master'!$C$7:$C$1000,MATCH($I810,'Product Master'!$A$7:$A$1000,0)))</f>
        <v/>
      </c>
      <c r="L810" t="str">
        <f>IF($I810="","",INDEX('Product Master'!$M$7:$M$1000,MATCH($I810,'Product Master'!$A$7:$A$1000,0)))</f>
        <v/>
      </c>
      <c r="M810" t="str">
        <f>IF($I810="","",INDEX('Product Master'!$N$7:$N$1000,MATCH($I810,'Product Master'!$A$7:$A$1000,0)))</f>
        <v/>
      </c>
    </row>
    <row r="811" spans="1:13" x14ac:dyDescent="0.3">
      <c r="A811" t="str">
        <f>IFERROR(INDEX('Product Master'!$A$7:$A$1000,_xlfn.AGGREGATE(15,6,(ROW('Product Master'!$A$7:$A$1000)-ROW('Product Master'!$A$7)+1)/(('Product Master'!$A$7:$A$1000&lt;&gt;"")*('Product Master'!$P$7:$P$1000="Low Stock")),ROWS($A$12:A811))),"")</f>
        <v/>
      </c>
      <c r="B811" t="str">
        <f>IF($A811="","",INDEX('Product Master'!$B$7:$B$1000,MATCH($A811,'Product Master'!$A$7:$A$1000,0)))</f>
        <v/>
      </c>
      <c r="C811" t="str">
        <f>IF($A811="","",INDEX('Product Master'!$C$7:$C$1000,MATCH($A811,'Product Master'!$A$7:$A$1000,0)))</f>
        <v/>
      </c>
      <c r="D811" t="str">
        <f>IF($A811="","",INDEX('Product Master'!$M$7:$M$1000,MATCH($A811,'Product Master'!$A$7:$A$1000,0)))</f>
        <v/>
      </c>
      <c r="E811" t="str">
        <f>IF($A811="","",INDEX('Product Master'!$N$7:$N$1000,MATCH($A811,'Product Master'!$A$7:$A$1000,0)))</f>
        <v/>
      </c>
      <c r="F811" t="str">
        <f>IF($A811="","",INDEX('Product Master'!$P$7:$P$1000,MATCH($A811,'Product Master'!$A$7:$A$1000,0)))</f>
        <v/>
      </c>
      <c r="I811" t="str">
        <f>IFERROR(INDEX('Product Master'!$A$7:$A$1000,_xlfn.AGGREGATE(15,6,(ROW('Product Master'!$A$7:$A$1000)-ROW('Product Master'!$A$7)+1)/(('Product Master'!$A$7:$A$1000&lt;&gt;"")*('Product Master'!$P$7:$P$1000="Out of Stock")),ROWS($I$12:I811))),"")</f>
        <v/>
      </c>
      <c r="J811" t="str">
        <f>IF($I811="","",INDEX('Product Master'!$B$7:$B$1000,MATCH($I811,'Product Master'!$A$7:$A$1000,0)))</f>
        <v/>
      </c>
      <c r="K811" t="str">
        <f>IF($I811="","",INDEX('Product Master'!$C$7:$C$1000,MATCH($I811,'Product Master'!$A$7:$A$1000,0)))</f>
        <v/>
      </c>
      <c r="L811" t="str">
        <f>IF($I811="","",INDEX('Product Master'!$M$7:$M$1000,MATCH($I811,'Product Master'!$A$7:$A$1000,0)))</f>
        <v/>
      </c>
      <c r="M811" t="str">
        <f>IF($I811="","",INDEX('Product Master'!$N$7:$N$1000,MATCH($I811,'Product Master'!$A$7:$A$1000,0)))</f>
        <v/>
      </c>
    </row>
    <row r="812" spans="1:13" x14ac:dyDescent="0.3">
      <c r="A812" t="str">
        <f>IFERROR(INDEX('Product Master'!$A$7:$A$1000,_xlfn.AGGREGATE(15,6,(ROW('Product Master'!$A$7:$A$1000)-ROW('Product Master'!$A$7)+1)/(('Product Master'!$A$7:$A$1000&lt;&gt;"")*('Product Master'!$P$7:$P$1000="Low Stock")),ROWS($A$12:A812))),"")</f>
        <v/>
      </c>
      <c r="B812" t="str">
        <f>IF($A812="","",INDEX('Product Master'!$B$7:$B$1000,MATCH($A812,'Product Master'!$A$7:$A$1000,0)))</f>
        <v/>
      </c>
      <c r="C812" t="str">
        <f>IF($A812="","",INDEX('Product Master'!$C$7:$C$1000,MATCH($A812,'Product Master'!$A$7:$A$1000,0)))</f>
        <v/>
      </c>
      <c r="D812" t="str">
        <f>IF($A812="","",INDEX('Product Master'!$M$7:$M$1000,MATCH($A812,'Product Master'!$A$7:$A$1000,0)))</f>
        <v/>
      </c>
      <c r="E812" t="str">
        <f>IF($A812="","",INDEX('Product Master'!$N$7:$N$1000,MATCH($A812,'Product Master'!$A$7:$A$1000,0)))</f>
        <v/>
      </c>
      <c r="F812" t="str">
        <f>IF($A812="","",INDEX('Product Master'!$P$7:$P$1000,MATCH($A812,'Product Master'!$A$7:$A$1000,0)))</f>
        <v/>
      </c>
      <c r="I812" t="str">
        <f>IFERROR(INDEX('Product Master'!$A$7:$A$1000,_xlfn.AGGREGATE(15,6,(ROW('Product Master'!$A$7:$A$1000)-ROW('Product Master'!$A$7)+1)/(('Product Master'!$A$7:$A$1000&lt;&gt;"")*('Product Master'!$P$7:$P$1000="Out of Stock")),ROWS($I$12:I812))),"")</f>
        <v/>
      </c>
      <c r="J812" t="str">
        <f>IF($I812="","",INDEX('Product Master'!$B$7:$B$1000,MATCH($I812,'Product Master'!$A$7:$A$1000,0)))</f>
        <v/>
      </c>
      <c r="K812" t="str">
        <f>IF($I812="","",INDEX('Product Master'!$C$7:$C$1000,MATCH($I812,'Product Master'!$A$7:$A$1000,0)))</f>
        <v/>
      </c>
      <c r="L812" t="str">
        <f>IF($I812="","",INDEX('Product Master'!$M$7:$M$1000,MATCH($I812,'Product Master'!$A$7:$A$1000,0)))</f>
        <v/>
      </c>
      <c r="M812" t="str">
        <f>IF($I812="","",INDEX('Product Master'!$N$7:$N$1000,MATCH($I812,'Product Master'!$A$7:$A$1000,0)))</f>
        <v/>
      </c>
    </row>
    <row r="813" spans="1:13" x14ac:dyDescent="0.3">
      <c r="A813" t="str">
        <f>IFERROR(INDEX('Product Master'!$A$7:$A$1000,_xlfn.AGGREGATE(15,6,(ROW('Product Master'!$A$7:$A$1000)-ROW('Product Master'!$A$7)+1)/(('Product Master'!$A$7:$A$1000&lt;&gt;"")*('Product Master'!$P$7:$P$1000="Low Stock")),ROWS($A$12:A813))),"")</f>
        <v/>
      </c>
      <c r="B813" t="str">
        <f>IF($A813="","",INDEX('Product Master'!$B$7:$B$1000,MATCH($A813,'Product Master'!$A$7:$A$1000,0)))</f>
        <v/>
      </c>
      <c r="C813" t="str">
        <f>IF($A813="","",INDEX('Product Master'!$C$7:$C$1000,MATCH($A813,'Product Master'!$A$7:$A$1000,0)))</f>
        <v/>
      </c>
      <c r="D813" t="str">
        <f>IF($A813="","",INDEX('Product Master'!$M$7:$M$1000,MATCH($A813,'Product Master'!$A$7:$A$1000,0)))</f>
        <v/>
      </c>
      <c r="E813" t="str">
        <f>IF($A813="","",INDEX('Product Master'!$N$7:$N$1000,MATCH($A813,'Product Master'!$A$7:$A$1000,0)))</f>
        <v/>
      </c>
      <c r="F813" t="str">
        <f>IF($A813="","",INDEX('Product Master'!$P$7:$P$1000,MATCH($A813,'Product Master'!$A$7:$A$1000,0)))</f>
        <v/>
      </c>
      <c r="I813" t="str">
        <f>IFERROR(INDEX('Product Master'!$A$7:$A$1000,_xlfn.AGGREGATE(15,6,(ROW('Product Master'!$A$7:$A$1000)-ROW('Product Master'!$A$7)+1)/(('Product Master'!$A$7:$A$1000&lt;&gt;"")*('Product Master'!$P$7:$P$1000="Out of Stock")),ROWS($I$12:I813))),"")</f>
        <v/>
      </c>
      <c r="J813" t="str">
        <f>IF($I813="","",INDEX('Product Master'!$B$7:$B$1000,MATCH($I813,'Product Master'!$A$7:$A$1000,0)))</f>
        <v/>
      </c>
      <c r="K813" t="str">
        <f>IF($I813="","",INDEX('Product Master'!$C$7:$C$1000,MATCH($I813,'Product Master'!$A$7:$A$1000,0)))</f>
        <v/>
      </c>
      <c r="L813" t="str">
        <f>IF($I813="","",INDEX('Product Master'!$M$7:$M$1000,MATCH($I813,'Product Master'!$A$7:$A$1000,0)))</f>
        <v/>
      </c>
      <c r="M813" t="str">
        <f>IF($I813="","",INDEX('Product Master'!$N$7:$N$1000,MATCH($I813,'Product Master'!$A$7:$A$1000,0)))</f>
        <v/>
      </c>
    </row>
    <row r="814" spans="1:13" x14ac:dyDescent="0.3">
      <c r="A814" t="str">
        <f>IFERROR(INDEX('Product Master'!$A$7:$A$1000,_xlfn.AGGREGATE(15,6,(ROW('Product Master'!$A$7:$A$1000)-ROW('Product Master'!$A$7)+1)/(('Product Master'!$A$7:$A$1000&lt;&gt;"")*('Product Master'!$P$7:$P$1000="Low Stock")),ROWS($A$12:A814))),"")</f>
        <v/>
      </c>
      <c r="B814" t="str">
        <f>IF($A814="","",INDEX('Product Master'!$B$7:$B$1000,MATCH($A814,'Product Master'!$A$7:$A$1000,0)))</f>
        <v/>
      </c>
      <c r="C814" t="str">
        <f>IF($A814="","",INDEX('Product Master'!$C$7:$C$1000,MATCH($A814,'Product Master'!$A$7:$A$1000,0)))</f>
        <v/>
      </c>
      <c r="D814" t="str">
        <f>IF($A814="","",INDEX('Product Master'!$M$7:$M$1000,MATCH($A814,'Product Master'!$A$7:$A$1000,0)))</f>
        <v/>
      </c>
      <c r="E814" t="str">
        <f>IF($A814="","",INDEX('Product Master'!$N$7:$N$1000,MATCH($A814,'Product Master'!$A$7:$A$1000,0)))</f>
        <v/>
      </c>
      <c r="F814" t="str">
        <f>IF($A814="","",INDEX('Product Master'!$P$7:$P$1000,MATCH($A814,'Product Master'!$A$7:$A$1000,0)))</f>
        <v/>
      </c>
      <c r="I814" t="str">
        <f>IFERROR(INDEX('Product Master'!$A$7:$A$1000,_xlfn.AGGREGATE(15,6,(ROW('Product Master'!$A$7:$A$1000)-ROW('Product Master'!$A$7)+1)/(('Product Master'!$A$7:$A$1000&lt;&gt;"")*('Product Master'!$P$7:$P$1000="Out of Stock")),ROWS($I$12:I814))),"")</f>
        <v/>
      </c>
      <c r="J814" t="str">
        <f>IF($I814="","",INDEX('Product Master'!$B$7:$B$1000,MATCH($I814,'Product Master'!$A$7:$A$1000,0)))</f>
        <v/>
      </c>
      <c r="K814" t="str">
        <f>IF($I814="","",INDEX('Product Master'!$C$7:$C$1000,MATCH($I814,'Product Master'!$A$7:$A$1000,0)))</f>
        <v/>
      </c>
      <c r="L814" t="str">
        <f>IF($I814="","",INDEX('Product Master'!$M$7:$M$1000,MATCH($I814,'Product Master'!$A$7:$A$1000,0)))</f>
        <v/>
      </c>
      <c r="M814" t="str">
        <f>IF($I814="","",INDEX('Product Master'!$N$7:$N$1000,MATCH($I814,'Product Master'!$A$7:$A$1000,0)))</f>
        <v/>
      </c>
    </row>
    <row r="815" spans="1:13" x14ac:dyDescent="0.3">
      <c r="A815" t="str">
        <f>IFERROR(INDEX('Product Master'!$A$7:$A$1000,_xlfn.AGGREGATE(15,6,(ROW('Product Master'!$A$7:$A$1000)-ROW('Product Master'!$A$7)+1)/(('Product Master'!$A$7:$A$1000&lt;&gt;"")*('Product Master'!$P$7:$P$1000="Low Stock")),ROWS($A$12:A815))),"")</f>
        <v/>
      </c>
      <c r="B815" t="str">
        <f>IF($A815="","",INDEX('Product Master'!$B$7:$B$1000,MATCH($A815,'Product Master'!$A$7:$A$1000,0)))</f>
        <v/>
      </c>
      <c r="C815" t="str">
        <f>IF($A815="","",INDEX('Product Master'!$C$7:$C$1000,MATCH($A815,'Product Master'!$A$7:$A$1000,0)))</f>
        <v/>
      </c>
      <c r="D815" t="str">
        <f>IF($A815="","",INDEX('Product Master'!$M$7:$M$1000,MATCH($A815,'Product Master'!$A$7:$A$1000,0)))</f>
        <v/>
      </c>
      <c r="E815" t="str">
        <f>IF($A815="","",INDEX('Product Master'!$N$7:$N$1000,MATCH($A815,'Product Master'!$A$7:$A$1000,0)))</f>
        <v/>
      </c>
      <c r="F815" t="str">
        <f>IF($A815="","",INDEX('Product Master'!$P$7:$P$1000,MATCH($A815,'Product Master'!$A$7:$A$1000,0)))</f>
        <v/>
      </c>
      <c r="I815" t="str">
        <f>IFERROR(INDEX('Product Master'!$A$7:$A$1000,_xlfn.AGGREGATE(15,6,(ROW('Product Master'!$A$7:$A$1000)-ROW('Product Master'!$A$7)+1)/(('Product Master'!$A$7:$A$1000&lt;&gt;"")*('Product Master'!$P$7:$P$1000="Out of Stock")),ROWS($I$12:I815))),"")</f>
        <v/>
      </c>
      <c r="J815" t="str">
        <f>IF($I815="","",INDEX('Product Master'!$B$7:$B$1000,MATCH($I815,'Product Master'!$A$7:$A$1000,0)))</f>
        <v/>
      </c>
      <c r="K815" t="str">
        <f>IF($I815="","",INDEX('Product Master'!$C$7:$C$1000,MATCH($I815,'Product Master'!$A$7:$A$1000,0)))</f>
        <v/>
      </c>
      <c r="L815" t="str">
        <f>IF($I815="","",INDEX('Product Master'!$M$7:$M$1000,MATCH($I815,'Product Master'!$A$7:$A$1000,0)))</f>
        <v/>
      </c>
      <c r="M815" t="str">
        <f>IF($I815="","",INDEX('Product Master'!$N$7:$N$1000,MATCH($I815,'Product Master'!$A$7:$A$1000,0)))</f>
        <v/>
      </c>
    </row>
    <row r="816" spans="1:13" x14ac:dyDescent="0.3">
      <c r="A816" t="str">
        <f>IFERROR(INDEX('Product Master'!$A$7:$A$1000,_xlfn.AGGREGATE(15,6,(ROW('Product Master'!$A$7:$A$1000)-ROW('Product Master'!$A$7)+1)/(('Product Master'!$A$7:$A$1000&lt;&gt;"")*('Product Master'!$P$7:$P$1000="Low Stock")),ROWS($A$12:A816))),"")</f>
        <v/>
      </c>
      <c r="B816" t="str">
        <f>IF($A816="","",INDEX('Product Master'!$B$7:$B$1000,MATCH($A816,'Product Master'!$A$7:$A$1000,0)))</f>
        <v/>
      </c>
      <c r="C816" t="str">
        <f>IF($A816="","",INDEX('Product Master'!$C$7:$C$1000,MATCH($A816,'Product Master'!$A$7:$A$1000,0)))</f>
        <v/>
      </c>
      <c r="D816" t="str">
        <f>IF($A816="","",INDEX('Product Master'!$M$7:$M$1000,MATCH($A816,'Product Master'!$A$7:$A$1000,0)))</f>
        <v/>
      </c>
      <c r="E816" t="str">
        <f>IF($A816="","",INDEX('Product Master'!$N$7:$N$1000,MATCH($A816,'Product Master'!$A$7:$A$1000,0)))</f>
        <v/>
      </c>
      <c r="F816" t="str">
        <f>IF($A816="","",INDEX('Product Master'!$P$7:$P$1000,MATCH($A816,'Product Master'!$A$7:$A$1000,0)))</f>
        <v/>
      </c>
      <c r="I816" t="str">
        <f>IFERROR(INDEX('Product Master'!$A$7:$A$1000,_xlfn.AGGREGATE(15,6,(ROW('Product Master'!$A$7:$A$1000)-ROW('Product Master'!$A$7)+1)/(('Product Master'!$A$7:$A$1000&lt;&gt;"")*('Product Master'!$P$7:$P$1000="Out of Stock")),ROWS($I$12:I816))),"")</f>
        <v/>
      </c>
      <c r="J816" t="str">
        <f>IF($I816="","",INDEX('Product Master'!$B$7:$B$1000,MATCH($I816,'Product Master'!$A$7:$A$1000,0)))</f>
        <v/>
      </c>
      <c r="K816" t="str">
        <f>IF($I816="","",INDEX('Product Master'!$C$7:$C$1000,MATCH($I816,'Product Master'!$A$7:$A$1000,0)))</f>
        <v/>
      </c>
      <c r="L816" t="str">
        <f>IF($I816="","",INDEX('Product Master'!$M$7:$M$1000,MATCH($I816,'Product Master'!$A$7:$A$1000,0)))</f>
        <v/>
      </c>
      <c r="M816" t="str">
        <f>IF($I816="","",INDEX('Product Master'!$N$7:$N$1000,MATCH($I816,'Product Master'!$A$7:$A$1000,0)))</f>
        <v/>
      </c>
    </row>
    <row r="817" spans="1:13" x14ac:dyDescent="0.3">
      <c r="A817" t="str">
        <f>IFERROR(INDEX('Product Master'!$A$7:$A$1000,_xlfn.AGGREGATE(15,6,(ROW('Product Master'!$A$7:$A$1000)-ROW('Product Master'!$A$7)+1)/(('Product Master'!$A$7:$A$1000&lt;&gt;"")*('Product Master'!$P$7:$P$1000="Low Stock")),ROWS($A$12:A817))),"")</f>
        <v/>
      </c>
      <c r="B817" t="str">
        <f>IF($A817="","",INDEX('Product Master'!$B$7:$B$1000,MATCH($A817,'Product Master'!$A$7:$A$1000,0)))</f>
        <v/>
      </c>
      <c r="C817" t="str">
        <f>IF($A817="","",INDEX('Product Master'!$C$7:$C$1000,MATCH($A817,'Product Master'!$A$7:$A$1000,0)))</f>
        <v/>
      </c>
      <c r="D817" t="str">
        <f>IF($A817="","",INDEX('Product Master'!$M$7:$M$1000,MATCH($A817,'Product Master'!$A$7:$A$1000,0)))</f>
        <v/>
      </c>
      <c r="E817" t="str">
        <f>IF($A817="","",INDEX('Product Master'!$N$7:$N$1000,MATCH($A817,'Product Master'!$A$7:$A$1000,0)))</f>
        <v/>
      </c>
      <c r="F817" t="str">
        <f>IF($A817="","",INDEX('Product Master'!$P$7:$P$1000,MATCH($A817,'Product Master'!$A$7:$A$1000,0)))</f>
        <v/>
      </c>
      <c r="I817" t="str">
        <f>IFERROR(INDEX('Product Master'!$A$7:$A$1000,_xlfn.AGGREGATE(15,6,(ROW('Product Master'!$A$7:$A$1000)-ROW('Product Master'!$A$7)+1)/(('Product Master'!$A$7:$A$1000&lt;&gt;"")*('Product Master'!$P$7:$P$1000="Out of Stock")),ROWS($I$12:I817))),"")</f>
        <v/>
      </c>
      <c r="J817" t="str">
        <f>IF($I817="","",INDEX('Product Master'!$B$7:$B$1000,MATCH($I817,'Product Master'!$A$7:$A$1000,0)))</f>
        <v/>
      </c>
      <c r="K817" t="str">
        <f>IF($I817="","",INDEX('Product Master'!$C$7:$C$1000,MATCH($I817,'Product Master'!$A$7:$A$1000,0)))</f>
        <v/>
      </c>
      <c r="L817" t="str">
        <f>IF($I817="","",INDEX('Product Master'!$M$7:$M$1000,MATCH($I817,'Product Master'!$A$7:$A$1000,0)))</f>
        <v/>
      </c>
      <c r="M817" t="str">
        <f>IF($I817="","",INDEX('Product Master'!$N$7:$N$1000,MATCH($I817,'Product Master'!$A$7:$A$1000,0)))</f>
        <v/>
      </c>
    </row>
    <row r="818" spans="1:13" x14ac:dyDescent="0.3">
      <c r="A818" t="str">
        <f>IFERROR(INDEX('Product Master'!$A$7:$A$1000,_xlfn.AGGREGATE(15,6,(ROW('Product Master'!$A$7:$A$1000)-ROW('Product Master'!$A$7)+1)/(('Product Master'!$A$7:$A$1000&lt;&gt;"")*('Product Master'!$P$7:$P$1000="Low Stock")),ROWS($A$12:A818))),"")</f>
        <v/>
      </c>
      <c r="B818" t="str">
        <f>IF($A818="","",INDEX('Product Master'!$B$7:$B$1000,MATCH($A818,'Product Master'!$A$7:$A$1000,0)))</f>
        <v/>
      </c>
      <c r="C818" t="str">
        <f>IF($A818="","",INDEX('Product Master'!$C$7:$C$1000,MATCH($A818,'Product Master'!$A$7:$A$1000,0)))</f>
        <v/>
      </c>
      <c r="D818" t="str">
        <f>IF($A818="","",INDEX('Product Master'!$M$7:$M$1000,MATCH($A818,'Product Master'!$A$7:$A$1000,0)))</f>
        <v/>
      </c>
      <c r="E818" t="str">
        <f>IF($A818="","",INDEX('Product Master'!$N$7:$N$1000,MATCH($A818,'Product Master'!$A$7:$A$1000,0)))</f>
        <v/>
      </c>
      <c r="F818" t="str">
        <f>IF($A818="","",INDEX('Product Master'!$P$7:$P$1000,MATCH($A818,'Product Master'!$A$7:$A$1000,0)))</f>
        <v/>
      </c>
      <c r="I818" t="str">
        <f>IFERROR(INDEX('Product Master'!$A$7:$A$1000,_xlfn.AGGREGATE(15,6,(ROW('Product Master'!$A$7:$A$1000)-ROW('Product Master'!$A$7)+1)/(('Product Master'!$A$7:$A$1000&lt;&gt;"")*('Product Master'!$P$7:$P$1000="Out of Stock")),ROWS($I$12:I818))),"")</f>
        <v/>
      </c>
      <c r="J818" t="str">
        <f>IF($I818="","",INDEX('Product Master'!$B$7:$B$1000,MATCH($I818,'Product Master'!$A$7:$A$1000,0)))</f>
        <v/>
      </c>
      <c r="K818" t="str">
        <f>IF($I818="","",INDEX('Product Master'!$C$7:$C$1000,MATCH($I818,'Product Master'!$A$7:$A$1000,0)))</f>
        <v/>
      </c>
      <c r="L818" t="str">
        <f>IF($I818="","",INDEX('Product Master'!$M$7:$M$1000,MATCH($I818,'Product Master'!$A$7:$A$1000,0)))</f>
        <v/>
      </c>
      <c r="M818" t="str">
        <f>IF($I818="","",INDEX('Product Master'!$N$7:$N$1000,MATCH($I818,'Product Master'!$A$7:$A$1000,0)))</f>
        <v/>
      </c>
    </row>
    <row r="819" spans="1:13" x14ac:dyDescent="0.3">
      <c r="A819" t="str">
        <f>IFERROR(INDEX('Product Master'!$A$7:$A$1000,_xlfn.AGGREGATE(15,6,(ROW('Product Master'!$A$7:$A$1000)-ROW('Product Master'!$A$7)+1)/(('Product Master'!$A$7:$A$1000&lt;&gt;"")*('Product Master'!$P$7:$P$1000="Low Stock")),ROWS($A$12:A819))),"")</f>
        <v/>
      </c>
      <c r="B819" t="str">
        <f>IF($A819="","",INDEX('Product Master'!$B$7:$B$1000,MATCH($A819,'Product Master'!$A$7:$A$1000,0)))</f>
        <v/>
      </c>
      <c r="C819" t="str">
        <f>IF($A819="","",INDEX('Product Master'!$C$7:$C$1000,MATCH($A819,'Product Master'!$A$7:$A$1000,0)))</f>
        <v/>
      </c>
      <c r="D819" t="str">
        <f>IF($A819="","",INDEX('Product Master'!$M$7:$M$1000,MATCH($A819,'Product Master'!$A$7:$A$1000,0)))</f>
        <v/>
      </c>
      <c r="E819" t="str">
        <f>IF($A819="","",INDEX('Product Master'!$N$7:$N$1000,MATCH($A819,'Product Master'!$A$7:$A$1000,0)))</f>
        <v/>
      </c>
      <c r="F819" t="str">
        <f>IF($A819="","",INDEX('Product Master'!$P$7:$P$1000,MATCH($A819,'Product Master'!$A$7:$A$1000,0)))</f>
        <v/>
      </c>
      <c r="I819" t="str">
        <f>IFERROR(INDEX('Product Master'!$A$7:$A$1000,_xlfn.AGGREGATE(15,6,(ROW('Product Master'!$A$7:$A$1000)-ROW('Product Master'!$A$7)+1)/(('Product Master'!$A$7:$A$1000&lt;&gt;"")*('Product Master'!$P$7:$P$1000="Out of Stock")),ROWS($I$12:I819))),"")</f>
        <v/>
      </c>
      <c r="J819" t="str">
        <f>IF($I819="","",INDEX('Product Master'!$B$7:$B$1000,MATCH($I819,'Product Master'!$A$7:$A$1000,0)))</f>
        <v/>
      </c>
      <c r="K819" t="str">
        <f>IF($I819="","",INDEX('Product Master'!$C$7:$C$1000,MATCH($I819,'Product Master'!$A$7:$A$1000,0)))</f>
        <v/>
      </c>
      <c r="L819" t="str">
        <f>IF($I819="","",INDEX('Product Master'!$M$7:$M$1000,MATCH($I819,'Product Master'!$A$7:$A$1000,0)))</f>
        <v/>
      </c>
      <c r="M819" t="str">
        <f>IF($I819="","",INDEX('Product Master'!$N$7:$N$1000,MATCH($I819,'Product Master'!$A$7:$A$1000,0)))</f>
        <v/>
      </c>
    </row>
    <row r="820" spans="1:13" x14ac:dyDescent="0.3">
      <c r="A820" t="str">
        <f>IFERROR(INDEX('Product Master'!$A$7:$A$1000,_xlfn.AGGREGATE(15,6,(ROW('Product Master'!$A$7:$A$1000)-ROW('Product Master'!$A$7)+1)/(('Product Master'!$A$7:$A$1000&lt;&gt;"")*('Product Master'!$P$7:$P$1000="Low Stock")),ROWS($A$12:A820))),"")</f>
        <v/>
      </c>
      <c r="B820" t="str">
        <f>IF($A820="","",INDEX('Product Master'!$B$7:$B$1000,MATCH($A820,'Product Master'!$A$7:$A$1000,0)))</f>
        <v/>
      </c>
      <c r="C820" t="str">
        <f>IF($A820="","",INDEX('Product Master'!$C$7:$C$1000,MATCH($A820,'Product Master'!$A$7:$A$1000,0)))</f>
        <v/>
      </c>
      <c r="D820" t="str">
        <f>IF($A820="","",INDEX('Product Master'!$M$7:$M$1000,MATCH($A820,'Product Master'!$A$7:$A$1000,0)))</f>
        <v/>
      </c>
      <c r="E820" t="str">
        <f>IF($A820="","",INDEX('Product Master'!$N$7:$N$1000,MATCH($A820,'Product Master'!$A$7:$A$1000,0)))</f>
        <v/>
      </c>
      <c r="F820" t="str">
        <f>IF($A820="","",INDEX('Product Master'!$P$7:$P$1000,MATCH($A820,'Product Master'!$A$7:$A$1000,0)))</f>
        <v/>
      </c>
      <c r="I820" t="str">
        <f>IFERROR(INDEX('Product Master'!$A$7:$A$1000,_xlfn.AGGREGATE(15,6,(ROW('Product Master'!$A$7:$A$1000)-ROW('Product Master'!$A$7)+1)/(('Product Master'!$A$7:$A$1000&lt;&gt;"")*('Product Master'!$P$7:$P$1000="Out of Stock")),ROWS($I$12:I820))),"")</f>
        <v/>
      </c>
      <c r="J820" t="str">
        <f>IF($I820="","",INDEX('Product Master'!$B$7:$B$1000,MATCH($I820,'Product Master'!$A$7:$A$1000,0)))</f>
        <v/>
      </c>
      <c r="K820" t="str">
        <f>IF($I820="","",INDEX('Product Master'!$C$7:$C$1000,MATCH($I820,'Product Master'!$A$7:$A$1000,0)))</f>
        <v/>
      </c>
      <c r="L820" t="str">
        <f>IF($I820="","",INDEX('Product Master'!$M$7:$M$1000,MATCH($I820,'Product Master'!$A$7:$A$1000,0)))</f>
        <v/>
      </c>
      <c r="M820" t="str">
        <f>IF($I820="","",INDEX('Product Master'!$N$7:$N$1000,MATCH($I820,'Product Master'!$A$7:$A$1000,0)))</f>
        <v/>
      </c>
    </row>
    <row r="821" spans="1:13" x14ac:dyDescent="0.3">
      <c r="A821" t="str">
        <f>IFERROR(INDEX('Product Master'!$A$7:$A$1000,_xlfn.AGGREGATE(15,6,(ROW('Product Master'!$A$7:$A$1000)-ROW('Product Master'!$A$7)+1)/(('Product Master'!$A$7:$A$1000&lt;&gt;"")*('Product Master'!$P$7:$P$1000="Low Stock")),ROWS($A$12:A821))),"")</f>
        <v/>
      </c>
      <c r="B821" t="str">
        <f>IF($A821="","",INDEX('Product Master'!$B$7:$B$1000,MATCH($A821,'Product Master'!$A$7:$A$1000,0)))</f>
        <v/>
      </c>
      <c r="C821" t="str">
        <f>IF($A821="","",INDEX('Product Master'!$C$7:$C$1000,MATCH($A821,'Product Master'!$A$7:$A$1000,0)))</f>
        <v/>
      </c>
      <c r="D821" t="str">
        <f>IF($A821="","",INDEX('Product Master'!$M$7:$M$1000,MATCH($A821,'Product Master'!$A$7:$A$1000,0)))</f>
        <v/>
      </c>
      <c r="E821" t="str">
        <f>IF($A821="","",INDEX('Product Master'!$N$7:$N$1000,MATCH($A821,'Product Master'!$A$7:$A$1000,0)))</f>
        <v/>
      </c>
      <c r="F821" t="str">
        <f>IF($A821="","",INDEX('Product Master'!$P$7:$P$1000,MATCH($A821,'Product Master'!$A$7:$A$1000,0)))</f>
        <v/>
      </c>
      <c r="I821" t="str">
        <f>IFERROR(INDEX('Product Master'!$A$7:$A$1000,_xlfn.AGGREGATE(15,6,(ROW('Product Master'!$A$7:$A$1000)-ROW('Product Master'!$A$7)+1)/(('Product Master'!$A$7:$A$1000&lt;&gt;"")*('Product Master'!$P$7:$P$1000="Out of Stock")),ROWS($I$12:I821))),"")</f>
        <v/>
      </c>
      <c r="J821" t="str">
        <f>IF($I821="","",INDEX('Product Master'!$B$7:$B$1000,MATCH($I821,'Product Master'!$A$7:$A$1000,0)))</f>
        <v/>
      </c>
      <c r="K821" t="str">
        <f>IF($I821="","",INDEX('Product Master'!$C$7:$C$1000,MATCH($I821,'Product Master'!$A$7:$A$1000,0)))</f>
        <v/>
      </c>
      <c r="L821" t="str">
        <f>IF($I821="","",INDEX('Product Master'!$M$7:$M$1000,MATCH($I821,'Product Master'!$A$7:$A$1000,0)))</f>
        <v/>
      </c>
      <c r="M821" t="str">
        <f>IF($I821="","",INDEX('Product Master'!$N$7:$N$1000,MATCH($I821,'Product Master'!$A$7:$A$1000,0)))</f>
        <v/>
      </c>
    </row>
    <row r="822" spans="1:13" x14ac:dyDescent="0.3">
      <c r="A822" t="str">
        <f>IFERROR(INDEX('Product Master'!$A$7:$A$1000,_xlfn.AGGREGATE(15,6,(ROW('Product Master'!$A$7:$A$1000)-ROW('Product Master'!$A$7)+1)/(('Product Master'!$A$7:$A$1000&lt;&gt;"")*('Product Master'!$P$7:$P$1000="Low Stock")),ROWS($A$12:A822))),"")</f>
        <v/>
      </c>
      <c r="B822" t="str">
        <f>IF($A822="","",INDEX('Product Master'!$B$7:$B$1000,MATCH($A822,'Product Master'!$A$7:$A$1000,0)))</f>
        <v/>
      </c>
      <c r="C822" t="str">
        <f>IF($A822="","",INDEX('Product Master'!$C$7:$C$1000,MATCH($A822,'Product Master'!$A$7:$A$1000,0)))</f>
        <v/>
      </c>
      <c r="D822" t="str">
        <f>IF($A822="","",INDEX('Product Master'!$M$7:$M$1000,MATCH($A822,'Product Master'!$A$7:$A$1000,0)))</f>
        <v/>
      </c>
      <c r="E822" t="str">
        <f>IF($A822="","",INDEX('Product Master'!$N$7:$N$1000,MATCH($A822,'Product Master'!$A$7:$A$1000,0)))</f>
        <v/>
      </c>
      <c r="F822" t="str">
        <f>IF($A822="","",INDEX('Product Master'!$P$7:$P$1000,MATCH($A822,'Product Master'!$A$7:$A$1000,0)))</f>
        <v/>
      </c>
      <c r="I822" t="str">
        <f>IFERROR(INDEX('Product Master'!$A$7:$A$1000,_xlfn.AGGREGATE(15,6,(ROW('Product Master'!$A$7:$A$1000)-ROW('Product Master'!$A$7)+1)/(('Product Master'!$A$7:$A$1000&lt;&gt;"")*('Product Master'!$P$7:$P$1000="Out of Stock")),ROWS($I$12:I822))),"")</f>
        <v/>
      </c>
      <c r="J822" t="str">
        <f>IF($I822="","",INDEX('Product Master'!$B$7:$B$1000,MATCH($I822,'Product Master'!$A$7:$A$1000,0)))</f>
        <v/>
      </c>
      <c r="K822" t="str">
        <f>IF($I822="","",INDEX('Product Master'!$C$7:$C$1000,MATCH($I822,'Product Master'!$A$7:$A$1000,0)))</f>
        <v/>
      </c>
      <c r="L822" t="str">
        <f>IF($I822="","",INDEX('Product Master'!$M$7:$M$1000,MATCH($I822,'Product Master'!$A$7:$A$1000,0)))</f>
        <v/>
      </c>
      <c r="M822" t="str">
        <f>IF($I822="","",INDEX('Product Master'!$N$7:$N$1000,MATCH($I822,'Product Master'!$A$7:$A$1000,0)))</f>
        <v/>
      </c>
    </row>
    <row r="823" spans="1:13" x14ac:dyDescent="0.3">
      <c r="A823" t="str">
        <f>IFERROR(INDEX('Product Master'!$A$7:$A$1000,_xlfn.AGGREGATE(15,6,(ROW('Product Master'!$A$7:$A$1000)-ROW('Product Master'!$A$7)+1)/(('Product Master'!$A$7:$A$1000&lt;&gt;"")*('Product Master'!$P$7:$P$1000="Low Stock")),ROWS($A$12:A823))),"")</f>
        <v/>
      </c>
      <c r="B823" t="str">
        <f>IF($A823="","",INDEX('Product Master'!$B$7:$B$1000,MATCH($A823,'Product Master'!$A$7:$A$1000,0)))</f>
        <v/>
      </c>
      <c r="C823" t="str">
        <f>IF($A823="","",INDEX('Product Master'!$C$7:$C$1000,MATCH($A823,'Product Master'!$A$7:$A$1000,0)))</f>
        <v/>
      </c>
      <c r="D823" t="str">
        <f>IF($A823="","",INDEX('Product Master'!$M$7:$M$1000,MATCH($A823,'Product Master'!$A$7:$A$1000,0)))</f>
        <v/>
      </c>
      <c r="E823" t="str">
        <f>IF($A823="","",INDEX('Product Master'!$N$7:$N$1000,MATCH($A823,'Product Master'!$A$7:$A$1000,0)))</f>
        <v/>
      </c>
      <c r="F823" t="str">
        <f>IF($A823="","",INDEX('Product Master'!$P$7:$P$1000,MATCH($A823,'Product Master'!$A$7:$A$1000,0)))</f>
        <v/>
      </c>
      <c r="I823" t="str">
        <f>IFERROR(INDEX('Product Master'!$A$7:$A$1000,_xlfn.AGGREGATE(15,6,(ROW('Product Master'!$A$7:$A$1000)-ROW('Product Master'!$A$7)+1)/(('Product Master'!$A$7:$A$1000&lt;&gt;"")*('Product Master'!$P$7:$P$1000="Out of Stock")),ROWS($I$12:I823))),"")</f>
        <v/>
      </c>
      <c r="J823" t="str">
        <f>IF($I823="","",INDEX('Product Master'!$B$7:$B$1000,MATCH($I823,'Product Master'!$A$7:$A$1000,0)))</f>
        <v/>
      </c>
      <c r="K823" t="str">
        <f>IF($I823="","",INDEX('Product Master'!$C$7:$C$1000,MATCH($I823,'Product Master'!$A$7:$A$1000,0)))</f>
        <v/>
      </c>
      <c r="L823" t="str">
        <f>IF($I823="","",INDEX('Product Master'!$M$7:$M$1000,MATCH($I823,'Product Master'!$A$7:$A$1000,0)))</f>
        <v/>
      </c>
      <c r="M823" t="str">
        <f>IF($I823="","",INDEX('Product Master'!$N$7:$N$1000,MATCH($I823,'Product Master'!$A$7:$A$1000,0)))</f>
        <v/>
      </c>
    </row>
    <row r="824" spans="1:13" x14ac:dyDescent="0.3">
      <c r="A824" t="str">
        <f>IFERROR(INDEX('Product Master'!$A$7:$A$1000,_xlfn.AGGREGATE(15,6,(ROW('Product Master'!$A$7:$A$1000)-ROW('Product Master'!$A$7)+1)/(('Product Master'!$A$7:$A$1000&lt;&gt;"")*('Product Master'!$P$7:$P$1000="Low Stock")),ROWS($A$12:A824))),"")</f>
        <v/>
      </c>
      <c r="B824" t="str">
        <f>IF($A824="","",INDEX('Product Master'!$B$7:$B$1000,MATCH($A824,'Product Master'!$A$7:$A$1000,0)))</f>
        <v/>
      </c>
      <c r="C824" t="str">
        <f>IF($A824="","",INDEX('Product Master'!$C$7:$C$1000,MATCH($A824,'Product Master'!$A$7:$A$1000,0)))</f>
        <v/>
      </c>
      <c r="D824" t="str">
        <f>IF($A824="","",INDEX('Product Master'!$M$7:$M$1000,MATCH($A824,'Product Master'!$A$7:$A$1000,0)))</f>
        <v/>
      </c>
      <c r="E824" t="str">
        <f>IF($A824="","",INDEX('Product Master'!$N$7:$N$1000,MATCH($A824,'Product Master'!$A$7:$A$1000,0)))</f>
        <v/>
      </c>
      <c r="F824" t="str">
        <f>IF($A824="","",INDEX('Product Master'!$P$7:$P$1000,MATCH($A824,'Product Master'!$A$7:$A$1000,0)))</f>
        <v/>
      </c>
      <c r="I824" t="str">
        <f>IFERROR(INDEX('Product Master'!$A$7:$A$1000,_xlfn.AGGREGATE(15,6,(ROW('Product Master'!$A$7:$A$1000)-ROW('Product Master'!$A$7)+1)/(('Product Master'!$A$7:$A$1000&lt;&gt;"")*('Product Master'!$P$7:$P$1000="Out of Stock")),ROWS($I$12:I824))),"")</f>
        <v/>
      </c>
      <c r="J824" t="str">
        <f>IF($I824="","",INDEX('Product Master'!$B$7:$B$1000,MATCH($I824,'Product Master'!$A$7:$A$1000,0)))</f>
        <v/>
      </c>
      <c r="K824" t="str">
        <f>IF($I824="","",INDEX('Product Master'!$C$7:$C$1000,MATCH($I824,'Product Master'!$A$7:$A$1000,0)))</f>
        <v/>
      </c>
      <c r="L824" t="str">
        <f>IF($I824="","",INDEX('Product Master'!$M$7:$M$1000,MATCH($I824,'Product Master'!$A$7:$A$1000,0)))</f>
        <v/>
      </c>
      <c r="M824" t="str">
        <f>IF($I824="","",INDEX('Product Master'!$N$7:$N$1000,MATCH($I824,'Product Master'!$A$7:$A$1000,0)))</f>
        <v/>
      </c>
    </row>
    <row r="825" spans="1:13" x14ac:dyDescent="0.3">
      <c r="A825" t="str">
        <f>IFERROR(INDEX('Product Master'!$A$7:$A$1000,_xlfn.AGGREGATE(15,6,(ROW('Product Master'!$A$7:$A$1000)-ROW('Product Master'!$A$7)+1)/(('Product Master'!$A$7:$A$1000&lt;&gt;"")*('Product Master'!$P$7:$P$1000="Low Stock")),ROWS($A$12:A825))),"")</f>
        <v/>
      </c>
      <c r="B825" t="str">
        <f>IF($A825="","",INDEX('Product Master'!$B$7:$B$1000,MATCH($A825,'Product Master'!$A$7:$A$1000,0)))</f>
        <v/>
      </c>
      <c r="C825" t="str">
        <f>IF($A825="","",INDEX('Product Master'!$C$7:$C$1000,MATCH($A825,'Product Master'!$A$7:$A$1000,0)))</f>
        <v/>
      </c>
      <c r="D825" t="str">
        <f>IF($A825="","",INDEX('Product Master'!$M$7:$M$1000,MATCH($A825,'Product Master'!$A$7:$A$1000,0)))</f>
        <v/>
      </c>
      <c r="E825" t="str">
        <f>IF($A825="","",INDEX('Product Master'!$N$7:$N$1000,MATCH($A825,'Product Master'!$A$7:$A$1000,0)))</f>
        <v/>
      </c>
      <c r="F825" t="str">
        <f>IF($A825="","",INDEX('Product Master'!$P$7:$P$1000,MATCH($A825,'Product Master'!$A$7:$A$1000,0)))</f>
        <v/>
      </c>
      <c r="I825" t="str">
        <f>IFERROR(INDEX('Product Master'!$A$7:$A$1000,_xlfn.AGGREGATE(15,6,(ROW('Product Master'!$A$7:$A$1000)-ROW('Product Master'!$A$7)+1)/(('Product Master'!$A$7:$A$1000&lt;&gt;"")*('Product Master'!$P$7:$P$1000="Out of Stock")),ROWS($I$12:I825))),"")</f>
        <v/>
      </c>
      <c r="J825" t="str">
        <f>IF($I825="","",INDEX('Product Master'!$B$7:$B$1000,MATCH($I825,'Product Master'!$A$7:$A$1000,0)))</f>
        <v/>
      </c>
      <c r="K825" t="str">
        <f>IF($I825="","",INDEX('Product Master'!$C$7:$C$1000,MATCH($I825,'Product Master'!$A$7:$A$1000,0)))</f>
        <v/>
      </c>
      <c r="L825" t="str">
        <f>IF($I825="","",INDEX('Product Master'!$M$7:$M$1000,MATCH($I825,'Product Master'!$A$7:$A$1000,0)))</f>
        <v/>
      </c>
      <c r="M825" t="str">
        <f>IF($I825="","",INDEX('Product Master'!$N$7:$N$1000,MATCH($I825,'Product Master'!$A$7:$A$1000,0)))</f>
        <v/>
      </c>
    </row>
    <row r="826" spans="1:13" x14ac:dyDescent="0.3">
      <c r="A826" t="str">
        <f>IFERROR(INDEX('Product Master'!$A$7:$A$1000,_xlfn.AGGREGATE(15,6,(ROW('Product Master'!$A$7:$A$1000)-ROW('Product Master'!$A$7)+1)/(('Product Master'!$A$7:$A$1000&lt;&gt;"")*('Product Master'!$P$7:$P$1000="Low Stock")),ROWS($A$12:A826))),"")</f>
        <v/>
      </c>
      <c r="B826" t="str">
        <f>IF($A826="","",INDEX('Product Master'!$B$7:$B$1000,MATCH($A826,'Product Master'!$A$7:$A$1000,0)))</f>
        <v/>
      </c>
      <c r="C826" t="str">
        <f>IF($A826="","",INDEX('Product Master'!$C$7:$C$1000,MATCH($A826,'Product Master'!$A$7:$A$1000,0)))</f>
        <v/>
      </c>
      <c r="D826" t="str">
        <f>IF($A826="","",INDEX('Product Master'!$M$7:$M$1000,MATCH($A826,'Product Master'!$A$7:$A$1000,0)))</f>
        <v/>
      </c>
      <c r="E826" t="str">
        <f>IF($A826="","",INDEX('Product Master'!$N$7:$N$1000,MATCH($A826,'Product Master'!$A$7:$A$1000,0)))</f>
        <v/>
      </c>
      <c r="F826" t="str">
        <f>IF($A826="","",INDEX('Product Master'!$P$7:$P$1000,MATCH($A826,'Product Master'!$A$7:$A$1000,0)))</f>
        <v/>
      </c>
      <c r="I826" t="str">
        <f>IFERROR(INDEX('Product Master'!$A$7:$A$1000,_xlfn.AGGREGATE(15,6,(ROW('Product Master'!$A$7:$A$1000)-ROW('Product Master'!$A$7)+1)/(('Product Master'!$A$7:$A$1000&lt;&gt;"")*('Product Master'!$P$7:$P$1000="Out of Stock")),ROWS($I$12:I826))),"")</f>
        <v/>
      </c>
      <c r="J826" t="str">
        <f>IF($I826="","",INDEX('Product Master'!$B$7:$B$1000,MATCH($I826,'Product Master'!$A$7:$A$1000,0)))</f>
        <v/>
      </c>
      <c r="K826" t="str">
        <f>IF($I826="","",INDEX('Product Master'!$C$7:$C$1000,MATCH($I826,'Product Master'!$A$7:$A$1000,0)))</f>
        <v/>
      </c>
      <c r="L826" t="str">
        <f>IF($I826="","",INDEX('Product Master'!$M$7:$M$1000,MATCH($I826,'Product Master'!$A$7:$A$1000,0)))</f>
        <v/>
      </c>
      <c r="M826" t="str">
        <f>IF($I826="","",INDEX('Product Master'!$N$7:$N$1000,MATCH($I826,'Product Master'!$A$7:$A$1000,0)))</f>
        <v/>
      </c>
    </row>
    <row r="827" spans="1:13" x14ac:dyDescent="0.3">
      <c r="A827" t="str">
        <f>IFERROR(INDEX('Product Master'!$A$7:$A$1000,_xlfn.AGGREGATE(15,6,(ROW('Product Master'!$A$7:$A$1000)-ROW('Product Master'!$A$7)+1)/(('Product Master'!$A$7:$A$1000&lt;&gt;"")*('Product Master'!$P$7:$P$1000="Low Stock")),ROWS($A$12:A827))),"")</f>
        <v/>
      </c>
      <c r="B827" t="str">
        <f>IF($A827="","",INDEX('Product Master'!$B$7:$B$1000,MATCH($A827,'Product Master'!$A$7:$A$1000,0)))</f>
        <v/>
      </c>
      <c r="C827" t="str">
        <f>IF($A827="","",INDEX('Product Master'!$C$7:$C$1000,MATCH($A827,'Product Master'!$A$7:$A$1000,0)))</f>
        <v/>
      </c>
      <c r="D827" t="str">
        <f>IF($A827="","",INDEX('Product Master'!$M$7:$M$1000,MATCH($A827,'Product Master'!$A$7:$A$1000,0)))</f>
        <v/>
      </c>
      <c r="E827" t="str">
        <f>IF($A827="","",INDEX('Product Master'!$N$7:$N$1000,MATCH($A827,'Product Master'!$A$7:$A$1000,0)))</f>
        <v/>
      </c>
      <c r="F827" t="str">
        <f>IF($A827="","",INDEX('Product Master'!$P$7:$P$1000,MATCH($A827,'Product Master'!$A$7:$A$1000,0)))</f>
        <v/>
      </c>
      <c r="I827" t="str">
        <f>IFERROR(INDEX('Product Master'!$A$7:$A$1000,_xlfn.AGGREGATE(15,6,(ROW('Product Master'!$A$7:$A$1000)-ROW('Product Master'!$A$7)+1)/(('Product Master'!$A$7:$A$1000&lt;&gt;"")*('Product Master'!$P$7:$P$1000="Out of Stock")),ROWS($I$12:I827))),"")</f>
        <v/>
      </c>
      <c r="J827" t="str">
        <f>IF($I827="","",INDEX('Product Master'!$B$7:$B$1000,MATCH($I827,'Product Master'!$A$7:$A$1000,0)))</f>
        <v/>
      </c>
      <c r="K827" t="str">
        <f>IF($I827="","",INDEX('Product Master'!$C$7:$C$1000,MATCH($I827,'Product Master'!$A$7:$A$1000,0)))</f>
        <v/>
      </c>
      <c r="L827" t="str">
        <f>IF($I827="","",INDEX('Product Master'!$M$7:$M$1000,MATCH($I827,'Product Master'!$A$7:$A$1000,0)))</f>
        <v/>
      </c>
      <c r="M827" t="str">
        <f>IF($I827="","",INDEX('Product Master'!$N$7:$N$1000,MATCH($I827,'Product Master'!$A$7:$A$1000,0)))</f>
        <v/>
      </c>
    </row>
    <row r="828" spans="1:13" x14ac:dyDescent="0.3">
      <c r="A828" t="str">
        <f>IFERROR(INDEX('Product Master'!$A$7:$A$1000,_xlfn.AGGREGATE(15,6,(ROW('Product Master'!$A$7:$A$1000)-ROW('Product Master'!$A$7)+1)/(('Product Master'!$A$7:$A$1000&lt;&gt;"")*('Product Master'!$P$7:$P$1000="Low Stock")),ROWS($A$12:A828))),"")</f>
        <v/>
      </c>
      <c r="B828" t="str">
        <f>IF($A828="","",INDEX('Product Master'!$B$7:$B$1000,MATCH($A828,'Product Master'!$A$7:$A$1000,0)))</f>
        <v/>
      </c>
      <c r="C828" t="str">
        <f>IF($A828="","",INDEX('Product Master'!$C$7:$C$1000,MATCH($A828,'Product Master'!$A$7:$A$1000,0)))</f>
        <v/>
      </c>
      <c r="D828" t="str">
        <f>IF($A828="","",INDEX('Product Master'!$M$7:$M$1000,MATCH($A828,'Product Master'!$A$7:$A$1000,0)))</f>
        <v/>
      </c>
      <c r="E828" t="str">
        <f>IF($A828="","",INDEX('Product Master'!$N$7:$N$1000,MATCH($A828,'Product Master'!$A$7:$A$1000,0)))</f>
        <v/>
      </c>
      <c r="F828" t="str">
        <f>IF($A828="","",INDEX('Product Master'!$P$7:$P$1000,MATCH($A828,'Product Master'!$A$7:$A$1000,0)))</f>
        <v/>
      </c>
      <c r="I828" t="str">
        <f>IFERROR(INDEX('Product Master'!$A$7:$A$1000,_xlfn.AGGREGATE(15,6,(ROW('Product Master'!$A$7:$A$1000)-ROW('Product Master'!$A$7)+1)/(('Product Master'!$A$7:$A$1000&lt;&gt;"")*('Product Master'!$P$7:$P$1000="Out of Stock")),ROWS($I$12:I828))),"")</f>
        <v/>
      </c>
      <c r="J828" t="str">
        <f>IF($I828="","",INDEX('Product Master'!$B$7:$B$1000,MATCH($I828,'Product Master'!$A$7:$A$1000,0)))</f>
        <v/>
      </c>
      <c r="K828" t="str">
        <f>IF($I828="","",INDEX('Product Master'!$C$7:$C$1000,MATCH($I828,'Product Master'!$A$7:$A$1000,0)))</f>
        <v/>
      </c>
      <c r="L828" t="str">
        <f>IF($I828="","",INDEX('Product Master'!$M$7:$M$1000,MATCH($I828,'Product Master'!$A$7:$A$1000,0)))</f>
        <v/>
      </c>
      <c r="M828" t="str">
        <f>IF($I828="","",INDEX('Product Master'!$N$7:$N$1000,MATCH($I828,'Product Master'!$A$7:$A$1000,0)))</f>
        <v/>
      </c>
    </row>
    <row r="829" spans="1:13" x14ac:dyDescent="0.3">
      <c r="A829" t="str">
        <f>IFERROR(INDEX('Product Master'!$A$7:$A$1000,_xlfn.AGGREGATE(15,6,(ROW('Product Master'!$A$7:$A$1000)-ROW('Product Master'!$A$7)+1)/(('Product Master'!$A$7:$A$1000&lt;&gt;"")*('Product Master'!$P$7:$P$1000="Low Stock")),ROWS($A$12:A829))),"")</f>
        <v/>
      </c>
      <c r="B829" t="str">
        <f>IF($A829="","",INDEX('Product Master'!$B$7:$B$1000,MATCH($A829,'Product Master'!$A$7:$A$1000,0)))</f>
        <v/>
      </c>
      <c r="C829" t="str">
        <f>IF($A829="","",INDEX('Product Master'!$C$7:$C$1000,MATCH($A829,'Product Master'!$A$7:$A$1000,0)))</f>
        <v/>
      </c>
      <c r="D829" t="str">
        <f>IF($A829="","",INDEX('Product Master'!$M$7:$M$1000,MATCH($A829,'Product Master'!$A$7:$A$1000,0)))</f>
        <v/>
      </c>
      <c r="E829" t="str">
        <f>IF($A829="","",INDEX('Product Master'!$N$7:$N$1000,MATCH($A829,'Product Master'!$A$7:$A$1000,0)))</f>
        <v/>
      </c>
      <c r="F829" t="str">
        <f>IF($A829="","",INDEX('Product Master'!$P$7:$P$1000,MATCH($A829,'Product Master'!$A$7:$A$1000,0)))</f>
        <v/>
      </c>
      <c r="I829" t="str">
        <f>IFERROR(INDEX('Product Master'!$A$7:$A$1000,_xlfn.AGGREGATE(15,6,(ROW('Product Master'!$A$7:$A$1000)-ROW('Product Master'!$A$7)+1)/(('Product Master'!$A$7:$A$1000&lt;&gt;"")*('Product Master'!$P$7:$P$1000="Out of Stock")),ROWS($I$12:I829))),"")</f>
        <v/>
      </c>
      <c r="J829" t="str">
        <f>IF($I829="","",INDEX('Product Master'!$B$7:$B$1000,MATCH($I829,'Product Master'!$A$7:$A$1000,0)))</f>
        <v/>
      </c>
      <c r="K829" t="str">
        <f>IF($I829="","",INDEX('Product Master'!$C$7:$C$1000,MATCH($I829,'Product Master'!$A$7:$A$1000,0)))</f>
        <v/>
      </c>
      <c r="L829" t="str">
        <f>IF($I829="","",INDEX('Product Master'!$M$7:$M$1000,MATCH($I829,'Product Master'!$A$7:$A$1000,0)))</f>
        <v/>
      </c>
      <c r="M829" t="str">
        <f>IF($I829="","",INDEX('Product Master'!$N$7:$N$1000,MATCH($I829,'Product Master'!$A$7:$A$1000,0)))</f>
        <v/>
      </c>
    </row>
    <row r="830" spans="1:13" x14ac:dyDescent="0.3">
      <c r="A830" t="str">
        <f>IFERROR(INDEX('Product Master'!$A$7:$A$1000,_xlfn.AGGREGATE(15,6,(ROW('Product Master'!$A$7:$A$1000)-ROW('Product Master'!$A$7)+1)/(('Product Master'!$A$7:$A$1000&lt;&gt;"")*('Product Master'!$P$7:$P$1000="Low Stock")),ROWS($A$12:A830))),"")</f>
        <v/>
      </c>
      <c r="B830" t="str">
        <f>IF($A830="","",INDEX('Product Master'!$B$7:$B$1000,MATCH($A830,'Product Master'!$A$7:$A$1000,0)))</f>
        <v/>
      </c>
      <c r="C830" t="str">
        <f>IF($A830="","",INDEX('Product Master'!$C$7:$C$1000,MATCH($A830,'Product Master'!$A$7:$A$1000,0)))</f>
        <v/>
      </c>
      <c r="D830" t="str">
        <f>IF($A830="","",INDEX('Product Master'!$M$7:$M$1000,MATCH($A830,'Product Master'!$A$7:$A$1000,0)))</f>
        <v/>
      </c>
      <c r="E830" t="str">
        <f>IF($A830="","",INDEX('Product Master'!$N$7:$N$1000,MATCH($A830,'Product Master'!$A$7:$A$1000,0)))</f>
        <v/>
      </c>
      <c r="F830" t="str">
        <f>IF($A830="","",INDEX('Product Master'!$P$7:$P$1000,MATCH($A830,'Product Master'!$A$7:$A$1000,0)))</f>
        <v/>
      </c>
      <c r="I830" t="str">
        <f>IFERROR(INDEX('Product Master'!$A$7:$A$1000,_xlfn.AGGREGATE(15,6,(ROW('Product Master'!$A$7:$A$1000)-ROW('Product Master'!$A$7)+1)/(('Product Master'!$A$7:$A$1000&lt;&gt;"")*('Product Master'!$P$7:$P$1000="Out of Stock")),ROWS($I$12:I830))),"")</f>
        <v/>
      </c>
      <c r="J830" t="str">
        <f>IF($I830="","",INDEX('Product Master'!$B$7:$B$1000,MATCH($I830,'Product Master'!$A$7:$A$1000,0)))</f>
        <v/>
      </c>
      <c r="K830" t="str">
        <f>IF($I830="","",INDEX('Product Master'!$C$7:$C$1000,MATCH($I830,'Product Master'!$A$7:$A$1000,0)))</f>
        <v/>
      </c>
      <c r="L830" t="str">
        <f>IF($I830="","",INDEX('Product Master'!$M$7:$M$1000,MATCH($I830,'Product Master'!$A$7:$A$1000,0)))</f>
        <v/>
      </c>
      <c r="M830" t="str">
        <f>IF($I830="","",INDEX('Product Master'!$N$7:$N$1000,MATCH($I830,'Product Master'!$A$7:$A$1000,0)))</f>
        <v/>
      </c>
    </row>
    <row r="831" spans="1:13" x14ac:dyDescent="0.3">
      <c r="A831" t="str">
        <f>IFERROR(INDEX('Product Master'!$A$7:$A$1000,_xlfn.AGGREGATE(15,6,(ROW('Product Master'!$A$7:$A$1000)-ROW('Product Master'!$A$7)+1)/(('Product Master'!$A$7:$A$1000&lt;&gt;"")*('Product Master'!$P$7:$P$1000="Low Stock")),ROWS($A$12:A831))),"")</f>
        <v/>
      </c>
      <c r="B831" t="str">
        <f>IF($A831="","",INDEX('Product Master'!$B$7:$B$1000,MATCH($A831,'Product Master'!$A$7:$A$1000,0)))</f>
        <v/>
      </c>
      <c r="C831" t="str">
        <f>IF($A831="","",INDEX('Product Master'!$C$7:$C$1000,MATCH($A831,'Product Master'!$A$7:$A$1000,0)))</f>
        <v/>
      </c>
      <c r="D831" t="str">
        <f>IF($A831="","",INDEX('Product Master'!$M$7:$M$1000,MATCH($A831,'Product Master'!$A$7:$A$1000,0)))</f>
        <v/>
      </c>
      <c r="E831" t="str">
        <f>IF($A831="","",INDEX('Product Master'!$N$7:$N$1000,MATCH($A831,'Product Master'!$A$7:$A$1000,0)))</f>
        <v/>
      </c>
      <c r="F831" t="str">
        <f>IF($A831="","",INDEX('Product Master'!$P$7:$P$1000,MATCH($A831,'Product Master'!$A$7:$A$1000,0)))</f>
        <v/>
      </c>
      <c r="I831" t="str">
        <f>IFERROR(INDEX('Product Master'!$A$7:$A$1000,_xlfn.AGGREGATE(15,6,(ROW('Product Master'!$A$7:$A$1000)-ROW('Product Master'!$A$7)+1)/(('Product Master'!$A$7:$A$1000&lt;&gt;"")*('Product Master'!$P$7:$P$1000="Out of Stock")),ROWS($I$12:I831))),"")</f>
        <v/>
      </c>
      <c r="J831" t="str">
        <f>IF($I831="","",INDEX('Product Master'!$B$7:$B$1000,MATCH($I831,'Product Master'!$A$7:$A$1000,0)))</f>
        <v/>
      </c>
      <c r="K831" t="str">
        <f>IF($I831="","",INDEX('Product Master'!$C$7:$C$1000,MATCH($I831,'Product Master'!$A$7:$A$1000,0)))</f>
        <v/>
      </c>
      <c r="L831" t="str">
        <f>IF($I831="","",INDEX('Product Master'!$M$7:$M$1000,MATCH($I831,'Product Master'!$A$7:$A$1000,0)))</f>
        <v/>
      </c>
      <c r="M831" t="str">
        <f>IF($I831="","",INDEX('Product Master'!$N$7:$N$1000,MATCH($I831,'Product Master'!$A$7:$A$1000,0)))</f>
        <v/>
      </c>
    </row>
    <row r="832" spans="1:13" x14ac:dyDescent="0.3">
      <c r="A832" t="str">
        <f>IFERROR(INDEX('Product Master'!$A$7:$A$1000,_xlfn.AGGREGATE(15,6,(ROW('Product Master'!$A$7:$A$1000)-ROW('Product Master'!$A$7)+1)/(('Product Master'!$A$7:$A$1000&lt;&gt;"")*('Product Master'!$P$7:$P$1000="Low Stock")),ROWS($A$12:A832))),"")</f>
        <v/>
      </c>
      <c r="B832" t="str">
        <f>IF($A832="","",INDEX('Product Master'!$B$7:$B$1000,MATCH($A832,'Product Master'!$A$7:$A$1000,0)))</f>
        <v/>
      </c>
      <c r="C832" t="str">
        <f>IF($A832="","",INDEX('Product Master'!$C$7:$C$1000,MATCH($A832,'Product Master'!$A$7:$A$1000,0)))</f>
        <v/>
      </c>
      <c r="D832" t="str">
        <f>IF($A832="","",INDEX('Product Master'!$M$7:$M$1000,MATCH($A832,'Product Master'!$A$7:$A$1000,0)))</f>
        <v/>
      </c>
      <c r="E832" t="str">
        <f>IF($A832="","",INDEX('Product Master'!$N$7:$N$1000,MATCH($A832,'Product Master'!$A$7:$A$1000,0)))</f>
        <v/>
      </c>
      <c r="F832" t="str">
        <f>IF($A832="","",INDEX('Product Master'!$P$7:$P$1000,MATCH($A832,'Product Master'!$A$7:$A$1000,0)))</f>
        <v/>
      </c>
      <c r="I832" t="str">
        <f>IFERROR(INDEX('Product Master'!$A$7:$A$1000,_xlfn.AGGREGATE(15,6,(ROW('Product Master'!$A$7:$A$1000)-ROW('Product Master'!$A$7)+1)/(('Product Master'!$A$7:$A$1000&lt;&gt;"")*('Product Master'!$P$7:$P$1000="Out of Stock")),ROWS($I$12:I832))),"")</f>
        <v/>
      </c>
      <c r="J832" t="str">
        <f>IF($I832="","",INDEX('Product Master'!$B$7:$B$1000,MATCH($I832,'Product Master'!$A$7:$A$1000,0)))</f>
        <v/>
      </c>
      <c r="K832" t="str">
        <f>IF($I832="","",INDEX('Product Master'!$C$7:$C$1000,MATCH($I832,'Product Master'!$A$7:$A$1000,0)))</f>
        <v/>
      </c>
      <c r="L832" t="str">
        <f>IF($I832="","",INDEX('Product Master'!$M$7:$M$1000,MATCH($I832,'Product Master'!$A$7:$A$1000,0)))</f>
        <v/>
      </c>
      <c r="M832" t="str">
        <f>IF($I832="","",INDEX('Product Master'!$N$7:$N$1000,MATCH($I832,'Product Master'!$A$7:$A$1000,0)))</f>
        <v/>
      </c>
    </row>
    <row r="833" spans="1:13" x14ac:dyDescent="0.3">
      <c r="A833" t="str">
        <f>IFERROR(INDEX('Product Master'!$A$7:$A$1000,_xlfn.AGGREGATE(15,6,(ROW('Product Master'!$A$7:$A$1000)-ROW('Product Master'!$A$7)+1)/(('Product Master'!$A$7:$A$1000&lt;&gt;"")*('Product Master'!$P$7:$P$1000="Low Stock")),ROWS($A$12:A833))),"")</f>
        <v/>
      </c>
      <c r="B833" t="str">
        <f>IF($A833="","",INDEX('Product Master'!$B$7:$B$1000,MATCH($A833,'Product Master'!$A$7:$A$1000,0)))</f>
        <v/>
      </c>
      <c r="C833" t="str">
        <f>IF($A833="","",INDEX('Product Master'!$C$7:$C$1000,MATCH($A833,'Product Master'!$A$7:$A$1000,0)))</f>
        <v/>
      </c>
      <c r="D833" t="str">
        <f>IF($A833="","",INDEX('Product Master'!$M$7:$M$1000,MATCH($A833,'Product Master'!$A$7:$A$1000,0)))</f>
        <v/>
      </c>
      <c r="E833" t="str">
        <f>IF($A833="","",INDEX('Product Master'!$N$7:$N$1000,MATCH($A833,'Product Master'!$A$7:$A$1000,0)))</f>
        <v/>
      </c>
      <c r="F833" t="str">
        <f>IF($A833="","",INDEX('Product Master'!$P$7:$P$1000,MATCH($A833,'Product Master'!$A$7:$A$1000,0)))</f>
        <v/>
      </c>
      <c r="I833" t="str">
        <f>IFERROR(INDEX('Product Master'!$A$7:$A$1000,_xlfn.AGGREGATE(15,6,(ROW('Product Master'!$A$7:$A$1000)-ROW('Product Master'!$A$7)+1)/(('Product Master'!$A$7:$A$1000&lt;&gt;"")*('Product Master'!$P$7:$P$1000="Out of Stock")),ROWS($I$12:I833))),"")</f>
        <v/>
      </c>
      <c r="J833" t="str">
        <f>IF($I833="","",INDEX('Product Master'!$B$7:$B$1000,MATCH($I833,'Product Master'!$A$7:$A$1000,0)))</f>
        <v/>
      </c>
      <c r="K833" t="str">
        <f>IF($I833="","",INDEX('Product Master'!$C$7:$C$1000,MATCH($I833,'Product Master'!$A$7:$A$1000,0)))</f>
        <v/>
      </c>
      <c r="L833" t="str">
        <f>IF($I833="","",INDEX('Product Master'!$M$7:$M$1000,MATCH($I833,'Product Master'!$A$7:$A$1000,0)))</f>
        <v/>
      </c>
      <c r="M833" t="str">
        <f>IF($I833="","",INDEX('Product Master'!$N$7:$N$1000,MATCH($I833,'Product Master'!$A$7:$A$1000,0)))</f>
        <v/>
      </c>
    </row>
    <row r="834" spans="1:13" x14ac:dyDescent="0.3">
      <c r="A834" t="str">
        <f>IFERROR(INDEX('Product Master'!$A$7:$A$1000,_xlfn.AGGREGATE(15,6,(ROW('Product Master'!$A$7:$A$1000)-ROW('Product Master'!$A$7)+1)/(('Product Master'!$A$7:$A$1000&lt;&gt;"")*('Product Master'!$P$7:$P$1000="Low Stock")),ROWS($A$12:A834))),"")</f>
        <v/>
      </c>
      <c r="B834" t="str">
        <f>IF($A834="","",INDEX('Product Master'!$B$7:$B$1000,MATCH($A834,'Product Master'!$A$7:$A$1000,0)))</f>
        <v/>
      </c>
      <c r="C834" t="str">
        <f>IF($A834="","",INDEX('Product Master'!$C$7:$C$1000,MATCH($A834,'Product Master'!$A$7:$A$1000,0)))</f>
        <v/>
      </c>
      <c r="D834" t="str">
        <f>IF($A834="","",INDEX('Product Master'!$M$7:$M$1000,MATCH($A834,'Product Master'!$A$7:$A$1000,0)))</f>
        <v/>
      </c>
      <c r="E834" t="str">
        <f>IF($A834="","",INDEX('Product Master'!$N$7:$N$1000,MATCH($A834,'Product Master'!$A$7:$A$1000,0)))</f>
        <v/>
      </c>
      <c r="F834" t="str">
        <f>IF($A834="","",INDEX('Product Master'!$P$7:$P$1000,MATCH($A834,'Product Master'!$A$7:$A$1000,0)))</f>
        <v/>
      </c>
      <c r="I834" t="str">
        <f>IFERROR(INDEX('Product Master'!$A$7:$A$1000,_xlfn.AGGREGATE(15,6,(ROW('Product Master'!$A$7:$A$1000)-ROW('Product Master'!$A$7)+1)/(('Product Master'!$A$7:$A$1000&lt;&gt;"")*('Product Master'!$P$7:$P$1000="Out of Stock")),ROWS($I$12:I834))),"")</f>
        <v/>
      </c>
      <c r="J834" t="str">
        <f>IF($I834="","",INDEX('Product Master'!$B$7:$B$1000,MATCH($I834,'Product Master'!$A$7:$A$1000,0)))</f>
        <v/>
      </c>
      <c r="K834" t="str">
        <f>IF($I834="","",INDEX('Product Master'!$C$7:$C$1000,MATCH($I834,'Product Master'!$A$7:$A$1000,0)))</f>
        <v/>
      </c>
      <c r="L834" t="str">
        <f>IF($I834="","",INDEX('Product Master'!$M$7:$M$1000,MATCH($I834,'Product Master'!$A$7:$A$1000,0)))</f>
        <v/>
      </c>
      <c r="M834" t="str">
        <f>IF($I834="","",INDEX('Product Master'!$N$7:$N$1000,MATCH($I834,'Product Master'!$A$7:$A$1000,0)))</f>
        <v/>
      </c>
    </row>
    <row r="835" spans="1:13" x14ac:dyDescent="0.3">
      <c r="A835" t="str">
        <f>IFERROR(INDEX('Product Master'!$A$7:$A$1000,_xlfn.AGGREGATE(15,6,(ROW('Product Master'!$A$7:$A$1000)-ROW('Product Master'!$A$7)+1)/(('Product Master'!$A$7:$A$1000&lt;&gt;"")*('Product Master'!$P$7:$P$1000="Low Stock")),ROWS($A$12:A835))),"")</f>
        <v/>
      </c>
      <c r="B835" t="str">
        <f>IF($A835="","",INDEX('Product Master'!$B$7:$B$1000,MATCH($A835,'Product Master'!$A$7:$A$1000,0)))</f>
        <v/>
      </c>
      <c r="C835" t="str">
        <f>IF($A835="","",INDEX('Product Master'!$C$7:$C$1000,MATCH($A835,'Product Master'!$A$7:$A$1000,0)))</f>
        <v/>
      </c>
      <c r="D835" t="str">
        <f>IF($A835="","",INDEX('Product Master'!$M$7:$M$1000,MATCH($A835,'Product Master'!$A$7:$A$1000,0)))</f>
        <v/>
      </c>
      <c r="E835" t="str">
        <f>IF($A835="","",INDEX('Product Master'!$N$7:$N$1000,MATCH($A835,'Product Master'!$A$7:$A$1000,0)))</f>
        <v/>
      </c>
      <c r="F835" t="str">
        <f>IF($A835="","",INDEX('Product Master'!$P$7:$P$1000,MATCH($A835,'Product Master'!$A$7:$A$1000,0)))</f>
        <v/>
      </c>
      <c r="I835" t="str">
        <f>IFERROR(INDEX('Product Master'!$A$7:$A$1000,_xlfn.AGGREGATE(15,6,(ROW('Product Master'!$A$7:$A$1000)-ROW('Product Master'!$A$7)+1)/(('Product Master'!$A$7:$A$1000&lt;&gt;"")*('Product Master'!$P$7:$P$1000="Out of Stock")),ROWS($I$12:I835))),"")</f>
        <v/>
      </c>
      <c r="J835" t="str">
        <f>IF($I835="","",INDEX('Product Master'!$B$7:$B$1000,MATCH($I835,'Product Master'!$A$7:$A$1000,0)))</f>
        <v/>
      </c>
      <c r="K835" t="str">
        <f>IF($I835="","",INDEX('Product Master'!$C$7:$C$1000,MATCH($I835,'Product Master'!$A$7:$A$1000,0)))</f>
        <v/>
      </c>
      <c r="L835" t="str">
        <f>IF($I835="","",INDEX('Product Master'!$M$7:$M$1000,MATCH($I835,'Product Master'!$A$7:$A$1000,0)))</f>
        <v/>
      </c>
      <c r="M835" t="str">
        <f>IF($I835="","",INDEX('Product Master'!$N$7:$N$1000,MATCH($I835,'Product Master'!$A$7:$A$1000,0)))</f>
        <v/>
      </c>
    </row>
    <row r="836" spans="1:13" x14ac:dyDescent="0.3">
      <c r="A836" t="str">
        <f>IFERROR(INDEX('Product Master'!$A$7:$A$1000,_xlfn.AGGREGATE(15,6,(ROW('Product Master'!$A$7:$A$1000)-ROW('Product Master'!$A$7)+1)/(('Product Master'!$A$7:$A$1000&lt;&gt;"")*('Product Master'!$P$7:$P$1000="Low Stock")),ROWS($A$12:A836))),"")</f>
        <v/>
      </c>
      <c r="B836" t="str">
        <f>IF($A836="","",INDEX('Product Master'!$B$7:$B$1000,MATCH($A836,'Product Master'!$A$7:$A$1000,0)))</f>
        <v/>
      </c>
      <c r="C836" t="str">
        <f>IF($A836="","",INDEX('Product Master'!$C$7:$C$1000,MATCH($A836,'Product Master'!$A$7:$A$1000,0)))</f>
        <v/>
      </c>
      <c r="D836" t="str">
        <f>IF($A836="","",INDEX('Product Master'!$M$7:$M$1000,MATCH($A836,'Product Master'!$A$7:$A$1000,0)))</f>
        <v/>
      </c>
      <c r="E836" t="str">
        <f>IF($A836="","",INDEX('Product Master'!$N$7:$N$1000,MATCH($A836,'Product Master'!$A$7:$A$1000,0)))</f>
        <v/>
      </c>
      <c r="F836" t="str">
        <f>IF($A836="","",INDEX('Product Master'!$P$7:$P$1000,MATCH($A836,'Product Master'!$A$7:$A$1000,0)))</f>
        <v/>
      </c>
      <c r="I836" t="str">
        <f>IFERROR(INDEX('Product Master'!$A$7:$A$1000,_xlfn.AGGREGATE(15,6,(ROW('Product Master'!$A$7:$A$1000)-ROW('Product Master'!$A$7)+1)/(('Product Master'!$A$7:$A$1000&lt;&gt;"")*('Product Master'!$P$7:$P$1000="Out of Stock")),ROWS($I$12:I836))),"")</f>
        <v/>
      </c>
      <c r="J836" t="str">
        <f>IF($I836="","",INDEX('Product Master'!$B$7:$B$1000,MATCH($I836,'Product Master'!$A$7:$A$1000,0)))</f>
        <v/>
      </c>
      <c r="K836" t="str">
        <f>IF($I836="","",INDEX('Product Master'!$C$7:$C$1000,MATCH($I836,'Product Master'!$A$7:$A$1000,0)))</f>
        <v/>
      </c>
      <c r="L836" t="str">
        <f>IF($I836="","",INDEX('Product Master'!$M$7:$M$1000,MATCH($I836,'Product Master'!$A$7:$A$1000,0)))</f>
        <v/>
      </c>
      <c r="M836" t="str">
        <f>IF($I836="","",INDEX('Product Master'!$N$7:$N$1000,MATCH($I836,'Product Master'!$A$7:$A$1000,0)))</f>
        <v/>
      </c>
    </row>
    <row r="837" spans="1:13" x14ac:dyDescent="0.3">
      <c r="A837" t="str">
        <f>IFERROR(INDEX('Product Master'!$A$7:$A$1000,_xlfn.AGGREGATE(15,6,(ROW('Product Master'!$A$7:$A$1000)-ROW('Product Master'!$A$7)+1)/(('Product Master'!$A$7:$A$1000&lt;&gt;"")*('Product Master'!$P$7:$P$1000="Low Stock")),ROWS($A$12:A837))),"")</f>
        <v/>
      </c>
      <c r="B837" t="str">
        <f>IF($A837="","",INDEX('Product Master'!$B$7:$B$1000,MATCH($A837,'Product Master'!$A$7:$A$1000,0)))</f>
        <v/>
      </c>
      <c r="C837" t="str">
        <f>IF($A837="","",INDEX('Product Master'!$C$7:$C$1000,MATCH($A837,'Product Master'!$A$7:$A$1000,0)))</f>
        <v/>
      </c>
      <c r="D837" t="str">
        <f>IF($A837="","",INDEX('Product Master'!$M$7:$M$1000,MATCH($A837,'Product Master'!$A$7:$A$1000,0)))</f>
        <v/>
      </c>
      <c r="E837" t="str">
        <f>IF($A837="","",INDEX('Product Master'!$N$7:$N$1000,MATCH($A837,'Product Master'!$A$7:$A$1000,0)))</f>
        <v/>
      </c>
      <c r="F837" t="str">
        <f>IF($A837="","",INDEX('Product Master'!$P$7:$P$1000,MATCH($A837,'Product Master'!$A$7:$A$1000,0)))</f>
        <v/>
      </c>
      <c r="I837" t="str">
        <f>IFERROR(INDEX('Product Master'!$A$7:$A$1000,_xlfn.AGGREGATE(15,6,(ROW('Product Master'!$A$7:$A$1000)-ROW('Product Master'!$A$7)+1)/(('Product Master'!$A$7:$A$1000&lt;&gt;"")*('Product Master'!$P$7:$P$1000="Out of Stock")),ROWS($I$12:I837))),"")</f>
        <v/>
      </c>
      <c r="J837" t="str">
        <f>IF($I837="","",INDEX('Product Master'!$B$7:$B$1000,MATCH($I837,'Product Master'!$A$7:$A$1000,0)))</f>
        <v/>
      </c>
      <c r="K837" t="str">
        <f>IF($I837="","",INDEX('Product Master'!$C$7:$C$1000,MATCH($I837,'Product Master'!$A$7:$A$1000,0)))</f>
        <v/>
      </c>
      <c r="L837" t="str">
        <f>IF($I837="","",INDEX('Product Master'!$M$7:$M$1000,MATCH($I837,'Product Master'!$A$7:$A$1000,0)))</f>
        <v/>
      </c>
      <c r="M837" t="str">
        <f>IF($I837="","",INDEX('Product Master'!$N$7:$N$1000,MATCH($I837,'Product Master'!$A$7:$A$1000,0)))</f>
        <v/>
      </c>
    </row>
    <row r="838" spans="1:13" x14ac:dyDescent="0.3">
      <c r="A838" t="str">
        <f>IFERROR(INDEX('Product Master'!$A$7:$A$1000,_xlfn.AGGREGATE(15,6,(ROW('Product Master'!$A$7:$A$1000)-ROW('Product Master'!$A$7)+1)/(('Product Master'!$A$7:$A$1000&lt;&gt;"")*('Product Master'!$P$7:$P$1000="Low Stock")),ROWS($A$12:A838))),"")</f>
        <v/>
      </c>
      <c r="B838" t="str">
        <f>IF($A838="","",INDEX('Product Master'!$B$7:$B$1000,MATCH($A838,'Product Master'!$A$7:$A$1000,0)))</f>
        <v/>
      </c>
      <c r="C838" t="str">
        <f>IF($A838="","",INDEX('Product Master'!$C$7:$C$1000,MATCH($A838,'Product Master'!$A$7:$A$1000,0)))</f>
        <v/>
      </c>
      <c r="D838" t="str">
        <f>IF($A838="","",INDEX('Product Master'!$M$7:$M$1000,MATCH($A838,'Product Master'!$A$7:$A$1000,0)))</f>
        <v/>
      </c>
      <c r="E838" t="str">
        <f>IF($A838="","",INDEX('Product Master'!$N$7:$N$1000,MATCH($A838,'Product Master'!$A$7:$A$1000,0)))</f>
        <v/>
      </c>
      <c r="F838" t="str">
        <f>IF($A838="","",INDEX('Product Master'!$P$7:$P$1000,MATCH($A838,'Product Master'!$A$7:$A$1000,0)))</f>
        <v/>
      </c>
      <c r="I838" t="str">
        <f>IFERROR(INDEX('Product Master'!$A$7:$A$1000,_xlfn.AGGREGATE(15,6,(ROW('Product Master'!$A$7:$A$1000)-ROW('Product Master'!$A$7)+1)/(('Product Master'!$A$7:$A$1000&lt;&gt;"")*('Product Master'!$P$7:$P$1000="Out of Stock")),ROWS($I$12:I838))),"")</f>
        <v/>
      </c>
      <c r="J838" t="str">
        <f>IF($I838="","",INDEX('Product Master'!$B$7:$B$1000,MATCH($I838,'Product Master'!$A$7:$A$1000,0)))</f>
        <v/>
      </c>
      <c r="K838" t="str">
        <f>IF($I838="","",INDEX('Product Master'!$C$7:$C$1000,MATCH($I838,'Product Master'!$A$7:$A$1000,0)))</f>
        <v/>
      </c>
      <c r="L838" t="str">
        <f>IF($I838="","",INDEX('Product Master'!$M$7:$M$1000,MATCH($I838,'Product Master'!$A$7:$A$1000,0)))</f>
        <v/>
      </c>
      <c r="M838" t="str">
        <f>IF($I838="","",INDEX('Product Master'!$N$7:$N$1000,MATCH($I838,'Product Master'!$A$7:$A$1000,0)))</f>
        <v/>
      </c>
    </row>
    <row r="839" spans="1:13" x14ac:dyDescent="0.3">
      <c r="A839" t="str">
        <f>IFERROR(INDEX('Product Master'!$A$7:$A$1000,_xlfn.AGGREGATE(15,6,(ROW('Product Master'!$A$7:$A$1000)-ROW('Product Master'!$A$7)+1)/(('Product Master'!$A$7:$A$1000&lt;&gt;"")*('Product Master'!$P$7:$P$1000="Low Stock")),ROWS($A$12:A839))),"")</f>
        <v/>
      </c>
      <c r="B839" t="str">
        <f>IF($A839="","",INDEX('Product Master'!$B$7:$B$1000,MATCH($A839,'Product Master'!$A$7:$A$1000,0)))</f>
        <v/>
      </c>
      <c r="C839" t="str">
        <f>IF($A839="","",INDEX('Product Master'!$C$7:$C$1000,MATCH($A839,'Product Master'!$A$7:$A$1000,0)))</f>
        <v/>
      </c>
      <c r="D839" t="str">
        <f>IF($A839="","",INDEX('Product Master'!$M$7:$M$1000,MATCH($A839,'Product Master'!$A$7:$A$1000,0)))</f>
        <v/>
      </c>
      <c r="E839" t="str">
        <f>IF($A839="","",INDEX('Product Master'!$N$7:$N$1000,MATCH($A839,'Product Master'!$A$7:$A$1000,0)))</f>
        <v/>
      </c>
      <c r="F839" t="str">
        <f>IF($A839="","",INDEX('Product Master'!$P$7:$P$1000,MATCH($A839,'Product Master'!$A$7:$A$1000,0)))</f>
        <v/>
      </c>
      <c r="I839" t="str">
        <f>IFERROR(INDEX('Product Master'!$A$7:$A$1000,_xlfn.AGGREGATE(15,6,(ROW('Product Master'!$A$7:$A$1000)-ROW('Product Master'!$A$7)+1)/(('Product Master'!$A$7:$A$1000&lt;&gt;"")*('Product Master'!$P$7:$P$1000="Out of Stock")),ROWS($I$12:I839))),"")</f>
        <v/>
      </c>
      <c r="J839" t="str">
        <f>IF($I839="","",INDEX('Product Master'!$B$7:$B$1000,MATCH($I839,'Product Master'!$A$7:$A$1000,0)))</f>
        <v/>
      </c>
      <c r="K839" t="str">
        <f>IF($I839="","",INDEX('Product Master'!$C$7:$C$1000,MATCH($I839,'Product Master'!$A$7:$A$1000,0)))</f>
        <v/>
      </c>
      <c r="L839" t="str">
        <f>IF($I839="","",INDEX('Product Master'!$M$7:$M$1000,MATCH($I839,'Product Master'!$A$7:$A$1000,0)))</f>
        <v/>
      </c>
      <c r="M839" t="str">
        <f>IF($I839="","",INDEX('Product Master'!$N$7:$N$1000,MATCH($I839,'Product Master'!$A$7:$A$1000,0)))</f>
        <v/>
      </c>
    </row>
    <row r="840" spans="1:13" x14ac:dyDescent="0.3">
      <c r="A840" t="str">
        <f>IFERROR(INDEX('Product Master'!$A$7:$A$1000,_xlfn.AGGREGATE(15,6,(ROW('Product Master'!$A$7:$A$1000)-ROW('Product Master'!$A$7)+1)/(('Product Master'!$A$7:$A$1000&lt;&gt;"")*('Product Master'!$P$7:$P$1000="Low Stock")),ROWS($A$12:A840))),"")</f>
        <v/>
      </c>
      <c r="B840" t="str">
        <f>IF($A840="","",INDEX('Product Master'!$B$7:$B$1000,MATCH($A840,'Product Master'!$A$7:$A$1000,0)))</f>
        <v/>
      </c>
      <c r="C840" t="str">
        <f>IF($A840="","",INDEX('Product Master'!$C$7:$C$1000,MATCH($A840,'Product Master'!$A$7:$A$1000,0)))</f>
        <v/>
      </c>
      <c r="D840" t="str">
        <f>IF($A840="","",INDEX('Product Master'!$M$7:$M$1000,MATCH($A840,'Product Master'!$A$7:$A$1000,0)))</f>
        <v/>
      </c>
      <c r="E840" t="str">
        <f>IF($A840="","",INDEX('Product Master'!$N$7:$N$1000,MATCH($A840,'Product Master'!$A$7:$A$1000,0)))</f>
        <v/>
      </c>
      <c r="F840" t="str">
        <f>IF($A840="","",INDEX('Product Master'!$P$7:$P$1000,MATCH($A840,'Product Master'!$A$7:$A$1000,0)))</f>
        <v/>
      </c>
      <c r="I840" t="str">
        <f>IFERROR(INDEX('Product Master'!$A$7:$A$1000,_xlfn.AGGREGATE(15,6,(ROW('Product Master'!$A$7:$A$1000)-ROW('Product Master'!$A$7)+1)/(('Product Master'!$A$7:$A$1000&lt;&gt;"")*('Product Master'!$P$7:$P$1000="Out of Stock")),ROWS($I$12:I840))),"")</f>
        <v/>
      </c>
      <c r="J840" t="str">
        <f>IF($I840="","",INDEX('Product Master'!$B$7:$B$1000,MATCH($I840,'Product Master'!$A$7:$A$1000,0)))</f>
        <v/>
      </c>
      <c r="K840" t="str">
        <f>IF($I840="","",INDEX('Product Master'!$C$7:$C$1000,MATCH($I840,'Product Master'!$A$7:$A$1000,0)))</f>
        <v/>
      </c>
      <c r="L840" t="str">
        <f>IF($I840="","",INDEX('Product Master'!$M$7:$M$1000,MATCH($I840,'Product Master'!$A$7:$A$1000,0)))</f>
        <v/>
      </c>
      <c r="M840" t="str">
        <f>IF($I840="","",INDEX('Product Master'!$N$7:$N$1000,MATCH($I840,'Product Master'!$A$7:$A$1000,0)))</f>
        <v/>
      </c>
    </row>
    <row r="841" spans="1:13" x14ac:dyDescent="0.3">
      <c r="A841" t="str">
        <f>IFERROR(INDEX('Product Master'!$A$7:$A$1000,_xlfn.AGGREGATE(15,6,(ROW('Product Master'!$A$7:$A$1000)-ROW('Product Master'!$A$7)+1)/(('Product Master'!$A$7:$A$1000&lt;&gt;"")*('Product Master'!$P$7:$P$1000="Low Stock")),ROWS($A$12:A841))),"")</f>
        <v/>
      </c>
      <c r="B841" t="str">
        <f>IF($A841="","",INDEX('Product Master'!$B$7:$B$1000,MATCH($A841,'Product Master'!$A$7:$A$1000,0)))</f>
        <v/>
      </c>
      <c r="C841" t="str">
        <f>IF($A841="","",INDEX('Product Master'!$C$7:$C$1000,MATCH($A841,'Product Master'!$A$7:$A$1000,0)))</f>
        <v/>
      </c>
      <c r="D841" t="str">
        <f>IF($A841="","",INDEX('Product Master'!$M$7:$M$1000,MATCH($A841,'Product Master'!$A$7:$A$1000,0)))</f>
        <v/>
      </c>
      <c r="E841" t="str">
        <f>IF($A841="","",INDEX('Product Master'!$N$7:$N$1000,MATCH($A841,'Product Master'!$A$7:$A$1000,0)))</f>
        <v/>
      </c>
      <c r="F841" t="str">
        <f>IF($A841="","",INDEX('Product Master'!$P$7:$P$1000,MATCH($A841,'Product Master'!$A$7:$A$1000,0)))</f>
        <v/>
      </c>
      <c r="I841" t="str">
        <f>IFERROR(INDEX('Product Master'!$A$7:$A$1000,_xlfn.AGGREGATE(15,6,(ROW('Product Master'!$A$7:$A$1000)-ROW('Product Master'!$A$7)+1)/(('Product Master'!$A$7:$A$1000&lt;&gt;"")*('Product Master'!$P$7:$P$1000="Out of Stock")),ROWS($I$12:I841))),"")</f>
        <v/>
      </c>
      <c r="J841" t="str">
        <f>IF($I841="","",INDEX('Product Master'!$B$7:$B$1000,MATCH($I841,'Product Master'!$A$7:$A$1000,0)))</f>
        <v/>
      </c>
      <c r="K841" t="str">
        <f>IF($I841="","",INDEX('Product Master'!$C$7:$C$1000,MATCH($I841,'Product Master'!$A$7:$A$1000,0)))</f>
        <v/>
      </c>
      <c r="L841" t="str">
        <f>IF($I841="","",INDEX('Product Master'!$M$7:$M$1000,MATCH($I841,'Product Master'!$A$7:$A$1000,0)))</f>
        <v/>
      </c>
      <c r="M841" t="str">
        <f>IF($I841="","",INDEX('Product Master'!$N$7:$N$1000,MATCH($I841,'Product Master'!$A$7:$A$1000,0)))</f>
        <v/>
      </c>
    </row>
    <row r="842" spans="1:13" x14ac:dyDescent="0.3">
      <c r="A842" t="str">
        <f>IFERROR(INDEX('Product Master'!$A$7:$A$1000,_xlfn.AGGREGATE(15,6,(ROW('Product Master'!$A$7:$A$1000)-ROW('Product Master'!$A$7)+1)/(('Product Master'!$A$7:$A$1000&lt;&gt;"")*('Product Master'!$P$7:$P$1000="Low Stock")),ROWS($A$12:A842))),"")</f>
        <v/>
      </c>
      <c r="B842" t="str">
        <f>IF($A842="","",INDEX('Product Master'!$B$7:$B$1000,MATCH($A842,'Product Master'!$A$7:$A$1000,0)))</f>
        <v/>
      </c>
      <c r="C842" t="str">
        <f>IF($A842="","",INDEX('Product Master'!$C$7:$C$1000,MATCH($A842,'Product Master'!$A$7:$A$1000,0)))</f>
        <v/>
      </c>
      <c r="D842" t="str">
        <f>IF($A842="","",INDEX('Product Master'!$M$7:$M$1000,MATCH($A842,'Product Master'!$A$7:$A$1000,0)))</f>
        <v/>
      </c>
      <c r="E842" t="str">
        <f>IF($A842="","",INDEX('Product Master'!$N$7:$N$1000,MATCH($A842,'Product Master'!$A$7:$A$1000,0)))</f>
        <v/>
      </c>
      <c r="F842" t="str">
        <f>IF($A842="","",INDEX('Product Master'!$P$7:$P$1000,MATCH($A842,'Product Master'!$A$7:$A$1000,0)))</f>
        <v/>
      </c>
      <c r="I842" t="str">
        <f>IFERROR(INDEX('Product Master'!$A$7:$A$1000,_xlfn.AGGREGATE(15,6,(ROW('Product Master'!$A$7:$A$1000)-ROW('Product Master'!$A$7)+1)/(('Product Master'!$A$7:$A$1000&lt;&gt;"")*('Product Master'!$P$7:$P$1000="Out of Stock")),ROWS($I$12:I842))),"")</f>
        <v/>
      </c>
      <c r="J842" t="str">
        <f>IF($I842="","",INDEX('Product Master'!$B$7:$B$1000,MATCH($I842,'Product Master'!$A$7:$A$1000,0)))</f>
        <v/>
      </c>
      <c r="K842" t="str">
        <f>IF($I842="","",INDEX('Product Master'!$C$7:$C$1000,MATCH($I842,'Product Master'!$A$7:$A$1000,0)))</f>
        <v/>
      </c>
      <c r="L842" t="str">
        <f>IF($I842="","",INDEX('Product Master'!$M$7:$M$1000,MATCH($I842,'Product Master'!$A$7:$A$1000,0)))</f>
        <v/>
      </c>
      <c r="M842" t="str">
        <f>IF($I842="","",INDEX('Product Master'!$N$7:$N$1000,MATCH($I842,'Product Master'!$A$7:$A$1000,0)))</f>
        <v/>
      </c>
    </row>
    <row r="843" spans="1:13" x14ac:dyDescent="0.3">
      <c r="A843" t="str">
        <f>IFERROR(INDEX('Product Master'!$A$7:$A$1000,_xlfn.AGGREGATE(15,6,(ROW('Product Master'!$A$7:$A$1000)-ROW('Product Master'!$A$7)+1)/(('Product Master'!$A$7:$A$1000&lt;&gt;"")*('Product Master'!$P$7:$P$1000="Low Stock")),ROWS($A$12:A843))),"")</f>
        <v/>
      </c>
      <c r="B843" t="str">
        <f>IF($A843="","",INDEX('Product Master'!$B$7:$B$1000,MATCH($A843,'Product Master'!$A$7:$A$1000,0)))</f>
        <v/>
      </c>
      <c r="C843" t="str">
        <f>IF($A843="","",INDEX('Product Master'!$C$7:$C$1000,MATCH($A843,'Product Master'!$A$7:$A$1000,0)))</f>
        <v/>
      </c>
      <c r="D843" t="str">
        <f>IF($A843="","",INDEX('Product Master'!$M$7:$M$1000,MATCH($A843,'Product Master'!$A$7:$A$1000,0)))</f>
        <v/>
      </c>
      <c r="E843" t="str">
        <f>IF($A843="","",INDEX('Product Master'!$N$7:$N$1000,MATCH($A843,'Product Master'!$A$7:$A$1000,0)))</f>
        <v/>
      </c>
      <c r="F843" t="str">
        <f>IF($A843="","",INDEX('Product Master'!$P$7:$P$1000,MATCH($A843,'Product Master'!$A$7:$A$1000,0)))</f>
        <v/>
      </c>
      <c r="I843" t="str">
        <f>IFERROR(INDEX('Product Master'!$A$7:$A$1000,_xlfn.AGGREGATE(15,6,(ROW('Product Master'!$A$7:$A$1000)-ROW('Product Master'!$A$7)+1)/(('Product Master'!$A$7:$A$1000&lt;&gt;"")*('Product Master'!$P$7:$P$1000="Out of Stock")),ROWS($I$12:I843))),"")</f>
        <v/>
      </c>
      <c r="J843" t="str">
        <f>IF($I843="","",INDEX('Product Master'!$B$7:$B$1000,MATCH($I843,'Product Master'!$A$7:$A$1000,0)))</f>
        <v/>
      </c>
      <c r="K843" t="str">
        <f>IF($I843="","",INDEX('Product Master'!$C$7:$C$1000,MATCH($I843,'Product Master'!$A$7:$A$1000,0)))</f>
        <v/>
      </c>
      <c r="L843" t="str">
        <f>IF($I843="","",INDEX('Product Master'!$M$7:$M$1000,MATCH($I843,'Product Master'!$A$7:$A$1000,0)))</f>
        <v/>
      </c>
      <c r="M843" t="str">
        <f>IF($I843="","",INDEX('Product Master'!$N$7:$N$1000,MATCH($I843,'Product Master'!$A$7:$A$1000,0)))</f>
        <v/>
      </c>
    </row>
    <row r="844" spans="1:13" x14ac:dyDescent="0.3">
      <c r="A844" t="str">
        <f>IFERROR(INDEX('Product Master'!$A$7:$A$1000,_xlfn.AGGREGATE(15,6,(ROW('Product Master'!$A$7:$A$1000)-ROW('Product Master'!$A$7)+1)/(('Product Master'!$A$7:$A$1000&lt;&gt;"")*('Product Master'!$P$7:$P$1000="Low Stock")),ROWS($A$12:A844))),"")</f>
        <v/>
      </c>
      <c r="B844" t="str">
        <f>IF($A844="","",INDEX('Product Master'!$B$7:$B$1000,MATCH($A844,'Product Master'!$A$7:$A$1000,0)))</f>
        <v/>
      </c>
      <c r="C844" t="str">
        <f>IF($A844="","",INDEX('Product Master'!$C$7:$C$1000,MATCH($A844,'Product Master'!$A$7:$A$1000,0)))</f>
        <v/>
      </c>
      <c r="D844" t="str">
        <f>IF($A844="","",INDEX('Product Master'!$M$7:$M$1000,MATCH($A844,'Product Master'!$A$7:$A$1000,0)))</f>
        <v/>
      </c>
      <c r="E844" t="str">
        <f>IF($A844="","",INDEX('Product Master'!$N$7:$N$1000,MATCH($A844,'Product Master'!$A$7:$A$1000,0)))</f>
        <v/>
      </c>
      <c r="F844" t="str">
        <f>IF($A844="","",INDEX('Product Master'!$P$7:$P$1000,MATCH($A844,'Product Master'!$A$7:$A$1000,0)))</f>
        <v/>
      </c>
      <c r="I844" t="str">
        <f>IFERROR(INDEX('Product Master'!$A$7:$A$1000,_xlfn.AGGREGATE(15,6,(ROW('Product Master'!$A$7:$A$1000)-ROW('Product Master'!$A$7)+1)/(('Product Master'!$A$7:$A$1000&lt;&gt;"")*('Product Master'!$P$7:$P$1000="Out of Stock")),ROWS($I$12:I844))),"")</f>
        <v/>
      </c>
      <c r="J844" t="str">
        <f>IF($I844="","",INDEX('Product Master'!$B$7:$B$1000,MATCH($I844,'Product Master'!$A$7:$A$1000,0)))</f>
        <v/>
      </c>
      <c r="K844" t="str">
        <f>IF($I844="","",INDEX('Product Master'!$C$7:$C$1000,MATCH($I844,'Product Master'!$A$7:$A$1000,0)))</f>
        <v/>
      </c>
      <c r="L844" t="str">
        <f>IF($I844="","",INDEX('Product Master'!$M$7:$M$1000,MATCH($I844,'Product Master'!$A$7:$A$1000,0)))</f>
        <v/>
      </c>
      <c r="M844" t="str">
        <f>IF($I844="","",INDEX('Product Master'!$N$7:$N$1000,MATCH($I844,'Product Master'!$A$7:$A$1000,0)))</f>
        <v/>
      </c>
    </row>
    <row r="845" spans="1:13" x14ac:dyDescent="0.3">
      <c r="A845" t="str">
        <f>IFERROR(INDEX('Product Master'!$A$7:$A$1000,_xlfn.AGGREGATE(15,6,(ROW('Product Master'!$A$7:$A$1000)-ROW('Product Master'!$A$7)+1)/(('Product Master'!$A$7:$A$1000&lt;&gt;"")*('Product Master'!$P$7:$P$1000="Low Stock")),ROWS($A$12:A845))),"")</f>
        <v/>
      </c>
      <c r="B845" t="str">
        <f>IF($A845="","",INDEX('Product Master'!$B$7:$B$1000,MATCH($A845,'Product Master'!$A$7:$A$1000,0)))</f>
        <v/>
      </c>
      <c r="C845" t="str">
        <f>IF($A845="","",INDEX('Product Master'!$C$7:$C$1000,MATCH($A845,'Product Master'!$A$7:$A$1000,0)))</f>
        <v/>
      </c>
      <c r="D845" t="str">
        <f>IF($A845="","",INDEX('Product Master'!$M$7:$M$1000,MATCH($A845,'Product Master'!$A$7:$A$1000,0)))</f>
        <v/>
      </c>
      <c r="E845" t="str">
        <f>IF($A845="","",INDEX('Product Master'!$N$7:$N$1000,MATCH($A845,'Product Master'!$A$7:$A$1000,0)))</f>
        <v/>
      </c>
      <c r="F845" t="str">
        <f>IF($A845="","",INDEX('Product Master'!$P$7:$P$1000,MATCH($A845,'Product Master'!$A$7:$A$1000,0)))</f>
        <v/>
      </c>
      <c r="I845" t="str">
        <f>IFERROR(INDEX('Product Master'!$A$7:$A$1000,_xlfn.AGGREGATE(15,6,(ROW('Product Master'!$A$7:$A$1000)-ROW('Product Master'!$A$7)+1)/(('Product Master'!$A$7:$A$1000&lt;&gt;"")*('Product Master'!$P$7:$P$1000="Out of Stock")),ROWS($I$12:I845))),"")</f>
        <v/>
      </c>
      <c r="J845" t="str">
        <f>IF($I845="","",INDEX('Product Master'!$B$7:$B$1000,MATCH($I845,'Product Master'!$A$7:$A$1000,0)))</f>
        <v/>
      </c>
      <c r="K845" t="str">
        <f>IF($I845="","",INDEX('Product Master'!$C$7:$C$1000,MATCH($I845,'Product Master'!$A$7:$A$1000,0)))</f>
        <v/>
      </c>
      <c r="L845" t="str">
        <f>IF($I845="","",INDEX('Product Master'!$M$7:$M$1000,MATCH($I845,'Product Master'!$A$7:$A$1000,0)))</f>
        <v/>
      </c>
      <c r="M845" t="str">
        <f>IF($I845="","",INDEX('Product Master'!$N$7:$N$1000,MATCH($I845,'Product Master'!$A$7:$A$1000,0)))</f>
        <v/>
      </c>
    </row>
    <row r="846" spans="1:13" x14ac:dyDescent="0.3">
      <c r="A846" t="str">
        <f>IFERROR(INDEX('Product Master'!$A$7:$A$1000,_xlfn.AGGREGATE(15,6,(ROW('Product Master'!$A$7:$A$1000)-ROW('Product Master'!$A$7)+1)/(('Product Master'!$A$7:$A$1000&lt;&gt;"")*('Product Master'!$P$7:$P$1000="Low Stock")),ROWS($A$12:A846))),"")</f>
        <v/>
      </c>
      <c r="B846" t="str">
        <f>IF($A846="","",INDEX('Product Master'!$B$7:$B$1000,MATCH($A846,'Product Master'!$A$7:$A$1000,0)))</f>
        <v/>
      </c>
      <c r="C846" t="str">
        <f>IF($A846="","",INDEX('Product Master'!$C$7:$C$1000,MATCH($A846,'Product Master'!$A$7:$A$1000,0)))</f>
        <v/>
      </c>
      <c r="D846" t="str">
        <f>IF($A846="","",INDEX('Product Master'!$M$7:$M$1000,MATCH($A846,'Product Master'!$A$7:$A$1000,0)))</f>
        <v/>
      </c>
      <c r="E846" t="str">
        <f>IF($A846="","",INDEX('Product Master'!$N$7:$N$1000,MATCH($A846,'Product Master'!$A$7:$A$1000,0)))</f>
        <v/>
      </c>
      <c r="F846" t="str">
        <f>IF($A846="","",INDEX('Product Master'!$P$7:$P$1000,MATCH($A846,'Product Master'!$A$7:$A$1000,0)))</f>
        <v/>
      </c>
      <c r="I846" t="str">
        <f>IFERROR(INDEX('Product Master'!$A$7:$A$1000,_xlfn.AGGREGATE(15,6,(ROW('Product Master'!$A$7:$A$1000)-ROW('Product Master'!$A$7)+1)/(('Product Master'!$A$7:$A$1000&lt;&gt;"")*('Product Master'!$P$7:$P$1000="Out of Stock")),ROWS($I$12:I846))),"")</f>
        <v/>
      </c>
      <c r="J846" t="str">
        <f>IF($I846="","",INDEX('Product Master'!$B$7:$B$1000,MATCH($I846,'Product Master'!$A$7:$A$1000,0)))</f>
        <v/>
      </c>
      <c r="K846" t="str">
        <f>IF($I846="","",INDEX('Product Master'!$C$7:$C$1000,MATCH($I846,'Product Master'!$A$7:$A$1000,0)))</f>
        <v/>
      </c>
      <c r="L846" t="str">
        <f>IF($I846="","",INDEX('Product Master'!$M$7:$M$1000,MATCH($I846,'Product Master'!$A$7:$A$1000,0)))</f>
        <v/>
      </c>
      <c r="M846" t="str">
        <f>IF($I846="","",INDEX('Product Master'!$N$7:$N$1000,MATCH($I846,'Product Master'!$A$7:$A$1000,0)))</f>
        <v/>
      </c>
    </row>
    <row r="847" spans="1:13" x14ac:dyDescent="0.3">
      <c r="A847" t="str">
        <f>IFERROR(INDEX('Product Master'!$A$7:$A$1000,_xlfn.AGGREGATE(15,6,(ROW('Product Master'!$A$7:$A$1000)-ROW('Product Master'!$A$7)+1)/(('Product Master'!$A$7:$A$1000&lt;&gt;"")*('Product Master'!$P$7:$P$1000="Low Stock")),ROWS($A$12:A847))),"")</f>
        <v/>
      </c>
      <c r="B847" t="str">
        <f>IF($A847="","",INDEX('Product Master'!$B$7:$B$1000,MATCH($A847,'Product Master'!$A$7:$A$1000,0)))</f>
        <v/>
      </c>
      <c r="C847" t="str">
        <f>IF($A847="","",INDEX('Product Master'!$C$7:$C$1000,MATCH($A847,'Product Master'!$A$7:$A$1000,0)))</f>
        <v/>
      </c>
      <c r="D847" t="str">
        <f>IF($A847="","",INDEX('Product Master'!$M$7:$M$1000,MATCH($A847,'Product Master'!$A$7:$A$1000,0)))</f>
        <v/>
      </c>
      <c r="E847" t="str">
        <f>IF($A847="","",INDEX('Product Master'!$N$7:$N$1000,MATCH($A847,'Product Master'!$A$7:$A$1000,0)))</f>
        <v/>
      </c>
      <c r="F847" t="str">
        <f>IF($A847="","",INDEX('Product Master'!$P$7:$P$1000,MATCH($A847,'Product Master'!$A$7:$A$1000,0)))</f>
        <v/>
      </c>
      <c r="I847" t="str">
        <f>IFERROR(INDEX('Product Master'!$A$7:$A$1000,_xlfn.AGGREGATE(15,6,(ROW('Product Master'!$A$7:$A$1000)-ROW('Product Master'!$A$7)+1)/(('Product Master'!$A$7:$A$1000&lt;&gt;"")*('Product Master'!$P$7:$P$1000="Out of Stock")),ROWS($I$12:I847))),"")</f>
        <v/>
      </c>
      <c r="J847" t="str">
        <f>IF($I847="","",INDEX('Product Master'!$B$7:$B$1000,MATCH($I847,'Product Master'!$A$7:$A$1000,0)))</f>
        <v/>
      </c>
      <c r="K847" t="str">
        <f>IF($I847="","",INDEX('Product Master'!$C$7:$C$1000,MATCH($I847,'Product Master'!$A$7:$A$1000,0)))</f>
        <v/>
      </c>
      <c r="L847" t="str">
        <f>IF($I847="","",INDEX('Product Master'!$M$7:$M$1000,MATCH($I847,'Product Master'!$A$7:$A$1000,0)))</f>
        <v/>
      </c>
      <c r="M847" t="str">
        <f>IF($I847="","",INDEX('Product Master'!$N$7:$N$1000,MATCH($I847,'Product Master'!$A$7:$A$1000,0)))</f>
        <v/>
      </c>
    </row>
    <row r="848" spans="1:13" x14ac:dyDescent="0.3">
      <c r="A848" t="str">
        <f>IFERROR(INDEX('Product Master'!$A$7:$A$1000,_xlfn.AGGREGATE(15,6,(ROW('Product Master'!$A$7:$A$1000)-ROW('Product Master'!$A$7)+1)/(('Product Master'!$A$7:$A$1000&lt;&gt;"")*('Product Master'!$P$7:$P$1000="Low Stock")),ROWS($A$12:A848))),"")</f>
        <v/>
      </c>
      <c r="B848" t="str">
        <f>IF($A848="","",INDEX('Product Master'!$B$7:$B$1000,MATCH($A848,'Product Master'!$A$7:$A$1000,0)))</f>
        <v/>
      </c>
      <c r="C848" t="str">
        <f>IF($A848="","",INDEX('Product Master'!$C$7:$C$1000,MATCH($A848,'Product Master'!$A$7:$A$1000,0)))</f>
        <v/>
      </c>
      <c r="D848" t="str">
        <f>IF($A848="","",INDEX('Product Master'!$M$7:$M$1000,MATCH($A848,'Product Master'!$A$7:$A$1000,0)))</f>
        <v/>
      </c>
      <c r="E848" t="str">
        <f>IF($A848="","",INDEX('Product Master'!$N$7:$N$1000,MATCH($A848,'Product Master'!$A$7:$A$1000,0)))</f>
        <v/>
      </c>
      <c r="F848" t="str">
        <f>IF($A848="","",INDEX('Product Master'!$P$7:$P$1000,MATCH($A848,'Product Master'!$A$7:$A$1000,0)))</f>
        <v/>
      </c>
      <c r="I848" t="str">
        <f>IFERROR(INDEX('Product Master'!$A$7:$A$1000,_xlfn.AGGREGATE(15,6,(ROW('Product Master'!$A$7:$A$1000)-ROW('Product Master'!$A$7)+1)/(('Product Master'!$A$7:$A$1000&lt;&gt;"")*('Product Master'!$P$7:$P$1000="Out of Stock")),ROWS($I$12:I848))),"")</f>
        <v/>
      </c>
      <c r="J848" t="str">
        <f>IF($I848="","",INDEX('Product Master'!$B$7:$B$1000,MATCH($I848,'Product Master'!$A$7:$A$1000,0)))</f>
        <v/>
      </c>
      <c r="K848" t="str">
        <f>IF($I848="","",INDEX('Product Master'!$C$7:$C$1000,MATCH($I848,'Product Master'!$A$7:$A$1000,0)))</f>
        <v/>
      </c>
      <c r="L848" t="str">
        <f>IF($I848="","",INDEX('Product Master'!$M$7:$M$1000,MATCH($I848,'Product Master'!$A$7:$A$1000,0)))</f>
        <v/>
      </c>
      <c r="M848" t="str">
        <f>IF($I848="","",INDEX('Product Master'!$N$7:$N$1000,MATCH($I848,'Product Master'!$A$7:$A$1000,0)))</f>
        <v/>
      </c>
    </row>
    <row r="849" spans="1:13" x14ac:dyDescent="0.3">
      <c r="A849" t="str">
        <f>IFERROR(INDEX('Product Master'!$A$7:$A$1000,_xlfn.AGGREGATE(15,6,(ROW('Product Master'!$A$7:$A$1000)-ROW('Product Master'!$A$7)+1)/(('Product Master'!$A$7:$A$1000&lt;&gt;"")*('Product Master'!$P$7:$P$1000="Low Stock")),ROWS($A$12:A849))),"")</f>
        <v/>
      </c>
      <c r="B849" t="str">
        <f>IF($A849="","",INDEX('Product Master'!$B$7:$B$1000,MATCH($A849,'Product Master'!$A$7:$A$1000,0)))</f>
        <v/>
      </c>
      <c r="C849" t="str">
        <f>IF($A849="","",INDEX('Product Master'!$C$7:$C$1000,MATCH($A849,'Product Master'!$A$7:$A$1000,0)))</f>
        <v/>
      </c>
      <c r="D849" t="str">
        <f>IF($A849="","",INDEX('Product Master'!$M$7:$M$1000,MATCH($A849,'Product Master'!$A$7:$A$1000,0)))</f>
        <v/>
      </c>
      <c r="E849" t="str">
        <f>IF($A849="","",INDEX('Product Master'!$N$7:$N$1000,MATCH($A849,'Product Master'!$A$7:$A$1000,0)))</f>
        <v/>
      </c>
      <c r="F849" t="str">
        <f>IF($A849="","",INDEX('Product Master'!$P$7:$P$1000,MATCH($A849,'Product Master'!$A$7:$A$1000,0)))</f>
        <v/>
      </c>
      <c r="I849" t="str">
        <f>IFERROR(INDEX('Product Master'!$A$7:$A$1000,_xlfn.AGGREGATE(15,6,(ROW('Product Master'!$A$7:$A$1000)-ROW('Product Master'!$A$7)+1)/(('Product Master'!$A$7:$A$1000&lt;&gt;"")*('Product Master'!$P$7:$P$1000="Out of Stock")),ROWS($I$12:I849))),"")</f>
        <v/>
      </c>
      <c r="J849" t="str">
        <f>IF($I849="","",INDEX('Product Master'!$B$7:$B$1000,MATCH($I849,'Product Master'!$A$7:$A$1000,0)))</f>
        <v/>
      </c>
      <c r="K849" t="str">
        <f>IF($I849="","",INDEX('Product Master'!$C$7:$C$1000,MATCH($I849,'Product Master'!$A$7:$A$1000,0)))</f>
        <v/>
      </c>
      <c r="L849" t="str">
        <f>IF($I849="","",INDEX('Product Master'!$M$7:$M$1000,MATCH($I849,'Product Master'!$A$7:$A$1000,0)))</f>
        <v/>
      </c>
      <c r="M849" t="str">
        <f>IF($I849="","",INDEX('Product Master'!$N$7:$N$1000,MATCH($I849,'Product Master'!$A$7:$A$1000,0)))</f>
        <v/>
      </c>
    </row>
    <row r="850" spans="1:13" x14ac:dyDescent="0.3">
      <c r="A850" t="str">
        <f>IFERROR(INDEX('Product Master'!$A$7:$A$1000,_xlfn.AGGREGATE(15,6,(ROW('Product Master'!$A$7:$A$1000)-ROW('Product Master'!$A$7)+1)/(('Product Master'!$A$7:$A$1000&lt;&gt;"")*('Product Master'!$P$7:$P$1000="Low Stock")),ROWS($A$12:A850))),"")</f>
        <v/>
      </c>
      <c r="B850" t="str">
        <f>IF($A850="","",INDEX('Product Master'!$B$7:$B$1000,MATCH($A850,'Product Master'!$A$7:$A$1000,0)))</f>
        <v/>
      </c>
      <c r="C850" t="str">
        <f>IF($A850="","",INDEX('Product Master'!$C$7:$C$1000,MATCH($A850,'Product Master'!$A$7:$A$1000,0)))</f>
        <v/>
      </c>
      <c r="D850" t="str">
        <f>IF($A850="","",INDEX('Product Master'!$M$7:$M$1000,MATCH($A850,'Product Master'!$A$7:$A$1000,0)))</f>
        <v/>
      </c>
      <c r="E850" t="str">
        <f>IF($A850="","",INDEX('Product Master'!$N$7:$N$1000,MATCH($A850,'Product Master'!$A$7:$A$1000,0)))</f>
        <v/>
      </c>
      <c r="F850" t="str">
        <f>IF($A850="","",INDEX('Product Master'!$P$7:$P$1000,MATCH($A850,'Product Master'!$A$7:$A$1000,0)))</f>
        <v/>
      </c>
      <c r="I850" t="str">
        <f>IFERROR(INDEX('Product Master'!$A$7:$A$1000,_xlfn.AGGREGATE(15,6,(ROW('Product Master'!$A$7:$A$1000)-ROW('Product Master'!$A$7)+1)/(('Product Master'!$A$7:$A$1000&lt;&gt;"")*('Product Master'!$P$7:$P$1000="Out of Stock")),ROWS($I$12:I850))),"")</f>
        <v/>
      </c>
      <c r="J850" t="str">
        <f>IF($I850="","",INDEX('Product Master'!$B$7:$B$1000,MATCH($I850,'Product Master'!$A$7:$A$1000,0)))</f>
        <v/>
      </c>
      <c r="K850" t="str">
        <f>IF($I850="","",INDEX('Product Master'!$C$7:$C$1000,MATCH($I850,'Product Master'!$A$7:$A$1000,0)))</f>
        <v/>
      </c>
      <c r="L850" t="str">
        <f>IF($I850="","",INDEX('Product Master'!$M$7:$M$1000,MATCH($I850,'Product Master'!$A$7:$A$1000,0)))</f>
        <v/>
      </c>
      <c r="M850" t="str">
        <f>IF($I850="","",INDEX('Product Master'!$N$7:$N$1000,MATCH($I850,'Product Master'!$A$7:$A$1000,0)))</f>
        <v/>
      </c>
    </row>
    <row r="851" spans="1:13" x14ac:dyDescent="0.3">
      <c r="A851" t="str">
        <f>IFERROR(INDEX('Product Master'!$A$7:$A$1000,_xlfn.AGGREGATE(15,6,(ROW('Product Master'!$A$7:$A$1000)-ROW('Product Master'!$A$7)+1)/(('Product Master'!$A$7:$A$1000&lt;&gt;"")*('Product Master'!$P$7:$P$1000="Low Stock")),ROWS($A$12:A851))),"")</f>
        <v/>
      </c>
      <c r="B851" t="str">
        <f>IF($A851="","",INDEX('Product Master'!$B$7:$B$1000,MATCH($A851,'Product Master'!$A$7:$A$1000,0)))</f>
        <v/>
      </c>
      <c r="C851" t="str">
        <f>IF($A851="","",INDEX('Product Master'!$C$7:$C$1000,MATCH($A851,'Product Master'!$A$7:$A$1000,0)))</f>
        <v/>
      </c>
      <c r="D851" t="str">
        <f>IF($A851="","",INDEX('Product Master'!$M$7:$M$1000,MATCH($A851,'Product Master'!$A$7:$A$1000,0)))</f>
        <v/>
      </c>
      <c r="E851" t="str">
        <f>IF($A851="","",INDEX('Product Master'!$N$7:$N$1000,MATCH($A851,'Product Master'!$A$7:$A$1000,0)))</f>
        <v/>
      </c>
      <c r="F851" t="str">
        <f>IF($A851="","",INDEX('Product Master'!$P$7:$P$1000,MATCH($A851,'Product Master'!$A$7:$A$1000,0)))</f>
        <v/>
      </c>
      <c r="I851" t="str">
        <f>IFERROR(INDEX('Product Master'!$A$7:$A$1000,_xlfn.AGGREGATE(15,6,(ROW('Product Master'!$A$7:$A$1000)-ROW('Product Master'!$A$7)+1)/(('Product Master'!$A$7:$A$1000&lt;&gt;"")*('Product Master'!$P$7:$P$1000="Out of Stock")),ROWS($I$12:I851))),"")</f>
        <v/>
      </c>
      <c r="J851" t="str">
        <f>IF($I851="","",INDEX('Product Master'!$B$7:$B$1000,MATCH($I851,'Product Master'!$A$7:$A$1000,0)))</f>
        <v/>
      </c>
      <c r="K851" t="str">
        <f>IF($I851="","",INDEX('Product Master'!$C$7:$C$1000,MATCH($I851,'Product Master'!$A$7:$A$1000,0)))</f>
        <v/>
      </c>
      <c r="L851" t="str">
        <f>IF($I851="","",INDEX('Product Master'!$M$7:$M$1000,MATCH($I851,'Product Master'!$A$7:$A$1000,0)))</f>
        <v/>
      </c>
      <c r="M851" t="str">
        <f>IF($I851="","",INDEX('Product Master'!$N$7:$N$1000,MATCH($I851,'Product Master'!$A$7:$A$1000,0)))</f>
        <v/>
      </c>
    </row>
    <row r="852" spans="1:13" x14ac:dyDescent="0.3">
      <c r="A852" t="str">
        <f>IFERROR(INDEX('Product Master'!$A$7:$A$1000,_xlfn.AGGREGATE(15,6,(ROW('Product Master'!$A$7:$A$1000)-ROW('Product Master'!$A$7)+1)/(('Product Master'!$A$7:$A$1000&lt;&gt;"")*('Product Master'!$P$7:$P$1000="Low Stock")),ROWS($A$12:A852))),"")</f>
        <v/>
      </c>
      <c r="B852" t="str">
        <f>IF($A852="","",INDEX('Product Master'!$B$7:$B$1000,MATCH($A852,'Product Master'!$A$7:$A$1000,0)))</f>
        <v/>
      </c>
      <c r="C852" t="str">
        <f>IF($A852="","",INDEX('Product Master'!$C$7:$C$1000,MATCH($A852,'Product Master'!$A$7:$A$1000,0)))</f>
        <v/>
      </c>
      <c r="D852" t="str">
        <f>IF($A852="","",INDEX('Product Master'!$M$7:$M$1000,MATCH($A852,'Product Master'!$A$7:$A$1000,0)))</f>
        <v/>
      </c>
      <c r="E852" t="str">
        <f>IF($A852="","",INDEX('Product Master'!$N$7:$N$1000,MATCH($A852,'Product Master'!$A$7:$A$1000,0)))</f>
        <v/>
      </c>
      <c r="F852" t="str">
        <f>IF($A852="","",INDEX('Product Master'!$P$7:$P$1000,MATCH($A852,'Product Master'!$A$7:$A$1000,0)))</f>
        <v/>
      </c>
      <c r="I852" t="str">
        <f>IFERROR(INDEX('Product Master'!$A$7:$A$1000,_xlfn.AGGREGATE(15,6,(ROW('Product Master'!$A$7:$A$1000)-ROW('Product Master'!$A$7)+1)/(('Product Master'!$A$7:$A$1000&lt;&gt;"")*('Product Master'!$P$7:$P$1000="Out of Stock")),ROWS($I$12:I852))),"")</f>
        <v/>
      </c>
      <c r="J852" t="str">
        <f>IF($I852="","",INDEX('Product Master'!$B$7:$B$1000,MATCH($I852,'Product Master'!$A$7:$A$1000,0)))</f>
        <v/>
      </c>
      <c r="K852" t="str">
        <f>IF($I852="","",INDEX('Product Master'!$C$7:$C$1000,MATCH($I852,'Product Master'!$A$7:$A$1000,0)))</f>
        <v/>
      </c>
      <c r="L852" t="str">
        <f>IF($I852="","",INDEX('Product Master'!$M$7:$M$1000,MATCH($I852,'Product Master'!$A$7:$A$1000,0)))</f>
        <v/>
      </c>
      <c r="M852" t="str">
        <f>IF($I852="","",INDEX('Product Master'!$N$7:$N$1000,MATCH($I852,'Product Master'!$A$7:$A$1000,0)))</f>
        <v/>
      </c>
    </row>
    <row r="853" spans="1:13" x14ac:dyDescent="0.3">
      <c r="A853" t="str">
        <f>IFERROR(INDEX('Product Master'!$A$7:$A$1000,_xlfn.AGGREGATE(15,6,(ROW('Product Master'!$A$7:$A$1000)-ROW('Product Master'!$A$7)+1)/(('Product Master'!$A$7:$A$1000&lt;&gt;"")*('Product Master'!$P$7:$P$1000="Low Stock")),ROWS($A$12:A853))),"")</f>
        <v/>
      </c>
      <c r="B853" t="str">
        <f>IF($A853="","",INDEX('Product Master'!$B$7:$B$1000,MATCH($A853,'Product Master'!$A$7:$A$1000,0)))</f>
        <v/>
      </c>
      <c r="C853" t="str">
        <f>IF($A853="","",INDEX('Product Master'!$C$7:$C$1000,MATCH($A853,'Product Master'!$A$7:$A$1000,0)))</f>
        <v/>
      </c>
      <c r="D853" t="str">
        <f>IF($A853="","",INDEX('Product Master'!$M$7:$M$1000,MATCH($A853,'Product Master'!$A$7:$A$1000,0)))</f>
        <v/>
      </c>
      <c r="E853" t="str">
        <f>IF($A853="","",INDEX('Product Master'!$N$7:$N$1000,MATCH($A853,'Product Master'!$A$7:$A$1000,0)))</f>
        <v/>
      </c>
      <c r="F853" t="str">
        <f>IF($A853="","",INDEX('Product Master'!$P$7:$P$1000,MATCH($A853,'Product Master'!$A$7:$A$1000,0)))</f>
        <v/>
      </c>
      <c r="I853" t="str">
        <f>IFERROR(INDEX('Product Master'!$A$7:$A$1000,_xlfn.AGGREGATE(15,6,(ROW('Product Master'!$A$7:$A$1000)-ROW('Product Master'!$A$7)+1)/(('Product Master'!$A$7:$A$1000&lt;&gt;"")*('Product Master'!$P$7:$P$1000="Out of Stock")),ROWS($I$12:I853))),"")</f>
        <v/>
      </c>
      <c r="J853" t="str">
        <f>IF($I853="","",INDEX('Product Master'!$B$7:$B$1000,MATCH($I853,'Product Master'!$A$7:$A$1000,0)))</f>
        <v/>
      </c>
      <c r="K853" t="str">
        <f>IF($I853="","",INDEX('Product Master'!$C$7:$C$1000,MATCH($I853,'Product Master'!$A$7:$A$1000,0)))</f>
        <v/>
      </c>
      <c r="L853" t="str">
        <f>IF($I853="","",INDEX('Product Master'!$M$7:$M$1000,MATCH($I853,'Product Master'!$A$7:$A$1000,0)))</f>
        <v/>
      </c>
      <c r="M853" t="str">
        <f>IF($I853="","",INDEX('Product Master'!$N$7:$N$1000,MATCH($I853,'Product Master'!$A$7:$A$1000,0)))</f>
        <v/>
      </c>
    </row>
    <row r="854" spans="1:13" x14ac:dyDescent="0.3">
      <c r="A854" t="str">
        <f>IFERROR(INDEX('Product Master'!$A$7:$A$1000,_xlfn.AGGREGATE(15,6,(ROW('Product Master'!$A$7:$A$1000)-ROW('Product Master'!$A$7)+1)/(('Product Master'!$A$7:$A$1000&lt;&gt;"")*('Product Master'!$P$7:$P$1000="Low Stock")),ROWS($A$12:A854))),"")</f>
        <v/>
      </c>
      <c r="B854" t="str">
        <f>IF($A854="","",INDEX('Product Master'!$B$7:$B$1000,MATCH($A854,'Product Master'!$A$7:$A$1000,0)))</f>
        <v/>
      </c>
      <c r="C854" t="str">
        <f>IF($A854="","",INDEX('Product Master'!$C$7:$C$1000,MATCH($A854,'Product Master'!$A$7:$A$1000,0)))</f>
        <v/>
      </c>
      <c r="D854" t="str">
        <f>IF($A854="","",INDEX('Product Master'!$M$7:$M$1000,MATCH($A854,'Product Master'!$A$7:$A$1000,0)))</f>
        <v/>
      </c>
      <c r="E854" t="str">
        <f>IF($A854="","",INDEX('Product Master'!$N$7:$N$1000,MATCH($A854,'Product Master'!$A$7:$A$1000,0)))</f>
        <v/>
      </c>
      <c r="F854" t="str">
        <f>IF($A854="","",INDEX('Product Master'!$P$7:$P$1000,MATCH($A854,'Product Master'!$A$7:$A$1000,0)))</f>
        <v/>
      </c>
      <c r="I854" t="str">
        <f>IFERROR(INDEX('Product Master'!$A$7:$A$1000,_xlfn.AGGREGATE(15,6,(ROW('Product Master'!$A$7:$A$1000)-ROW('Product Master'!$A$7)+1)/(('Product Master'!$A$7:$A$1000&lt;&gt;"")*('Product Master'!$P$7:$P$1000="Out of Stock")),ROWS($I$12:I854))),"")</f>
        <v/>
      </c>
      <c r="J854" t="str">
        <f>IF($I854="","",INDEX('Product Master'!$B$7:$B$1000,MATCH($I854,'Product Master'!$A$7:$A$1000,0)))</f>
        <v/>
      </c>
      <c r="K854" t="str">
        <f>IF($I854="","",INDEX('Product Master'!$C$7:$C$1000,MATCH($I854,'Product Master'!$A$7:$A$1000,0)))</f>
        <v/>
      </c>
      <c r="L854" t="str">
        <f>IF($I854="","",INDEX('Product Master'!$M$7:$M$1000,MATCH($I854,'Product Master'!$A$7:$A$1000,0)))</f>
        <v/>
      </c>
      <c r="M854" t="str">
        <f>IF($I854="","",INDEX('Product Master'!$N$7:$N$1000,MATCH($I854,'Product Master'!$A$7:$A$1000,0)))</f>
        <v/>
      </c>
    </row>
    <row r="855" spans="1:13" x14ac:dyDescent="0.3">
      <c r="A855" t="str">
        <f>IFERROR(INDEX('Product Master'!$A$7:$A$1000,_xlfn.AGGREGATE(15,6,(ROW('Product Master'!$A$7:$A$1000)-ROW('Product Master'!$A$7)+1)/(('Product Master'!$A$7:$A$1000&lt;&gt;"")*('Product Master'!$P$7:$P$1000="Low Stock")),ROWS($A$12:A855))),"")</f>
        <v/>
      </c>
      <c r="B855" t="str">
        <f>IF($A855="","",INDEX('Product Master'!$B$7:$B$1000,MATCH($A855,'Product Master'!$A$7:$A$1000,0)))</f>
        <v/>
      </c>
      <c r="C855" t="str">
        <f>IF($A855="","",INDEX('Product Master'!$C$7:$C$1000,MATCH($A855,'Product Master'!$A$7:$A$1000,0)))</f>
        <v/>
      </c>
      <c r="D855" t="str">
        <f>IF($A855="","",INDEX('Product Master'!$M$7:$M$1000,MATCH($A855,'Product Master'!$A$7:$A$1000,0)))</f>
        <v/>
      </c>
      <c r="E855" t="str">
        <f>IF($A855="","",INDEX('Product Master'!$N$7:$N$1000,MATCH($A855,'Product Master'!$A$7:$A$1000,0)))</f>
        <v/>
      </c>
      <c r="F855" t="str">
        <f>IF($A855="","",INDEX('Product Master'!$P$7:$P$1000,MATCH($A855,'Product Master'!$A$7:$A$1000,0)))</f>
        <v/>
      </c>
      <c r="I855" t="str">
        <f>IFERROR(INDEX('Product Master'!$A$7:$A$1000,_xlfn.AGGREGATE(15,6,(ROW('Product Master'!$A$7:$A$1000)-ROW('Product Master'!$A$7)+1)/(('Product Master'!$A$7:$A$1000&lt;&gt;"")*('Product Master'!$P$7:$P$1000="Out of Stock")),ROWS($I$12:I855))),"")</f>
        <v/>
      </c>
      <c r="J855" t="str">
        <f>IF($I855="","",INDEX('Product Master'!$B$7:$B$1000,MATCH($I855,'Product Master'!$A$7:$A$1000,0)))</f>
        <v/>
      </c>
      <c r="K855" t="str">
        <f>IF($I855="","",INDEX('Product Master'!$C$7:$C$1000,MATCH($I855,'Product Master'!$A$7:$A$1000,0)))</f>
        <v/>
      </c>
      <c r="L855" t="str">
        <f>IF($I855="","",INDEX('Product Master'!$M$7:$M$1000,MATCH($I855,'Product Master'!$A$7:$A$1000,0)))</f>
        <v/>
      </c>
      <c r="M855" t="str">
        <f>IF($I855="","",INDEX('Product Master'!$N$7:$N$1000,MATCH($I855,'Product Master'!$A$7:$A$1000,0)))</f>
        <v/>
      </c>
    </row>
    <row r="856" spans="1:13" x14ac:dyDescent="0.3">
      <c r="A856" t="str">
        <f>IFERROR(INDEX('Product Master'!$A$7:$A$1000,_xlfn.AGGREGATE(15,6,(ROW('Product Master'!$A$7:$A$1000)-ROW('Product Master'!$A$7)+1)/(('Product Master'!$A$7:$A$1000&lt;&gt;"")*('Product Master'!$P$7:$P$1000="Low Stock")),ROWS($A$12:A856))),"")</f>
        <v/>
      </c>
      <c r="B856" t="str">
        <f>IF($A856="","",INDEX('Product Master'!$B$7:$B$1000,MATCH($A856,'Product Master'!$A$7:$A$1000,0)))</f>
        <v/>
      </c>
      <c r="C856" t="str">
        <f>IF($A856="","",INDEX('Product Master'!$C$7:$C$1000,MATCH($A856,'Product Master'!$A$7:$A$1000,0)))</f>
        <v/>
      </c>
      <c r="D856" t="str">
        <f>IF($A856="","",INDEX('Product Master'!$M$7:$M$1000,MATCH($A856,'Product Master'!$A$7:$A$1000,0)))</f>
        <v/>
      </c>
      <c r="E856" t="str">
        <f>IF($A856="","",INDEX('Product Master'!$N$7:$N$1000,MATCH($A856,'Product Master'!$A$7:$A$1000,0)))</f>
        <v/>
      </c>
      <c r="F856" t="str">
        <f>IF($A856="","",INDEX('Product Master'!$P$7:$P$1000,MATCH($A856,'Product Master'!$A$7:$A$1000,0)))</f>
        <v/>
      </c>
      <c r="I856" t="str">
        <f>IFERROR(INDEX('Product Master'!$A$7:$A$1000,_xlfn.AGGREGATE(15,6,(ROW('Product Master'!$A$7:$A$1000)-ROW('Product Master'!$A$7)+1)/(('Product Master'!$A$7:$A$1000&lt;&gt;"")*('Product Master'!$P$7:$P$1000="Out of Stock")),ROWS($I$12:I856))),"")</f>
        <v/>
      </c>
      <c r="J856" t="str">
        <f>IF($I856="","",INDEX('Product Master'!$B$7:$B$1000,MATCH($I856,'Product Master'!$A$7:$A$1000,0)))</f>
        <v/>
      </c>
      <c r="K856" t="str">
        <f>IF($I856="","",INDEX('Product Master'!$C$7:$C$1000,MATCH($I856,'Product Master'!$A$7:$A$1000,0)))</f>
        <v/>
      </c>
      <c r="L856" t="str">
        <f>IF($I856="","",INDEX('Product Master'!$M$7:$M$1000,MATCH($I856,'Product Master'!$A$7:$A$1000,0)))</f>
        <v/>
      </c>
      <c r="M856" t="str">
        <f>IF($I856="","",INDEX('Product Master'!$N$7:$N$1000,MATCH($I856,'Product Master'!$A$7:$A$1000,0)))</f>
        <v/>
      </c>
    </row>
    <row r="857" spans="1:13" x14ac:dyDescent="0.3">
      <c r="A857" t="str">
        <f>IFERROR(INDEX('Product Master'!$A$7:$A$1000,_xlfn.AGGREGATE(15,6,(ROW('Product Master'!$A$7:$A$1000)-ROW('Product Master'!$A$7)+1)/(('Product Master'!$A$7:$A$1000&lt;&gt;"")*('Product Master'!$P$7:$P$1000="Low Stock")),ROWS($A$12:A857))),"")</f>
        <v/>
      </c>
      <c r="B857" t="str">
        <f>IF($A857="","",INDEX('Product Master'!$B$7:$B$1000,MATCH($A857,'Product Master'!$A$7:$A$1000,0)))</f>
        <v/>
      </c>
      <c r="C857" t="str">
        <f>IF($A857="","",INDEX('Product Master'!$C$7:$C$1000,MATCH($A857,'Product Master'!$A$7:$A$1000,0)))</f>
        <v/>
      </c>
      <c r="D857" t="str">
        <f>IF($A857="","",INDEX('Product Master'!$M$7:$M$1000,MATCH($A857,'Product Master'!$A$7:$A$1000,0)))</f>
        <v/>
      </c>
      <c r="E857" t="str">
        <f>IF($A857="","",INDEX('Product Master'!$N$7:$N$1000,MATCH($A857,'Product Master'!$A$7:$A$1000,0)))</f>
        <v/>
      </c>
      <c r="F857" t="str">
        <f>IF($A857="","",INDEX('Product Master'!$P$7:$P$1000,MATCH($A857,'Product Master'!$A$7:$A$1000,0)))</f>
        <v/>
      </c>
      <c r="I857" t="str">
        <f>IFERROR(INDEX('Product Master'!$A$7:$A$1000,_xlfn.AGGREGATE(15,6,(ROW('Product Master'!$A$7:$A$1000)-ROW('Product Master'!$A$7)+1)/(('Product Master'!$A$7:$A$1000&lt;&gt;"")*('Product Master'!$P$7:$P$1000="Out of Stock")),ROWS($I$12:I857))),"")</f>
        <v/>
      </c>
      <c r="J857" t="str">
        <f>IF($I857="","",INDEX('Product Master'!$B$7:$B$1000,MATCH($I857,'Product Master'!$A$7:$A$1000,0)))</f>
        <v/>
      </c>
      <c r="K857" t="str">
        <f>IF($I857="","",INDEX('Product Master'!$C$7:$C$1000,MATCH($I857,'Product Master'!$A$7:$A$1000,0)))</f>
        <v/>
      </c>
      <c r="L857" t="str">
        <f>IF($I857="","",INDEX('Product Master'!$M$7:$M$1000,MATCH($I857,'Product Master'!$A$7:$A$1000,0)))</f>
        <v/>
      </c>
      <c r="M857" t="str">
        <f>IF($I857="","",INDEX('Product Master'!$N$7:$N$1000,MATCH($I857,'Product Master'!$A$7:$A$1000,0)))</f>
        <v/>
      </c>
    </row>
    <row r="858" spans="1:13" x14ac:dyDescent="0.3">
      <c r="A858" t="str">
        <f>IFERROR(INDEX('Product Master'!$A$7:$A$1000,_xlfn.AGGREGATE(15,6,(ROW('Product Master'!$A$7:$A$1000)-ROW('Product Master'!$A$7)+1)/(('Product Master'!$A$7:$A$1000&lt;&gt;"")*('Product Master'!$P$7:$P$1000="Low Stock")),ROWS($A$12:A858))),"")</f>
        <v/>
      </c>
      <c r="B858" t="str">
        <f>IF($A858="","",INDEX('Product Master'!$B$7:$B$1000,MATCH($A858,'Product Master'!$A$7:$A$1000,0)))</f>
        <v/>
      </c>
      <c r="C858" t="str">
        <f>IF($A858="","",INDEX('Product Master'!$C$7:$C$1000,MATCH($A858,'Product Master'!$A$7:$A$1000,0)))</f>
        <v/>
      </c>
      <c r="D858" t="str">
        <f>IF($A858="","",INDEX('Product Master'!$M$7:$M$1000,MATCH($A858,'Product Master'!$A$7:$A$1000,0)))</f>
        <v/>
      </c>
      <c r="E858" t="str">
        <f>IF($A858="","",INDEX('Product Master'!$N$7:$N$1000,MATCH($A858,'Product Master'!$A$7:$A$1000,0)))</f>
        <v/>
      </c>
      <c r="F858" t="str">
        <f>IF($A858="","",INDEX('Product Master'!$P$7:$P$1000,MATCH($A858,'Product Master'!$A$7:$A$1000,0)))</f>
        <v/>
      </c>
      <c r="I858" t="str">
        <f>IFERROR(INDEX('Product Master'!$A$7:$A$1000,_xlfn.AGGREGATE(15,6,(ROW('Product Master'!$A$7:$A$1000)-ROW('Product Master'!$A$7)+1)/(('Product Master'!$A$7:$A$1000&lt;&gt;"")*('Product Master'!$P$7:$P$1000="Out of Stock")),ROWS($I$12:I858))),"")</f>
        <v/>
      </c>
      <c r="J858" t="str">
        <f>IF($I858="","",INDEX('Product Master'!$B$7:$B$1000,MATCH($I858,'Product Master'!$A$7:$A$1000,0)))</f>
        <v/>
      </c>
      <c r="K858" t="str">
        <f>IF($I858="","",INDEX('Product Master'!$C$7:$C$1000,MATCH($I858,'Product Master'!$A$7:$A$1000,0)))</f>
        <v/>
      </c>
      <c r="L858" t="str">
        <f>IF($I858="","",INDEX('Product Master'!$M$7:$M$1000,MATCH($I858,'Product Master'!$A$7:$A$1000,0)))</f>
        <v/>
      </c>
      <c r="M858" t="str">
        <f>IF($I858="","",INDEX('Product Master'!$N$7:$N$1000,MATCH($I858,'Product Master'!$A$7:$A$1000,0)))</f>
        <v/>
      </c>
    </row>
    <row r="859" spans="1:13" x14ac:dyDescent="0.3">
      <c r="A859" t="str">
        <f>IFERROR(INDEX('Product Master'!$A$7:$A$1000,_xlfn.AGGREGATE(15,6,(ROW('Product Master'!$A$7:$A$1000)-ROW('Product Master'!$A$7)+1)/(('Product Master'!$A$7:$A$1000&lt;&gt;"")*('Product Master'!$P$7:$P$1000="Low Stock")),ROWS($A$12:A859))),"")</f>
        <v/>
      </c>
      <c r="B859" t="str">
        <f>IF($A859="","",INDEX('Product Master'!$B$7:$B$1000,MATCH($A859,'Product Master'!$A$7:$A$1000,0)))</f>
        <v/>
      </c>
      <c r="C859" t="str">
        <f>IF($A859="","",INDEX('Product Master'!$C$7:$C$1000,MATCH($A859,'Product Master'!$A$7:$A$1000,0)))</f>
        <v/>
      </c>
      <c r="D859" t="str">
        <f>IF($A859="","",INDEX('Product Master'!$M$7:$M$1000,MATCH($A859,'Product Master'!$A$7:$A$1000,0)))</f>
        <v/>
      </c>
      <c r="E859" t="str">
        <f>IF($A859="","",INDEX('Product Master'!$N$7:$N$1000,MATCH($A859,'Product Master'!$A$7:$A$1000,0)))</f>
        <v/>
      </c>
      <c r="F859" t="str">
        <f>IF($A859="","",INDEX('Product Master'!$P$7:$P$1000,MATCH($A859,'Product Master'!$A$7:$A$1000,0)))</f>
        <v/>
      </c>
      <c r="I859" t="str">
        <f>IFERROR(INDEX('Product Master'!$A$7:$A$1000,_xlfn.AGGREGATE(15,6,(ROW('Product Master'!$A$7:$A$1000)-ROW('Product Master'!$A$7)+1)/(('Product Master'!$A$7:$A$1000&lt;&gt;"")*('Product Master'!$P$7:$P$1000="Out of Stock")),ROWS($I$12:I859))),"")</f>
        <v/>
      </c>
      <c r="J859" t="str">
        <f>IF($I859="","",INDEX('Product Master'!$B$7:$B$1000,MATCH($I859,'Product Master'!$A$7:$A$1000,0)))</f>
        <v/>
      </c>
      <c r="K859" t="str">
        <f>IF($I859="","",INDEX('Product Master'!$C$7:$C$1000,MATCH($I859,'Product Master'!$A$7:$A$1000,0)))</f>
        <v/>
      </c>
      <c r="L859" t="str">
        <f>IF($I859="","",INDEX('Product Master'!$M$7:$M$1000,MATCH($I859,'Product Master'!$A$7:$A$1000,0)))</f>
        <v/>
      </c>
      <c r="M859" t="str">
        <f>IF($I859="","",INDEX('Product Master'!$N$7:$N$1000,MATCH($I859,'Product Master'!$A$7:$A$1000,0)))</f>
        <v/>
      </c>
    </row>
    <row r="860" spans="1:13" x14ac:dyDescent="0.3">
      <c r="A860" t="str">
        <f>IFERROR(INDEX('Product Master'!$A$7:$A$1000,_xlfn.AGGREGATE(15,6,(ROW('Product Master'!$A$7:$A$1000)-ROW('Product Master'!$A$7)+1)/(('Product Master'!$A$7:$A$1000&lt;&gt;"")*('Product Master'!$P$7:$P$1000="Low Stock")),ROWS($A$12:A860))),"")</f>
        <v/>
      </c>
      <c r="B860" t="str">
        <f>IF($A860="","",INDEX('Product Master'!$B$7:$B$1000,MATCH($A860,'Product Master'!$A$7:$A$1000,0)))</f>
        <v/>
      </c>
      <c r="C860" t="str">
        <f>IF($A860="","",INDEX('Product Master'!$C$7:$C$1000,MATCH($A860,'Product Master'!$A$7:$A$1000,0)))</f>
        <v/>
      </c>
      <c r="D860" t="str">
        <f>IF($A860="","",INDEX('Product Master'!$M$7:$M$1000,MATCH($A860,'Product Master'!$A$7:$A$1000,0)))</f>
        <v/>
      </c>
      <c r="E860" t="str">
        <f>IF($A860="","",INDEX('Product Master'!$N$7:$N$1000,MATCH($A860,'Product Master'!$A$7:$A$1000,0)))</f>
        <v/>
      </c>
      <c r="F860" t="str">
        <f>IF($A860="","",INDEX('Product Master'!$P$7:$P$1000,MATCH($A860,'Product Master'!$A$7:$A$1000,0)))</f>
        <v/>
      </c>
      <c r="I860" t="str">
        <f>IFERROR(INDEX('Product Master'!$A$7:$A$1000,_xlfn.AGGREGATE(15,6,(ROW('Product Master'!$A$7:$A$1000)-ROW('Product Master'!$A$7)+1)/(('Product Master'!$A$7:$A$1000&lt;&gt;"")*('Product Master'!$P$7:$P$1000="Out of Stock")),ROWS($I$12:I860))),"")</f>
        <v/>
      </c>
      <c r="J860" t="str">
        <f>IF($I860="","",INDEX('Product Master'!$B$7:$B$1000,MATCH($I860,'Product Master'!$A$7:$A$1000,0)))</f>
        <v/>
      </c>
      <c r="K860" t="str">
        <f>IF($I860="","",INDEX('Product Master'!$C$7:$C$1000,MATCH($I860,'Product Master'!$A$7:$A$1000,0)))</f>
        <v/>
      </c>
      <c r="L860" t="str">
        <f>IF($I860="","",INDEX('Product Master'!$M$7:$M$1000,MATCH($I860,'Product Master'!$A$7:$A$1000,0)))</f>
        <v/>
      </c>
      <c r="M860" t="str">
        <f>IF($I860="","",INDEX('Product Master'!$N$7:$N$1000,MATCH($I860,'Product Master'!$A$7:$A$1000,0)))</f>
        <v/>
      </c>
    </row>
    <row r="861" spans="1:13" x14ac:dyDescent="0.3">
      <c r="A861" t="str">
        <f>IFERROR(INDEX('Product Master'!$A$7:$A$1000,_xlfn.AGGREGATE(15,6,(ROW('Product Master'!$A$7:$A$1000)-ROW('Product Master'!$A$7)+1)/(('Product Master'!$A$7:$A$1000&lt;&gt;"")*('Product Master'!$P$7:$P$1000="Low Stock")),ROWS($A$12:A861))),"")</f>
        <v/>
      </c>
      <c r="B861" t="str">
        <f>IF($A861="","",INDEX('Product Master'!$B$7:$B$1000,MATCH($A861,'Product Master'!$A$7:$A$1000,0)))</f>
        <v/>
      </c>
      <c r="C861" t="str">
        <f>IF($A861="","",INDEX('Product Master'!$C$7:$C$1000,MATCH($A861,'Product Master'!$A$7:$A$1000,0)))</f>
        <v/>
      </c>
      <c r="D861" t="str">
        <f>IF($A861="","",INDEX('Product Master'!$M$7:$M$1000,MATCH($A861,'Product Master'!$A$7:$A$1000,0)))</f>
        <v/>
      </c>
      <c r="E861" t="str">
        <f>IF($A861="","",INDEX('Product Master'!$N$7:$N$1000,MATCH($A861,'Product Master'!$A$7:$A$1000,0)))</f>
        <v/>
      </c>
      <c r="F861" t="str">
        <f>IF($A861="","",INDEX('Product Master'!$P$7:$P$1000,MATCH($A861,'Product Master'!$A$7:$A$1000,0)))</f>
        <v/>
      </c>
      <c r="I861" t="str">
        <f>IFERROR(INDEX('Product Master'!$A$7:$A$1000,_xlfn.AGGREGATE(15,6,(ROW('Product Master'!$A$7:$A$1000)-ROW('Product Master'!$A$7)+1)/(('Product Master'!$A$7:$A$1000&lt;&gt;"")*('Product Master'!$P$7:$P$1000="Out of Stock")),ROWS($I$12:I861))),"")</f>
        <v/>
      </c>
      <c r="J861" t="str">
        <f>IF($I861="","",INDEX('Product Master'!$B$7:$B$1000,MATCH($I861,'Product Master'!$A$7:$A$1000,0)))</f>
        <v/>
      </c>
      <c r="K861" t="str">
        <f>IF($I861="","",INDEX('Product Master'!$C$7:$C$1000,MATCH($I861,'Product Master'!$A$7:$A$1000,0)))</f>
        <v/>
      </c>
      <c r="L861" t="str">
        <f>IF($I861="","",INDEX('Product Master'!$M$7:$M$1000,MATCH($I861,'Product Master'!$A$7:$A$1000,0)))</f>
        <v/>
      </c>
      <c r="M861" t="str">
        <f>IF($I861="","",INDEX('Product Master'!$N$7:$N$1000,MATCH($I861,'Product Master'!$A$7:$A$1000,0)))</f>
        <v/>
      </c>
    </row>
    <row r="862" spans="1:13" x14ac:dyDescent="0.3">
      <c r="A862" t="str">
        <f>IFERROR(INDEX('Product Master'!$A$7:$A$1000,_xlfn.AGGREGATE(15,6,(ROW('Product Master'!$A$7:$A$1000)-ROW('Product Master'!$A$7)+1)/(('Product Master'!$A$7:$A$1000&lt;&gt;"")*('Product Master'!$P$7:$P$1000="Low Stock")),ROWS($A$12:A862))),"")</f>
        <v/>
      </c>
      <c r="B862" t="str">
        <f>IF($A862="","",INDEX('Product Master'!$B$7:$B$1000,MATCH($A862,'Product Master'!$A$7:$A$1000,0)))</f>
        <v/>
      </c>
      <c r="C862" t="str">
        <f>IF($A862="","",INDEX('Product Master'!$C$7:$C$1000,MATCH($A862,'Product Master'!$A$7:$A$1000,0)))</f>
        <v/>
      </c>
      <c r="D862" t="str">
        <f>IF($A862="","",INDEX('Product Master'!$M$7:$M$1000,MATCH($A862,'Product Master'!$A$7:$A$1000,0)))</f>
        <v/>
      </c>
      <c r="E862" t="str">
        <f>IF($A862="","",INDEX('Product Master'!$N$7:$N$1000,MATCH($A862,'Product Master'!$A$7:$A$1000,0)))</f>
        <v/>
      </c>
      <c r="F862" t="str">
        <f>IF($A862="","",INDEX('Product Master'!$P$7:$P$1000,MATCH($A862,'Product Master'!$A$7:$A$1000,0)))</f>
        <v/>
      </c>
      <c r="I862" t="str">
        <f>IFERROR(INDEX('Product Master'!$A$7:$A$1000,_xlfn.AGGREGATE(15,6,(ROW('Product Master'!$A$7:$A$1000)-ROW('Product Master'!$A$7)+1)/(('Product Master'!$A$7:$A$1000&lt;&gt;"")*('Product Master'!$P$7:$P$1000="Out of Stock")),ROWS($I$12:I862))),"")</f>
        <v/>
      </c>
      <c r="J862" t="str">
        <f>IF($I862="","",INDEX('Product Master'!$B$7:$B$1000,MATCH($I862,'Product Master'!$A$7:$A$1000,0)))</f>
        <v/>
      </c>
      <c r="K862" t="str">
        <f>IF($I862="","",INDEX('Product Master'!$C$7:$C$1000,MATCH($I862,'Product Master'!$A$7:$A$1000,0)))</f>
        <v/>
      </c>
      <c r="L862" t="str">
        <f>IF($I862="","",INDEX('Product Master'!$M$7:$M$1000,MATCH($I862,'Product Master'!$A$7:$A$1000,0)))</f>
        <v/>
      </c>
      <c r="M862" t="str">
        <f>IF($I862="","",INDEX('Product Master'!$N$7:$N$1000,MATCH($I862,'Product Master'!$A$7:$A$1000,0)))</f>
        <v/>
      </c>
    </row>
    <row r="863" spans="1:13" x14ac:dyDescent="0.3">
      <c r="A863" t="str">
        <f>IFERROR(INDEX('Product Master'!$A$7:$A$1000,_xlfn.AGGREGATE(15,6,(ROW('Product Master'!$A$7:$A$1000)-ROW('Product Master'!$A$7)+1)/(('Product Master'!$A$7:$A$1000&lt;&gt;"")*('Product Master'!$P$7:$P$1000="Low Stock")),ROWS($A$12:A863))),"")</f>
        <v/>
      </c>
      <c r="B863" t="str">
        <f>IF($A863="","",INDEX('Product Master'!$B$7:$B$1000,MATCH($A863,'Product Master'!$A$7:$A$1000,0)))</f>
        <v/>
      </c>
      <c r="C863" t="str">
        <f>IF($A863="","",INDEX('Product Master'!$C$7:$C$1000,MATCH($A863,'Product Master'!$A$7:$A$1000,0)))</f>
        <v/>
      </c>
      <c r="D863" t="str">
        <f>IF($A863="","",INDEX('Product Master'!$M$7:$M$1000,MATCH($A863,'Product Master'!$A$7:$A$1000,0)))</f>
        <v/>
      </c>
      <c r="E863" t="str">
        <f>IF($A863="","",INDEX('Product Master'!$N$7:$N$1000,MATCH($A863,'Product Master'!$A$7:$A$1000,0)))</f>
        <v/>
      </c>
      <c r="F863" t="str">
        <f>IF($A863="","",INDEX('Product Master'!$P$7:$P$1000,MATCH($A863,'Product Master'!$A$7:$A$1000,0)))</f>
        <v/>
      </c>
      <c r="I863" t="str">
        <f>IFERROR(INDEX('Product Master'!$A$7:$A$1000,_xlfn.AGGREGATE(15,6,(ROW('Product Master'!$A$7:$A$1000)-ROW('Product Master'!$A$7)+1)/(('Product Master'!$A$7:$A$1000&lt;&gt;"")*('Product Master'!$P$7:$P$1000="Out of Stock")),ROWS($I$12:I863))),"")</f>
        <v/>
      </c>
      <c r="J863" t="str">
        <f>IF($I863="","",INDEX('Product Master'!$B$7:$B$1000,MATCH($I863,'Product Master'!$A$7:$A$1000,0)))</f>
        <v/>
      </c>
      <c r="K863" t="str">
        <f>IF($I863="","",INDEX('Product Master'!$C$7:$C$1000,MATCH($I863,'Product Master'!$A$7:$A$1000,0)))</f>
        <v/>
      </c>
      <c r="L863" t="str">
        <f>IF($I863="","",INDEX('Product Master'!$M$7:$M$1000,MATCH($I863,'Product Master'!$A$7:$A$1000,0)))</f>
        <v/>
      </c>
      <c r="M863" t="str">
        <f>IF($I863="","",INDEX('Product Master'!$N$7:$N$1000,MATCH($I863,'Product Master'!$A$7:$A$1000,0)))</f>
        <v/>
      </c>
    </row>
    <row r="864" spans="1:13" x14ac:dyDescent="0.3">
      <c r="A864" t="str">
        <f>IFERROR(INDEX('Product Master'!$A$7:$A$1000,_xlfn.AGGREGATE(15,6,(ROW('Product Master'!$A$7:$A$1000)-ROW('Product Master'!$A$7)+1)/(('Product Master'!$A$7:$A$1000&lt;&gt;"")*('Product Master'!$P$7:$P$1000="Low Stock")),ROWS($A$12:A864))),"")</f>
        <v/>
      </c>
      <c r="B864" t="str">
        <f>IF($A864="","",INDEX('Product Master'!$B$7:$B$1000,MATCH($A864,'Product Master'!$A$7:$A$1000,0)))</f>
        <v/>
      </c>
      <c r="C864" t="str">
        <f>IF($A864="","",INDEX('Product Master'!$C$7:$C$1000,MATCH($A864,'Product Master'!$A$7:$A$1000,0)))</f>
        <v/>
      </c>
      <c r="D864" t="str">
        <f>IF($A864="","",INDEX('Product Master'!$M$7:$M$1000,MATCH($A864,'Product Master'!$A$7:$A$1000,0)))</f>
        <v/>
      </c>
      <c r="E864" t="str">
        <f>IF($A864="","",INDEX('Product Master'!$N$7:$N$1000,MATCH($A864,'Product Master'!$A$7:$A$1000,0)))</f>
        <v/>
      </c>
      <c r="F864" t="str">
        <f>IF($A864="","",INDEX('Product Master'!$P$7:$P$1000,MATCH($A864,'Product Master'!$A$7:$A$1000,0)))</f>
        <v/>
      </c>
      <c r="I864" t="str">
        <f>IFERROR(INDEX('Product Master'!$A$7:$A$1000,_xlfn.AGGREGATE(15,6,(ROW('Product Master'!$A$7:$A$1000)-ROW('Product Master'!$A$7)+1)/(('Product Master'!$A$7:$A$1000&lt;&gt;"")*('Product Master'!$P$7:$P$1000="Out of Stock")),ROWS($I$12:I864))),"")</f>
        <v/>
      </c>
      <c r="J864" t="str">
        <f>IF($I864="","",INDEX('Product Master'!$B$7:$B$1000,MATCH($I864,'Product Master'!$A$7:$A$1000,0)))</f>
        <v/>
      </c>
      <c r="K864" t="str">
        <f>IF($I864="","",INDEX('Product Master'!$C$7:$C$1000,MATCH($I864,'Product Master'!$A$7:$A$1000,0)))</f>
        <v/>
      </c>
      <c r="L864" t="str">
        <f>IF($I864="","",INDEX('Product Master'!$M$7:$M$1000,MATCH($I864,'Product Master'!$A$7:$A$1000,0)))</f>
        <v/>
      </c>
      <c r="M864" t="str">
        <f>IF($I864="","",INDEX('Product Master'!$N$7:$N$1000,MATCH($I864,'Product Master'!$A$7:$A$1000,0)))</f>
        <v/>
      </c>
    </row>
    <row r="865" spans="1:13" x14ac:dyDescent="0.3">
      <c r="A865" t="str">
        <f>IFERROR(INDEX('Product Master'!$A$7:$A$1000,_xlfn.AGGREGATE(15,6,(ROW('Product Master'!$A$7:$A$1000)-ROW('Product Master'!$A$7)+1)/(('Product Master'!$A$7:$A$1000&lt;&gt;"")*('Product Master'!$P$7:$P$1000="Low Stock")),ROWS($A$12:A865))),"")</f>
        <v/>
      </c>
      <c r="B865" t="str">
        <f>IF($A865="","",INDEX('Product Master'!$B$7:$B$1000,MATCH($A865,'Product Master'!$A$7:$A$1000,0)))</f>
        <v/>
      </c>
      <c r="C865" t="str">
        <f>IF($A865="","",INDEX('Product Master'!$C$7:$C$1000,MATCH($A865,'Product Master'!$A$7:$A$1000,0)))</f>
        <v/>
      </c>
      <c r="D865" t="str">
        <f>IF($A865="","",INDEX('Product Master'!$M$7:$M$1000,MATCH($A865,'Product Master'!$A$7:$A$1000,0)))</f>
        <v/>
      </c>
      <c r="E865" t="str">
        <f>IF($A865="","",INDEX('Product Master'!$N$7:$N$1000,MATCH($A865,'Product Master'!$A$7:$A$1000,0)))</f>
        <v/>
      </c>
      <c r="F865" t="str">
        <f>IF($A865="","",INDEX('Product Master'!$P$7:$P$1000,MATCH($A865,'Product Master'!$A$7:$A$1000,0)))</f>
        <v/>
      </c>
      <c r="I865" t="str">
        <f>IFERROR(INDEX('Product Master'!$A$7:$A$1000,_xlfn.AGGREGATE(15,6,(ROW('Product Master'!$A$7:$A$1000)-ROW('Product Master'!$A$7)+1)/(('Product Master'!$A$7:$A$1000&lt;&gt;"")*('Product Master'!$P$7:$P$1000="Out of Stock")),ROWS($I$12:I865))),"")</f>
        <v/>
      </c>
      <c r="J865" t="str">
        <f>IF($I865="","",INDEX('Product Master'!$B$7:$B$1000,MATCH($I865,'Product Master'!$A$7:$A$1000,0)))</f>
        <v/>
      </c>
      <c r="K865" t="str">
        <f>IF($I865="","",INDEX('Product Master'!$C$7:$C$1000,MATCH($I865,'Product Master'!$A$7:$A$1000,0)))</f>
        <v/>
      </c>
      <c r="L865" t="str">
        <f>IF($I865="","",INDEX('Product Master'!$M$7:$M$1000,MATCH($I865,'Product Master'!$A$7:$A$1000,0)))</f>
        <v/>
      </c>
      <c r="M865" t="str">
        <f>IF($I865="","",INDEX('Product Master'!$N$7:$N$1000,MATCH($I865,'Product Master'!$A$7:$A$1000,0)))</f>
        <v/>
      </c>
    </row>
    <row r="866" spans="1:13" x14ac:dyDescent="0.3">
      <c r="A866" t="str">
        <f>IFERROR(INDEX('Product Master'!$A$7:$A$1000,_xlfn.AGGREGATE(15,6,(ROW('Product Master'!$A$7:$A$1000)-ROW('Product Master'!$A$7)+1)/(('Product Master'!$A$7:$A$1000&lt;&gt;"")*('Product Master'!$P$7:$P$1000="Low Stock")),ROWS($A$12:A866))),"")</f>
        <v/>
      </c>
      <c r="B866" t="str">
        <f>IF($A866="","",INDEX('Product Master'!$B$7:$B$1000,MATCH($A866,'Product Master'!$A$7:$A$1000,0)))</f>
        <v/>
      </c>
      <c r="C866" t="str">
        <f>IF($A866="","",INDEX('Product Master'!$C$7:$C$1000,MATCH($A866,'Product Master'!$A$7:$A$1000,0)))</f>
        <v/>
      </c>
      <c r="D866" t="str">
        <f>IF($A866="","",INDEX('Product Master'!$M$7:$M$1000,MATCH($A866,'Product Master'!$A$7:$A$1000,0)))</f>
        <v/>
      </c>
      <c r="E866" t="str">
        <f>IF($A866="","",INDEX('Product Master'!$N$7:$N$1000,MATCH($A866,'Product Master'!$A$7:$A$1000,0)))</f>
        <v/>
      </c>
      <c r="F866" t="str">
        <f>IF($A866="","",INDEX('Product Master'!$P$7:$P$1000,MATCH($A866,'Product Master'!$A$7:$A$1000,0)))</f>
        <v/>
      </c>
      <c r="I866" t="str">
        <f>IFERROR(INDEX('Product Master'!$A$7:$A$1000,_xlfn.AGGREGATE(15,6,(ROW('Product Master'!$A$7:$A$1000)-ROW('Product Master'!$A$7)+1)/(('Product Master'!$A$7:$A$1000&lt;&gt;"")*('Product Master'!$P$7:$P$1000="Out of Stock")),ROWS($I$12:I866))),"")</f>
        <v/>
      </c>
      <c r="J866" t="str">
        <f>IF($I866="","",INDEX('Product Master'!$B$7:$B$1000,MATCH($I866,'Product Master'!$A$7:$A$1000,0)))</f>
        <v/>
      </c>
      <c r="K866" t="str">
        <f>IF($I866="","",INDEX('Product Master'!$C$7:$C$1000,MATCH($I866,'Product Master'!$A$7:$A$1000,0)))</f>
        <v/>
      </c>
      <c r="L866" t="str">
        <f>IF($I866="","",INDEX('Product Master'!$M$7:$M$1000,MATCH($I866,'Product Master'!$A$7:$A$1000,0)))</f>
        <v/>
      </c>
      <c r="M866" t="str">
        <f>IF($I866="","",INDEX('Product Master'!$N$7:$N$1000,MATCH($I866,'Product Master'!$A$7:$A$1000,0)))</f>
        <v/>
      </c>
    </row>
    <row r="867" spans="1:13" x14ac:dyDescent="0.3">
      <c r="A867" t="str">
        <f>IFERROR(INDEX('Product Master'!$A$7:$A$1000,_xlfn.AGGREGATE(15,6,(ROW('Product Master'!$A$7:$A$1000)-ROW('Product Master'!$A$7)+1)/(('Product Master'!$A$7:$A$1000&lt;&gt;"")*('Product Master'!$P$7:$P$1000="Low Stock")),ROWS($A$12:A867))),"")</f>
        <v/>
      </c>
      <c r="B867" t="str">
        <f>IF($A867="","",INDEX('Product Master'!$B$7:$B$1000,MATCH($A867,'Product Master'!$A$7:$A$1000,0)))</f>
        <v/>
      </c>
      <c r="C867" t="str">
        <f>IF($A867="","",INDEX('Product Master'!$C$7:$C$1000,MATCH($A867,'Product Master'!$A$7:$A$1000,0)))</f>
        <v/>
      </c>
      <c r="D867" t="str">
        <f>IF($A867="","",INDEX('Product Master'!$M$7:$M$1000,MATCH($A867,'Product Master'!$A$7:$A$1000,0)))</f>
        <v/>
      </c>
      <c r="E867" t="str">
        <f>IF($A867="","",INDEX('Product Master'!$N$7:$N$1000,MATCH($A867,'Product Master'!$A$7:$A$1000,0)))</f>
        <v/>
      </c>
      <c r="F867" t="str">
        <f>IF($A867="","",INDEX('Product Master'!$P$7:$P$1000,MATCH($A867,'Product Master'!$A$7:$A$1000,0)))</f>
        <v/>
      </c>
      <c r="I867" t="str">
        <f>IFERROR(INDEX('Product Master'!$A$7:$A$1000,_xlfn.AGGREGATE(15,6,(ROW('Product Master'!$A$7:$A$1000)-ROW('Product Master'!$A$7)+1)/(('Product Master'!$A$7:$A$1000&lt;&gt;"")*('Product Master'!$P$7:$P$1000="Out of Stock")),ROWS($I$12:I867))),"")</f>
        <v/>
      </c>
      <c r="J867" t="str">
        <f>IF($I867="","",INDEX('Product Master'!$B$7:$B$1000,MATCH($I867,'Product Master'!$A$7:$A$1000,0)))</f>
        <v/>
      </c>
      <c r="K867" t="str">
        <f>IF($I867="","",INDEX('Product Master'!$C$7:$C$1000,MATCH($I867,'Product Master'!$A$7:$A$1000,0)))</f>
        <v/>
      </c>
      <c r="L867" t="str">
        <f>IF($I867="","",INDEX('Product Master'!$M$7:$M$1000,MATCH($I867,'Product Master'!$A$7:$A$1000,0)))</f>
        <v/>
      </c>
      <c r="M867" t="str">
        <f>IF($I867="","",INDEX('Product Master'!$N$7:$N$1000,MATCH($I867,'Product Master'!$A$7:$A$1000,0)))</f>
        <v/>
      </c>
    </row>
    <row r="868" spans="1:13" x14ac:dyDescent="0.3">
      <c r="A868" t="str">
        <f>IFERROR(INDEX('Product Master'!$A$7:$A$1000,_xlfn.AGGREGATE(15,6,(ROW('Product Master'!$A$7:$A$1000)-ROW('Product Master'!$A$7)+1)/(('Product Master'!$A$7:$A$1000&lt;&gt;"")*('Product Master'!$P$7:$P$1000="Low Stock")),ROWS($A$12:A868))),"")</f>
        <v/>
      </c>
      <c r="B868" t="str">
        <f>IF($A868="","",INDEX('Product Master'!$B$7:$B$1000,MATCH($A868,'Product Master'!$A$7:$A$1000,0)))</f>
        <v/>
      </c>
      <c r="C868" t="str">
        <f>IF($A868="","",INDEX('Product Master'!$C$7:$C$1000,MATCH($A868,'Product Master'!$A$7:$A$1000,0)))</f>
        <v/>
      </c>
      <c r="D868" t="str">
        <f>IF($A868="","",INDEX('Product Master'!$M$7:$M$1000,MATCH($A868,'Product Master'!$A$7:$A$1000,0)))</f>
        <v/>
      </c>
      <c r="E868" t="str">
        <f>IF($A868="","",INDEX('Product Master'!$N$7:$N$1000,MATCH($A868,'Product Master'!$A$7:$A$1000,0)))</f>
        <v/>
      </c>
      <c r="F868" t="str">
        <f>IF($A868="","",INDEX('Product Master'!$P$7:$P$1000,MATCH($A868,'Product Master'!$A$7:$A$1000,0)))</f>
        <v/>
      </c>
      <c r="I868" t="str">
        <f>IFERROR(INDEX('Product Master'!$A$7:$A$1000,_xlfn.AGGREGATE(15,6,(ROW('Product Master'!$A$7:$A$1000)-ROW('Product Master'!$A$7)+1)/(('Product Master'!$A$7:$A$1000&lt;&gt;"")*('Product Master'!$P$7:$P$1000="Out of Stock")),ROWS($I$12:I868))),"")</f>
        <v/>
      </c>
      <c r="J868" t="str">
        <f>IF($I868="","",INDEX('Product Master'!$B$7:$B$1000,MATCH($I868,'Product Master'!$A$7:$A$1000,0)))</f>
        <v/>
      </c>
      <c r="K868" t="str">
        <f>IF($I868="","",INDEX('Product Master'!$C$7:$C$1000,MATCH($I868,'Product Master'!$A$7:$A$1000,0)))</f>
        <v/>
      </c>
      <c r="L868" t="str">
        <f>IF($I868="","",INDEX('Product Master'!$M$7:$M$1000,MATCH($I868,'Product Master'!$A$7:$A$1000,0)))</f>
        <v/>
      </c>
      <c r="M868" t="str">
        <f>IF($I868="","",INDEX('Product Master'!$N$7:$N$1000,MATCH($I868,'Product Master'!$A$7:$A$1000,0)))</f>
        <v/>
      </c>
    </row>
    <row r="869" spans="1:13" x14ac:dyDescent="0.3">
      <c r="A869" t="str">
        <f>IFERROR(INDEX('Product Master'!$A$7:$A$1000,_xlfn.AGGREGATE(15,6,(ROW('Product Master'!$A$7:$A$1000)-ROW('Product Master'!$A$7)+1)/(('Product Master'!$A$7:$A$1000&lt;&gt;"")*('Product Master'!$P$7:$P$1000="Low Stock")),ROWS($A$12:A869))),"")</f>
        <v/>
      </c>
      <c r="B869" t="str">
        <f>IF($A869="","",INDEX('Product Master'!$B$7:$B$1000,MATCH($A869,'Product Master'!$A$7:$A$1000,0)))</f>
        <v/>
      </c>
      <c r="C869" t="str">
        <f>IF($A869="","",INDEX('Product Master'!$C$7:$C$1000,MATCH($A869,'Product Master'!$A$7:$A$1000,0)))</f>
        <v/>
      </c>
      <c r="D869" t="str">
        <f>IF($A869="","",INDEX('Product Master'!$M$7:$M$1000,MATCH($A869,'Product Master'!$A$7:$A$1000,0)))</f>
        <v/>
      </c>
      <c r="E869" t="str">
        <f>IF($A869="","",INDEX('Product Master'!$N$7:$N$1000,MATCH($A869,'Product Master'!$A$7:$A$1000,0)))</f>
        <v/>
      </c>
      <c r="F869" t="str">
        <f>IF($A869="","",INDEX('Product Master'!$P$7:$P$1000,MATCH($A869,'Product Master'!$A$7:$A$1000,0)))</f>
        <v/>
      </c>
      <c r="I869" t="str">
        <f>IFERROR(INDEX('Product Master'!$A$7:$A$1000,_xlfn.AGGREGATE(15,6,(ROW('Product Master'!$A$7:$A$1000)-ROW('Product Master'!$A$7)+1)/(('Product Master'!$A$7:$A$1000&lt;&gt;"")*('Product Master'!$P$7:$P$1000="Out of Stock")),ROWS($I$12:I869))),"")</f>
        <v/>
      </c>
      <c r="J869" t="str">
        <f>IF($I869="","",INDEX('Product Master'!$B$7:$B$1000,MATCH($I869,'Product Master'!$A$7:$A$1000,0)))</f>
        <v/>
      </c>
      <c r="K869" t="str">
        <f>IF($I869="","",INDEX('Product Master'!$C$7:$C$1000,MATCH($I869,'Product Master'!$A$7:$A$1000,0)))</f>
        <v/>
      </c>
      <c r="L869" t="str">
        <f>IF($I869="","",INDEX('Product Master'!$M$7:$M$1000,MATCH($I869,'Product Master'!$A$7:$A$1000,0)))</f>
        <v/>
      </c>
      <c r="M869" t="str">
        <f>IF($I869="","",INDEX('Product Master'!$N$7:$N$1000,MATCH($I869,'Product Master'!$A$7:$A$1000,0)))</f>
        <v/>
      </c>
    </row>
    <row r="870" spans="1:13" x14ac:dyDescent="0.3">
      <c r="A870" t="str">
        <f>IFERROR(INDEX('Product Master'!$A$7:$A$1000,_xlfn.AGGREGATE(15,6,(ROW('Product Master'!$A$7:$A$1000)-ROW('Product Master'!$A$7)+1)/(('Product Master'!$A$7:$A$1000&lt;&gt;"")*('Product Master'!$P$7:$P$1000="Low Stock")),ROWS($A$12:A870))),"")</f>
        <v/>
      </c>
      <c r="B870" t="str">
        <f>IF($A870="","",INDEX('Product Master'!$B$7:$B$1000,MATCH($A870,'Product Master'!$A$7:$A$1000,0)))</f>
        <v/>
      </c>
      <c r="C870" t="str">
        <f>IF($A870="","",INDEX('Product Master'!$C$7:$C$1000,MATCH($A870,'Product Master'!$A$7:$A$1000,0)))</f>
        <v/>
      </c>
      <c r="D870" t="str">
        <f>IF($A870="","",INDEX('Product Master'!$M$7:$M$1000,MATCH($A870,'Product Master'!$A$7:$A$1000,0)))</f>
        <v/>
      </c>
      <c r="E870" t="str">
        <f>IF($A870="","",INDEX('Product Master'!$N$7:$N$1000,MATCH($A870,'Product Master'!$A$7:$A$1000,0)))</f>
        <v/>
      </c>
      <c r="F870" t="str">
        <f>IF($A870="","",INDEX('Product Master'!$P$7:$P$1000,MATCH($A870,'Product Master'!$A$7:$A$1000,0)))</f>
        <v/>
      </c>
      <c r="I870" t="str">
        <f>IFERROR(INDEX('Product Master'!$A$7:$A$1000,_xlfn.AGGREGATE(15,6,(ROW('Product Master'!$A$7:$A$1000)-ROW('Product Master'!$A$7)+1)/(('Product Master'!$A$7:$A$1000&lt;&gt;"")*('Product Master'!$P$7:$P$1000="Out of Stock")),ROWS($I$12:I870))),"")</f>
        <v/>
      </c>
      <c r="J870" t="str">
        <f>IF($I870="","",INDEX('Product Master'!$B$7:$B$1000,MATCH($I870,'Product Master'!$A$7:$A$1000,0)))</f>
        <v/>
      </c>
      <c r="K870" t="str">
        <f>IF($I870="","",INDEX('Product Master'!$C$7:$C$1000,MATCH($I870,'Product Master'!$A$7:$A$1000,0)))</f>
        <v/>
      </c>
      <c r="L870" t="str">
        <f>IF($I870="","",INDEX('Product Master'!$M$7:$M$1000,MATCH($I870,'Product Master'!$A$7:$A$1000,0)))</f>
        <v/>
      </c>
      <c r="M870" t="str">
        <f>IF($I870="","",INDEX('Product Master'!$N$7:$N$1000,MATCH($I870,'Product Master'!$A$7:$A$1000,0)))</f>
        <v/>
      </c>
    </row>
    <row r="871" spans="1:13" x14ac:dyDescent="0.3">
      <c r="A871" t="str">
        <f>IFERROR(INDEX('Product Master'!$A$7:$A$1000,_xlfn.AGGREGATE(15,6,(ROW('Product Master'!$A$7:$A$1000)-ROW('Product Master'!$A$7)+1)/(('Product Master'!$A$7:$A$1000&lt;&gt;"")*('Product Master'!$P$7:$P$1000="Low Stock")),ROWS($A$12:A871))),"")</f>
        <v/>
      </c>
      <c r="B871" t="str">
        <f>IF($A871="","",INDEX('Product Master'!$B$7:$B$1000,MATCH($A871,'Product Master'!$A$7:$A$1000,0)))</f>
        <v/>
      </c>
      <c r="C871" t="str">
        <f>IF($A871="","",INDEX('Product Master'!$C$7:$C$1000,MATCH($A871,'Product Master'!$A$7:$A$1000,0)))</f>
        <v/>
      </c>
      <c r="D871" t="str">
        <f>IF($A871="","",INDEX('Product Master'!$M$7:$M$1000,MATCH($A871,'Product Master'!$A$7:$A$1000,0)))</f>
        <v/>
      </c>
      <c r="E871" t="str">
        <f>IF($A871="","",INDEX('Product Master'!$N$7:$N$1000,MATCH($A871,'Product Master'!$A$7:$A$1000,0)))</f>
        <v/>
      </c>
      <c r="F871" t="str">
        <f>IF($A871="","",INDEX('Product Master'!$P$7:$P$1000,MATCH($A871,'Product Master'!$A$7:$A$1000,0)))</f>
        <v/>
      </c>
      <c r="I871" t="str">
        <f>IFERROR(INDEX('Product Master'!$A$7:$A$1000,_xlfn.AGGREGATE(15,6,(ROW('Product Master'!$A$7:$A$1000)-ROW('Product Master'!$A$7)+1)/(('Product Master'!$A$7:$A$1000&lt;&gt;"")*('Product Master'!$P$7:$P$1000="Out of Stock")),ROWS($I$12:I871))),"")</f>
        <v/>
      </c>
      <c r="J871" t="str">
        <f>IF($I871="","",INDEX('Product Master'!$B$7:$B$1000,MATCH($I871,'Product Master'!$A$7:$A$1000,0)))</f>
        <v/>
      </c>
      <c r="K871" t="str">
        <f>IF($I871="","",INDEX('Product Master'!$C$7:$C$1000,MATCH($I871,'Product Master'!$A$7:$A$1000,0)))</f>
        <v/>
      </c>
      <c r="L871" t="str">
        <f>IF($I871="","",INDEX('Product Master'!$M$7:$M$1000,MATCH($I871,'Product Master'!$A$7:$A$1000,0)))</f>
        <v/>
      </c>
      <c r="M871" t="str">
        <f>IF($I871="","",INDEX('Product Master'!$N$7:$N$1000,MATCH($I871,'Product Master'!$A$7:$A$1000,0)))</f>
        <v/>
      </c>
    </row>
    <row r="872" spans="1:13" x14ac:dyDescent="0.3">
      <c r="A872" t="str">
        <f>IFERROR(INDEX('Product Master'!$A$7:$A$1000,_xlfn.AGGREGATE(15,6,(ROW('Product Master'!$A$7:$A$1000)-ROW('Product Master'!$A$7)+1)/(('Product Master'!$A$7:$A$1000&lt;&gt;"")*('Product Master'!$P$7:$P$1000="Low Stock")),ROWS($A$12:A872))),"")</f>
        <v/>
      </c>
      <c r="B872" t="str">
        <f>IF($A872="","",INDEX('Product Master'!$B$7:$B$1000,MATCH($A872,'Product Master'!$A$7:$A$1000,0)))</f>
        <v/>
      </c>
      <c r="C872" t="str">
        <f>IF($A872="","",INDEX('Product Master'!$C$7:$C$1000,MATCH($A872,'Product Master'!$A$7:$A$1000,0)))</f>
        <v/>
      </c>
      <c r="D872" t="str">
        <f>IF($A872="","",INDEX('Product Master'!$M$7:$M$1000,MATCH($A872,'Product Master'!$A$7:$A$1000,0)))</f>
        <v/>
      </c>
      <c r="E872" t="str">
        <f>IF($A872="","",INDEX('Product Master'!$N$7:$N$1000,MATCH($A872,'Product Master'!$A$7:$A$1000,0)))</f>
        <v/>
      </c>
      <c r="F872" t="str">
        <f>IF($A872="","",INDEX('Product Master'!$P$7:$P$1000,MATCH($A872,'Product Master'!$A$7:$A$1000,0)))</f>
        <v/>
      </c>
      <c r="I872" t="str">
        <f>IFERROR(INDEX('Product Master'!$A$7:$A$1000,_xlfn.AGGREGATE(15,6,(ROW('Product Master'!$A$7:$A$1000)-ROW('Product Master'!$A$7)+1)/(('Product Master'!$A$7:$A$1000&lt;&gt;"")*('Product Master'!$P$7:$P$1000="Out of Stock")),ROWS($I$12:I872))),"")</f>
        <v/>
      </c>
      <c r="J872" t="str">
        <f>IF($I872="","",INDEX('Product Master'!$B$7:$B$1000,MATCH($I872,'Product Master'!$A$7:$A$1000,0)))</f>
        <v/>
      </c>
      <c r="K872" t="str">
        <f>IF($I872="","",INDEX('Product Master'!$C$7:$C$1000,MATCH($I872,'Product Master'!$A$7:$A$1000,0)))</f>
        <v/>
      </c>
      <c r="L872" t="str">
        <f>IF($I872="","",INDEX('Product Master'!$M$7:$M$1000,MATCH($I872,'Product Master'!$A$7:$A$1000,0)))</f>
        <v/>
      </c>
      <c r="M872" t="str">
        <f>IF($I872="","",INDEX('Product Master'!$N$7:$N$1000,MATCH($I872,'Product Master'!$A$7:$A$1000,0)))</f>
        <v/>
      </c>
    </row>
    <row r="873" spans="1:13" x14ac:dyDescent="0.3">
      <c r="A873" t="str">
        <f>IFERROR(INDEX('Product Master'!$A$7:$A$1000,_xlfn.AGGREGATE(15,6,(ROW('Product Master'!$A$7:$A$1000)-ROW('Product Master'!$A$7)+1)/(('Product Master'!$A$7:$A$1000&lt;&gt;"")*('Product Master'!$P$7:$P$1000="Low Stock")),ROWS($A$12:A873))),"")</f>
        <v/>
      </c>
      <c r="B873" t="str">
        <f>IF($A873="","",INDEX('Product Master'!$B$7:$B$1000,MATCH($A873,'Product Master'!$A$7:$A$1000,0)))</f>
        <v/>
      </c>
      <c r="C873" t="str">
        <f>IF($A873="","",INDEX('Product Master'!$C$7:$C$1000,MATCH($A873,'Product Master'!$A$7:$A$1000,0)))</f>
        <v/>
      </c>
      <c r="D873" t="str">
        <f>IF($A873="","",INDEX('Product Master'!$M$7:$M$1000,MATCH($A873,'Product Master'!$A$7:$A$1000,0)))</f>
        <v/>
      </c>
      <c r="E873" t="str">
        <f>IF($A873="","",INDEX('Product Master'!$N$7:$N$1000,MATCH($A873,'Product Master'!$A$7:$A$1000,0)))</f>
        <v/>
      </c>
      <c r="F873" t="str">
        <f>IF($A873="","",INDEX('Product Master'!$P$7:$P$1000,MATCH($A873,'Product Master'!$A$7:$A$1000,0)))</f>
        <v/>
      </c>
      <c r="I873" t="str">
        <f>IFERROR(INDEX('Product Master'!$A$7:$A$1000,_xlfn.AGGREGATE(15,6,(ROW('Product Master'!$A$7:$A$1000)-ROW('Product Master'!$A$7)+1)/(('Product Master'!$A$7:$A$1000&lt;&gt;"")*('Product Master'!$P$7:$P$1000="Out of Stock")),ROWS($I$12:I873))),"")</f>
        <v/>
      </c>
      <c r="J873" t="str">
        <f>IF($I873="","",INDEX('Product Master'!$B$7:$B$1000,MATCH($I873,'Product Master'!$A$7:$A$1000,0)))</f>
        <v/>
      </c>
      <c r="K873" t="str">
        <f>IF($I873="","",INDEX('Product Master'!$C$7:$C$1000,MATCH($I873,'Product Master'!$A$7:$A$1000,0)))</f>
        <v/>
      </c>
      <c r="L873" t="str">
        <f>IF($I873="","",INDEX('Product Master'!$M$7:$M$1000,MATCH($I873,'Product Master'!$A$7:$A$1000,0)))</f>
        <v/>
      </c>
      <c r="M873" t="str">
        <f>IF($I873="","",INDEX('Product Master'!$N$7:$N$1000,MATCH($I873,'Product Master'!$A$7:$A$1000,0)))</f>
        <v/>
      </c>
    </row>
    <row r="874" spans="1:13" x14ac:dyDescent="0.3">
      <c r="A874" t="str">
        <f>IFERROR(INDEX('Product Master'!$A$7:$A$1000,_xlfn.AGGREGATE(15,6,(ROW('Product Master'!$A$7:$A$1000)-ROW('Product Master'!$A$7)+1)/(('Product Master'!$A$7:$A$1000&lt;&gt;"")*('Product Master'!$P$7:$P$1000="Low Stock")),ROWS($A$12:A874))),"")</f>
        <v/>
      </c>
      <c r="B874" t="str">
        <f>IF($A874="","",INDEX('Product Master'!$B$7:$B$1000,MATCH($A874,'Product Master'!$A$7:$A$1000,0)))</f>
        <v/>
      </c>
      <c r="C874" t="str">
        <f>IF($A874="","",INDEX('Product Master'!$C$7:$C$1000,MATCH($A874,'Product Master'!$A$7:$A$1000,0)))</f>
        <v/>
      </c>
      <c r="D874" t="str">
        <f>IF($A874="","",INDEX('Product Master'!$M$7:$M$1000,MATCH($A874,'Product Master'!$A$7:$A$1000,0)))</f>
        <v/>
      </c>
      <c r="E874" t="str">
        <f>IF($A874="","",INDEX('Product Master'!$N$7:$N$1000,MATCH($A874,'Product Master'!$A$7:$A$1000,0)))</f>
        <v/>
      </c>
      <c r="F874" t="str">
        <f>IF($A874="","",INDEX('Product Master'!$P$7:$P$1000,MATCH($A874,'Product Master'!$A$7:$A$1000,0)))</f>
        <v/>
      </c>
      <c r="I874" t="str">
        <f>IFERROR(INDEX('Product Master'!$A$7:$A$1000,_xlfn.AGGREGATE(15,6,(ROW('Product Master'!$A$7:$A$1000)-ROW('Product Master'!$A$7)+1)/(('Product Master'!$A$7:$A$1000&lt;&gt;"")*('Product Master'!$P$7:$P$1000="Out of Stock")),ROWS($I$12:I874))),"")</f>
        <v/>
      </c>
      <c r="J874" t="str">
        <f>IF($I874="","",INDEX('Product Master'!$B$7:$B$1000,MATCH($I874,'Product Master'!$A$7:$A$1000,0)))</f>
        <v/>
      </c>
      <c r="K874" t="str">
        <f>IF($I874="","",INDEX('Product Master'!$C$7:$C$1000,MATCH($I874,'Product Master'!$A$7:$A$1000,0)))</f>
        <v/>
      </c>
      <c r="L874" t="str">
        <f>IF($I874="","",INDEX('Product Master'!$M$7:$M$1000,MATCH($I874,'Product Master'!$A$7:$A$1000,0)))</f>
        <v/>
      </c>
      <c r="M874" t="str">
        <f>IF($I874="","",INDEX('Product Master'!$N$7:$N$1000,MATCH($I874,'Product Master'!$A$7:$A$1000,0)))</f>
        <v/>
      </c>
    </row>
    <row r="875" spans="1:13" x14ac:dyDescent="0.3">
      <c r="A875" t="str">
        <f>IFERROR(INDEX('Product Master'!$A$7:$A$1000,_xlfn.AGGREGATE(15,6,(ROW('Product Master'!$A$7:$A$1000)-ROW('Product Master'!$A$7)+1)/(('Product Master'!$A$7:$A$1000&lt;&gt;"")*('Product Master'!$P$7:$P$1000="Low Stock")),ROWS($A$12:A875))),"")</f>
        <v/>
      </c>
      <c r="B875" t="str">
        <f>IF($A875="","",INDEX('Product Master'!$B$7:$B$1000,MATCH($A875,'Product Master'!$A$7:$A$1000,0)))</f>
        <v/>
      </c>
      <c r="C875" t="str">
        <f>IF($A875="","",INDEX('Product Master'!$C$7:$C$1000,MATCH($A875,'Product Master'!$A$7:$A$1000,0)))</f>
        <v/>
      </c>
      <c r="D875" t="str">
        <f>IF($A875="","",INDEX('Product Master'!$M$7:$M$1000,MATCH($A875,'Product Master'!$A$7:$A$1000,0)))</f>
        <v/>
      </c>
      <c r="E875" t="str">
        <f>IF($A875="","",INDEX('Product Master'!$N$7:$N$1000,MATCH($A875,'Product Master'!$A$7:$A$1000,0)))</f>
        <v/>
      </c>
      <c r="F875" t="str">
        <f>IF($A875="","",INDEX('Product Master'!$P$7:$P$1000,MATCH($A875,'Product Master'!$A$7:$A$1000,0)))</f>
        <v/>
      </c>
      <c r="I875" t="str">
        <f>IFERROR(INDEX('Product Master'!$A$7:$A$1000,_xlfn.AGGREGATE(15,6,(ROW('Product Master'!$A$7:$A$1000)-ROW('Product Master'!$A$7)+1)/(('Product Master'!$A$7:$A$1000&lt;&gt;"")*('Product Master'!$P$7:$P$1000="Out of Stock")),ROWS($I$12:I875))),"")</f>
        <v/>
      </c>
      <c r="J875" t="str">
        <f>IF($I875="","",INDEX('Product Master'!$B$7:$B$1000,MATCH($I875,'Product Master'!$A$7:$A$1000,0)))</f>
        <v/>
      </c>
      <c r="K875" t="str">
        <f>IF($I875="","",INDEX('Product Master'!$C$7:$C$1000,MATCH($I875,'Product Master'!$A$7:$A$1000,0)))</f>
        <v/>
      </c>
      <c r="L875" t="str">
        <f>IF($I875="","",INDEX('Product Master'!$M$7:$M$1000,MATCH($I875,'Product Master'!$A$7:$A$1000,0)))</f>
        <v/>
      </c>
      <c r="M875" t="str">
        <f>IF($I875="","",INDEX('Product Master'!$N$7:$N$1000,MATCH($I875,'Product Master'!$A$7:$A$1000,0)))</f>
        <v/>
      </c>
    </row>
    <row r="876" spans="1:13" x14ac:dyDescent="0.3">
      <c r="A876" t="str">
        <f>IFERROR(INDEX('Product Master'!$A$7:$A$1000,_xlfn.AGGREGATE(15,6,(ROW('Product Master'!$A$7:$A$1000)-ROW('Product Master'!$A$7)+1)/(('Product Master'!$A$7:$A$1000&lt;&gt;"")*('Product Master'!$P$7:$P$1000="Low Stock")),ROWS($A$12:A876))),"")</f>
        <v/>
      </c>
      <c r="B876" t="str">
        <f>IF($A876="","",INDEX('Product Master'!$B$7:$B$1000,MATCH($A876,'Product Master'!$A$7:$A$1000,0)))</f>
        <v/>
      </c>
      <c r="C876" t="str">
        <f>IF($A876="","",INDEX('Product Master'!$C$7:$C$1000,MATCH($A876,'Product Master'!$A$7:$A$1000,0)))</f>
        <v/>
      </c>
      <c r="D876" t="str">
        <f>IF($A876="","",INDEX('Product Master'!$M$7:$M$1000,MATCH($A876,'Product Master'!$A$7:$A$1000,0)))</f>
        <v/>
      </c>
      <c r="E876" t="str">
        <f>IF($A876="","",INDEX('Product Master'!$N$7:$N$1000,MATCH($A876,'Product Master'!$A$7:$A$1000,0)))</f>
        <v/>
      </c>
      <c r="F876" t="str">
        <f>IF($A876="","",INDEX('Product Master'!$P$7:$P$1000,MATCH($A876,'Product Master'!$A$7:$A$1000,0)))</f>
        <v/>
      </c>
      <c r="I876" t="str">
        <f>IFERROR(INDEX('Product Master'!$A$7:$A$1000,_xlfn.AGGREGATE(15,6,(ROW('Product Master'!$A$7:$A$1000)-ROW('Product Master'!$A$7)+1)/(('Product Master'!$A$7:$A$1000&lt;&gt;"")*('Product Master'!$P$7:$P$1000="Out of Stock")),ROWS($I$12:I876))),"")</f>
        <v/>
      </c>
      <c r="J876" t="str">
        <f>IF($I876="","",INDEX('Product Master'!$B$7:$B$1000,MATCH($I876,'Product Master'!$A$7:$A$1000,0)))</f>
        <v/>
      </c>
      <c r="K876" t="str">
        <f>IF($I876="","",INDEX('Product Master'!$C$7:$C$1000,MATCH($I876,'Product Master'!$A$7:$A$1000,0)))</f>
        <v/>
      </c>
      <c r="L876" t="str">
        <f>IF($I876="","",INDEX('Product Master'!$M$7:$M$1000,MATCH($I876,'Product Master'!$A$7:$A$1000,0)))</f>
        <v/>
      </c>
      <c r="M876" t="str">
        <f>IF($I876="","",INDEX('Product Master'!$N$7:$N$1000,MATCH($I876,'Product Master'!$A$7:$A$1000,0)))</f>
        <v/>
      </c>
    </row>
    <row r="877" spans="1:13" x14ac:dyDescent="0.3">
      <c r="A877" t="str">
        <f>IFERROR(INDEX('Product Master'!$A$7:$A$1000,_xlfn.AGGREGATE(15,6,(ROW('Product Master'!$A$7:$A$1000)-ROW('Product Master'!$A$7)+1)/(('Product Master'!$A$7:$A$1000&lt;&gt;"")*('Product Master'!$P$7:$P$1000="Low Stock")),ROWS($A$12:A877))),"")</f>
        <v/>
      </c>
      <c r="B877" t="str">
        <f>IF($A877="","",INDEX('Product Master'!$B$7:$B$1000,MATCH($A877,'Product Master'!$A$7:$A$1000,0)))</f>
        <v/>
      </c>
      <c r="C877" t="str">
        <f>IF($A877="","",INDEX('Product Master'!$C$7:$C$1000,MATCH($A877,'Product Master'!$A$7:$A$1000,0)))</f>
        <v/>
      </c>
      <c r="D877" t="str">
        <f>IF($A877="","",INDEX('Product Master'!$M$7:$M$1000,MATCH($A877,'Product Master'!$A$7:$A$1000,0)))</f>
        <v/>
      </c>
      <c r="E877" t="str">
        <f>IF($A877="","",INDEX('Product Master'!$N$7:$N$1000,MATCH($A877,'Product Master'!$A$7:$A$1000,0)))</f>
        <v/>
      </c>
      <c r="F877" t="str">
        <f>IF($A877="","",INDEX('Product Master'!$P$7:$P$1000,MATCH($A877,'Product Master'!$A$7:$A$1000,0)))</f>
        <v/>
      </c>
      <c r="I877" t="str">
        <f>IFERROR(INDEX('Product Master'!$A$7:$A$1000,_xlfn.AGGREGATE(15,6,(ROW('Product Master'!$A$7:$A$1000)-ROW('Product Master'!$A$7)+1)/(('Product Master'!$A$7:$A$1000&lt;&gt;"")*('Product Master'!$P$7:$P$1000="Out of Stock")),ROWS($I$12:I877))),"")</f>
        <v/>
      </c>
      <c r="J877" t="str">
        <f>IF($I877="","",INDEX('Product Master'!$B$7:$B$1000,MATCH($I877,'Product Master'!$A$7:$A$1000,0)))</f>
        <v/>
      </c>
      <c r="K877" t="str">
        <f>IF($I877="","",INDEX('Product Master'!$C$7:$C$1000,MATCH($I877,'Product Master'!$A$7:$A$1000,0)))</f>
        <v/>
      </c>
      <c r="L877" t="str">
        <f>IF($I877="","",INDEX('Product Master'!$M$7:$M$1000,MATCH($I877,'Product Master'!$A$7:$A$1000,0)))</f>
        <v/>
      </c>
      <c r="M877" t="str">
        <f>IF($I877="","",INDEX('Product Master'!$N$7:$N$1000,MATCH($I877,'Product Master'!$A$7:$A$1000,0)))</f>
        <v/>
      </c>
    </row>
    <row r="878" spans="1:13" x14ac:dyDescent="0.3">
      <c r="A878" t="str">
        <f>IFERROR(INDEX('Product Master'!$A$7:$A$1000,_xlfn.AGGREGATE(15,6,(ROW('Product Master'!$A$7:$A$1000)-ROW('Product Master'!$A$7)+1)/(('Product Master'!$A$7:$A$1000&lt;&gt;"")*('Product Master'!$P$7:$P$1000="Low Stock")),ROWS($A$12:A878))),"")</f>
        <v/>
      </c>
      <c r="B878" t="str">
        <f>IF($A878="","",INDEX('Product Master'!$B$7:$B$1000,MATCH($A878,'Product Master'!$A$7:$A$1000,0)))</f>
        <v/>
      </c>
      <c r="C878" t="str">
        <f>IF($A878="","",INDEX('Product Master'!$C$7:$C$1000,MATCH($A878,'Product Master'!$A$7:$A$1000,0)))</f>
        <v/>
      </c>
      <c r="D878" t="str">
        <f>IF($A878="","",INDEX('Product Master'!$M$7:$M$1000,MATCH($A878,'Product Master'!$A$7:$A$1000,0)))</f>
        <v/>
      </c>
      <c r="E878" t="str">
        <f>IF($A878="","",INDEX('Product Master'!$N$7:$N$1000,MATCH($A878,'Product Master'!$A$7:$A$1000,0)))</f>
        <v/>
      </c>
      <c r="F878" t="str">
        <f>IF($A878="","",INDEX('Product Master'!$P$7:$P$1000,MATCH($A878,'Product Master'!$A$7:$A$1000,0)))</f>
        <v/>
      </c>
      <c r="I878" t="str">
        <f>IFERROR(INDEX('Product Master'!$A$7:$A$1000,_xlfn.AGGREGATE(15,6,(ROW('Product Master'!$A$7:$A$1000)-ROW('Product Master'!$A$7)+1)/(('Product Master'!$A$7:$A$1000&lt;&gt;"")*('Product Master'!$P$7:$P$1000="Out of Stock")),ROWS($I$12:I878))),"")</f>
        <v/>
      </c>
      <c r="J878" t="str">
        <f>IF($I878="","",INDEX('Product Master'!$B$7:$B$1000,MATCH($I878,'Product Master'!$A$7:$A$1000,0)))</f>
        <v/>
      </c>
      <c r="K878" t="str">
        <f>IF($I878="","",INDEX('Product Master'!$C$7:$C$1000,MATCH($I878,'Product Master'!$A$7:$A$1000,0)))</f>
        <v/>
      </c>
      <c r="L878" t="str">
        <f>IF($I878="","",INDEX('Product Master'!$M$7:$M$1000,MATCH($I878,'Product Master'!$A$7:$A$1000,0)))</f>
        <v/>
      </c>
      <c r="M878" t="str">
        <f>IF($I878="","",INDEX('Product Master'!$N$7:$N$1000,MATCH($I878,'Product Master'!$A$7:$A$1000,0)))</f>
        <v/>
      </c>
    </row>
    <row r="879" spans="1:13" x14ac:dyDescent="0.3">
      <c r="A879" t="str">
        <f>IFERROR(INDEX('Product Master'!$A$7:$A$1000,_xlfn.AGGREGATE(15,6,(ROW('Product Master'!$A$7:$A$1000)-ROW('Product Master'!$A$7)+1)/(('Product Master'!$A$7:$A$1000&lt;&gt;"")*('Product Master'!$P$7:$P$1000="Low Stock")),ROWS($A$12:A879))),"")</f>
        <v/>
      </c>
      <c r="B879" t="str">
        <f>IF($A879="","",INDEX('Product Master'!$B$7:$B$1000,MATCH($A879,'Product Master'!$A$7:$A$1000,0)))</f>
        <v/>
      </c>
      <c r="C879" t="str">
        <f>IF($A879="","",INDEX('Product Master'!$C$7:$C$1000,MATCH($A879,'Product Master'!$A$7:$A$1000,0)))</f>
        <v/>
      </c>
      <c r="D879" t="str">
        <f>IF($A879="","",INDEX('Product Master'!$M$7:$M$1000,MATCH($A879,'Product Master'!$A$7:$A$1000,0)))</f>
        <v/>
      </c>
      <c r="E879" t="str">
        <f>IF($A879="","",INDEX('Product Master'!$N$7:$N$1000,MATCH($A879,'Product Master'!$A$7:$A$1000,0)))</f>
        <v/>
      </c>
      <c r="F879" t="str">
        <f>IF($A879="","",INDEX('Product Master'!$P$7:$P$1000,MATCH($A879,'Product Master'!$A$7:$A$1000,0)))</f>
        <v/>
      </c>
      <c r="I879" t="str">
        <f>IFERROR(INDEX('Product Master'!$A$7:$A$1000,_xlfn.AGGREGATE(15,6,(ROW('Product Master'!$A$7:$A$1000)-ROW('Product Master'!$A$7)+1)/(('Product Master'!$A$7:$A$1000&lt;&gt;"")*('Product Master'!$P$7:$P$1000="Out of Stock")),ROWS($I$12:I879))),"")</f>
        <v/>
      </c>
      <c r="J879" t="str">
        <f>IF($I879="","",INDEX('Product Master'!$B$7:$B$1000,MATCH($I879,'Product Master'!$A$7:$A$1000,0)))</f>
        <v/>
      </c>
      <c r="K879" t="str">
        <f>IF($I879="","",INDEX('Product Master'!$C$7:$C$1000,MATCH($I879,'Product Master'!$A$7:$A$1000,0)))</f>
        <v/>
      </c>
      <c r="L879" t="str">
        <f>IF($I879="","",INDEX('Product Master'!$M$7:$M$1000,MATCH($I879,'Product Master'!$A$7:$A$1000,0)))</f>
        <v/>
      </c>
      <c r="M879" t="str">
        <f>IF($I879="","",INDEX('Product Master'!$N$7:$N$1000,MATCH($I879,'Product Master'!$A$7:$A$1000,0)))</f>
        <v/>
      </c>
    </row>
    <row r="880" spans="1:13" x14ac:dyDescent="0.3">
      <c r="A880" t="str">
        <f>IFERROR(INDEX('Product Master'!$A$7:$A$1000,_xlfn.AGGREGATE(15,6,(ROW('Product Master'!$A$7:$A$1000)-ROW('Product Master'!$A$7)+1)/(('Product Master'!$A$7:$A$1000&lt;&gt;"")*('Product Master'!$P$7:$P$1000="Low Stock")),ROWS($A$12:A880))),"")</f>
        <v/>
      </c>
      <c r="B880" t="str">
        <f>IF($A880="","",INDEX('Product Master'!$B$7:$B$1000,MATCH($A880,'Product Master'!$A$7:$A$1000,0)))</f>
        <v/>
      </c>
      <c r="C880" t="str">
        <f>IF($A880="","",INDEX('Product Master'!$C$7:$C$1000,MATCH($A880,'Product Master'!$A$7:$A$1000,0)))</f>
        <v/>
      </c>
      <c r="D880" t="str">
        <f>IF($A880="","",INDEX('Product Master'!$M$7:$M$1000,MATCH($A880,'Product Master'!$A$7:$A$1000,0)))</f>
        <v/>
      </c>
      <c r="E880" t="str">
        <f>IF($A880="","",INDEX('Product Master'!$N$7:$N$1000,MATCH($A880,'Product Master'!$A$7:$A$1000,0)))</f>
        <v/>
      </c>
      <c r="F880" t="str">
        <f>IF($A880="","",INDEX('Product Master'!$P$7:$P$1000,MATCH($A880,'Product Master'!$A$7:$A$1000,0)))</f>
        <v/>
      </c>
      <c r="I880" t="str">
        <f>IFERROR(INDEX('Product Master'!$A$7:$A$1000,_xlfn.AGGREGATE(15,6,(ROW('Product Master'!$A$7:$A$1000)-ROW('Product Master'!$A$7)+1)/(('Product Master'!$A$7:$A$1000&lt;&gt;"")*('Product Master'!$P$7:$P$1000="Out of Stock")),ROWS($I$12:I880))),"")</f>
        <v/>
      </c>
      <c r="J880" t="str">
        <f>IF($I880="","",INDEX('Product Master'!$B$7:$B$1000,MATCH($I880,'Product Master'!$A$7:$A$1000,0)))</f>
        <v/>
      </c>
      <c r="K880" t="str">
        <f>IF($I880="","",INDEX('Product Master'!$C$7:$C$1000,MATCH($I880,'Product Master'!$A$7:$A$1000,0)))</f>
        <v/>
      </c>
      <c r="L880" t="str">
        <f>IF($I880="","",INDEX('Product Master'!$M$7:$M$1000,MATCH($I880,'Product Master'!$A$7:$A$1000,0)))</f>
        <v/>
      </c>
      <c r="M880" t="str">
        <f>IF($I880="","",INDEX('Product Master'!$N$7:$N$1000,MATCH($I880,'Product Master'!$A$7:$A$1000,0)))</f>
        <v/>
      </c>
    </row>
    <row r="881" spans="1:13" x14ac:dyDescent="0.3">
      <c r="A881" t="str">
        <f>IFERROR(INDEX('Product Master'!$A$7:$A$1000,_xlfn.AGGREGATE(15,6,(ROW('Product Master'!$A$7:$A$1000)-ROW('Product Master'!$A$7)+1)/(('Product Master'!$A$7:$A$1000&lt;&gt;"")*('Product Master'!$P$7:$P$1000="Low Stock")),ROWS($A$12:A881))),"")</f>
        <v/>
      </c>
      <c r="B881" t="str">
        <f>IF($A881="","",INDEX('Product Master'!$B$7:$B$1000,MATCH($A881,'Product Master'!$A$7:$A$1000,0)))</f>
        <v/>
      </c>
      <c r="C881" t="str">
        <f>IF($A881="","",INDEX('Product Master'!$C$7:$C$1000,MATCH($A881,'Product Master'!$A$7:$A$1000,0)))</f>
        <v/>
      </c>
      <c r="D881" t="str">
        <f>IF($A881="","",INDEX('Product Master'!$M$7:$M$1000,MATCH($A881,'Product Master'!$A$7:$A$1000,0)))</f>
        <v/>
      </c>
      <c r="E881" t="str">
        <f>IF($A881="","",INDEX('Product Master'!$N$7:$N$1000,MATCH($A881,'Product Master'!$A$7:$A$1000,0)))</f>
        <v/>
      </c>
      <c r="F881" t="str">
        <f>IF($A881="","",INDEX('Product Master'!$P$7:$P$1000,MATCH($A881,'Product Master'!$A$7:$A$1000,0)))</f>
        <v/>
      </c>
      <c r="I881" t="str">
        <f>IFERROR(INDEX('Product Master'!$A$7:$A$1000,_xlfn.AGGREGATE(15,6,(ROW('Product Master'!$A$7:$A$1000)-ROW('Product Master'!$A$7)+1)/(('Product Master'!$A$7:$A$1000&lt;&gt;"")*('Product Master'!$P$7:$P$1000="Out of Stock")),ROWS($I$12:I881))),"")</f>
        <v/>
      </c>
      <c r="J881" t="str">
        <f>IF($I881="","",INDEX('Product Master'!$B$7:$B$1000,MATCH($I881,'Product Master'!$A$7:$A$1000,0)))</f>
        <v/>
      </c>
      <c r="K881" t="str">
        <f>IF($I881="","",INDEX('Product Master'!$C$7:$C$1000,MATCH($I881,'Product Master'!$A$7:$A$1000,0)))</f>
        <v/>
      </c>
      <c r="L881" t="str">
        <f>IF($I881="","",INDEX('Product Master'!$M$7:$M$1000,MATCH($I881,'Product Master'!$A$7:$A$1000,0)))</f>
        <v/>
      </c>
      <c r="M881" t="str">
        <f>IF($I881="","",INDEX('Product Master'!$N$7:$N$1000,MATCH($I881,'Product Master'!$A$7:$A$1000,0)))</f>
        <v/>
      </c>
    </row>
    <row r="882" spans="1:13" x14ac:dyDescent="0.3">
      <c r="A882" t="str">
        <f>IFERROR(INDEX('Product Master'!$A$7:$A$1000,_xlfn.AGGREGATE(15,6,(ROW('Product Master'!$A$7:$A$1000)-ROW('Product Master'!$A$7)+1)/(('Product Master'!$A$7:$A$1000&lt;&gt;"")*('Product Master'!$P$7:$P$1000="Low Stock")),ROWS($A$12:A882))),"")</f>
        <v/>
      </c>
      <c r="B882" t="str">
        <f>IF($A882="","",INDEX('Product Master'!$B$7:$B$1000,MATCH($A882,'Product Master'!$A$7:$A$1000,0)))</f>
        <v/>
      </c>
      <c r="C882" t="str">
        <f>IF($A882="","",INDEX('Product Master'!$C$7:$C$1000,MATCH($A882,'Product Master'!$A$7:$A$1000,0)))</f>
        <v/>
      </c>
      <c r="D882" t="str">
        <f>IF($A882="","",INDEX('Product Master'!$M$7:$M$1000,MATCH($A882,'Product Master'!$A$7:$A$1000,0)))</f>
        <v/>
      </c>
      <c r="E882" t="str">
        <f>IF($A882="","",INDEX('Product Master'!$N$7:$N$1000,MATCH($A882,'Product Master'!$A$7:$A$1000,0)))</f>
        <v/>
      </c>
      <c r="F882" t="str">
        <f>IF($A882="","",INDEX('Product Master'!$P$7:$P$1000,MATCH($A882,'Product Master'!$A$7:$A$1000,0)))</f>
        <v/>
      </c>
      <c r="I882" t="str">
        <f>IFERROR(INDEX('Product Master'!$A$7:$A$1000,_xlfn.AGGREGATE(15,6,(ROW('Product Master'!$A$7:$A$1000)-ROW('Product Master'!$A$7)+1)/(('Product Master'!$A$7:$A$1000&lt;&gt;"")*('Product Master'!$P$7:$P$1000="Out of Stock")),ROWS($I$12:I882))),"")</f>
        <v/>
      </c>
      <c r="J882" t="str">
        <f>IF($I882="","",INDEX('Product Master'!$B$7:$B$1000,MATCH($I882,'Product Master'!$A$7:$A$1000,0)))</f>
        <v/>
      </c>
      <c r="K882" t="str">
        <f>IF($I882="","",INDEX('Product Master'!$C$7:$C$1000,MATCH($I882,'Product Master'!$A$7:$A$1000,0)))</f>
        <v/>
      </c>
      <c r="L882" t="str">
        <f>IF($I882="","",INDEX('Product Master'!$M$7:$M$1000,MATCH($I882,'Product Master'!$A$7:$A$1000,0)))</f>
        <v/>
      </c>
      <c r="M882" t="str">
        <f>IF($I882="","",INDEX('Product Master'!$N$7:$N$1000,MATCH($I882,'Product Master'!$A$7:$A$1000,0)))</f>
        <v/>
      </c>
    </row>
    <row r="883" spans="1:13" x14ac:dyDescent="0.3">
      <c r="A883" t="str">
        <f>IFERROR(INDEX('Product Master'!$A$7:$A$1000,_xlfn.AGGREGATE(15,6,(ROW('Product Master'!$A$7:$A$1000)-ROW('Product Master'!$A$7)+1)/(('Product Master'!$A$7:$A$1000&lt;&gt;"")*('Product Master'!$P$7:$P$1000="Low Stock")),ROWS($A$12:A883))),"")</f>
        <v/>
      </c>
      <c r="B883" t="str">
        <f>IF($A883="","",INDEX('Product Master'!$B$7:$B$1000,MATCH($A883,'Product Master'!$A$7:$A$1000,0)))</f>
        <v/>
      </c>
      <c r="C883" t="str">
        <f>IF($A883="","",INDEX('Product Master'!$C$7:$C$1000,MATCH($A883,'Product Master'!$A$7:$A$1000,0)))</f>
        <v/>
      </c>
      <c r="D883" t="str">
        <f>IF($A883="","",INDEX('Product Master'!$M$7:$M$1000,MATCH($A883,'Product Master'!$A$7:$A$1000,0)))</f>
        <v/>
      </c>
      <c r="E883" t="str">
        <f>IF($A883="","",INDEX('Product Master'!$N$7:$N$1000,MATCH($A883,'Product Master'!$A$7:$A$1000,0)))</f>
        <v/>
      </c>
      <c r="F883" t="str">
        <f>IF($A883="","",INDEX('Product Master'!$P$7:$P$1000,MATCH($A883,'Product Master'!$A$7:$A$1000,0)))</f>
        <v/>
      </c>
      <c r="I883" t="str">
        <f>IFERROR(INDEX('Product Master'!$A$7:$A$1000,_xlfn.AGGREGATE(15,6,(ROW('Product Master'!$A$7:$A$1000)-ROW('Product Master'!$A$7)+1)/(('Product Master'!$A$7:$A$1000&lt;&gt;"")*('Product Master'!$P$7:$P$1000="Out of Stock")),ROWS($I$12:I883))),"")</f>
        <v/>
      </c>
      <c r="J883" t="str">
        <f>IF($I883="","",INDEX('Product Master'!$B$7:$B$1000,MATCH($I883,'Product Master'!$A$7:$A$1000,0)))</f>
        <v/>
      </c>
      <c r="K883" t="str">
        <f>IF($I883="","",INDEX('Product Master'!$C$7:$C$1000,MATCH($I883,'Product Master'!$A$7:$A$1000,0)))</f>
        <v/>
      </c>
      <c r="L883" t="str">
        <f>IF($I883="","",INDEX('Product Master'!$M$7:$M$1000,MATCH($I883,'Product Master'!$A$7:$A$1000,0)))</f>
        <v/>
      </c>
      <c r="M883" t="str">
        <f>IF($I883="","",INDEX('Product Master'!$N$7:$N$1000,MATCH($I883,'Product Master'!$A$7:$A$1000,0)))</f>
        <v/>
      </c>
    </row>
    <row r="884" spans="1:13" x14ac:dyDescent="0.3">
      <c r="A884" t="str">
        <f>IFERROR(INDEX('Product Master'!$A$7:$A$1000,_xlfn.AGGREGATE(15,6,(ROW('Product Master'!$A$7:$A$1000)-ROW('Product Master'!$A$7)+1)/(('Product Master'!$A$7:$A$1000&lt;&gt;"")*('Product Master'!$P$7:$P$1000="Low Stock")),ROWS($A$12:A884))),"")</f>
        <v/>
      </c>
      <c r="B884" t="str">
        <f>IF($A884="","",INDEX('Product Master'!$B$7:$B$1000,MATCH($A884,'Product Master'!$A$7:$A$1000,0)))</f>
        <v/>
      </c>
      <c r="C884" t="str">
        <f>IF($A884="","",INDEX('Product Master'!$C$7:$C$1000,MATCH($A884,'Product Master'!$A$7:$A$1000,0)))</f>
        <v/>
      </c>
      <c r="D884" t="str">
        <f>IF($A884="","",INDEX('Product Master'!$M$7:$M$1000,MATCH($A884,'Product Master'!$A$7:$A$1000,0)))</f>
        <v/>
      </c>
      <c r="E884" t="str">
        <f>IF($A884="","",INDEX('Product Master'!$N$7:$N$1000,MATCH($A884,'Product Master'!$A$7:$A$1000,0)))</f>
        <v/>
      </c>
      <c r="F884" t="str">
        <f>IF($A884="","",INDEX('Product Master'!$P$7:$P$1000,MATCH($A884,'Product Master'!$A$7:$A$1000,0)))</f>
        <v/>
      </c>
      <c r="I884" t="str">
        <f>IFERROR(INDEX('Product Master'!$A$7:$A$1000,_xlfn.AGGREGATE(15,6,(ROW('Product Master'!$A$7:$A$1000)-ROW('Product Master'!$A$7)+1)/(('Product Master'!$A$7:$A$1000&lt;&gt;"")*('Product Master'!$P$7:$P$1000="Out of Stock")),ROWS($I$12:I884))),"")</f>
        <v/>
      </c>
      <c r="J884" t="str">
        <f>IF($I884="","",INDEX('Product Master'!$B$7:$B$1000,MATCH($I884,'Product Master'!$A$7:$A$1000,0)))</f>
        <v/>
      </c>
      <c r="K884" t="str">
        <f>IF($I884="","",INDEX('Product Master'!$C$7:$C$1000,MATCH($I884,'Product Master'!$A$7:$A$1000,0)))</f>
        <v/>
      </c>
      <c r="L884" t="str">
        <f>IF($I884="","",INDEX('Product Master'!$M$7:$M$1000,MATCH($I884,'Product Master'!$A$7:$A$1000,0)))</f>
        <v/>
      </c>
      <c r="M884" t="str">
        <f>IF($I884="","",INDEX('Product Master'!$N$7:$N$1000,MATCH($I884,'Product Master'!$A$7:$A$1000,0)))</f>
        <v/>
      </c>
    </row>
    <row r="885" spans="1:13" x14ac:dyDescent="0.3">
      <c r="A885" t="str">
        <f>IFERROR(INDEX('Product Master'!$A$7:$A$1000,_xlfn.AGGREGATE(15,6,(ROW('Product Master'!$A$7:$A$1000)-ROW('Product Master'!$A$7)+1)/(('Product Master'!$A$7:$A$1000&lt;&gt;"")*('Product Master'!$P$7:$P$1000="Low Stock")),ROWS($A$12:A885))),"")</f>
        <v/>
      </c>
      <c r="B885" t="str">
        <f>IF($A885="","",INDEX('Product Master'!$B$7:$B$1000,MATCH($A885,'Product Master'!$A$7:$A$1000,0)))</f>
        <v/>
      </c>
      <c r="C885" t="str">
        <f>IF($A885="","",INDEX('Product Master'!$C$7:$C$1000,MATCH($A885,'Product Master'!$A$7:$A$1000,0)))</f>
        <v/>
      </c>
      <c r="D885" t="str">
        <f>IF($A885="","",INDEX('Product Master'!$M$7:$M$1000,MATCH($A885,'Product Master'!$A$7:$A$1000,0)))</f>
        <v/>
      </c>
      <c r="E885" t="str">
        <f>IF($A885="","",INDEX('Product Master'!$N$7:$N$1000,MATCH($A885,'Product Master'!$A$7:$A$1000,0)))</f>
        <v/>
      </c>
      <c r="F885" t="str">
        <f>IF($A885="","",INDEX('Product Master'!$P$7:$P$1000,MATCH($A885,'Product Master'!$A$7:$A$1000,0)))</f>
        <v/>
      </c>
      <c r="I885" t="str">
        <f>IFERROR(INDEX('Product Master'!$A$7:$A$1000,_xlfn.AGGREGATE(15,6,(ROW('Product Master'!$A$7:$A$1000)-ROW('Product Master'!$A$7)+1)/(('Product Master'!$A$7:$A$1000&lt;&gt;"")*('Product Master'!$P$7:$P$1000="Out of Stock")),ROWS($I$12:I885))),"")</f>
        <v/>
      </c>
      <c r="J885" t="str">
        <f>IF($I885="","",INDEX('Product Master'!$B$7:$B$1000,MATCH($I885,'Product Master'!$A$7:$A$1000,0)))</f>
        <v/>
      </c>
      <c r="K885" t="str">
        <f>IF($I885="","",INDEX('Product Master'!$C$7:$C$1000,MATCH($I885,'Product Master'!$A$7:$A$1000,0)))</f>
        <v/>
      </c>
      <c r="L885" t="str">
        <f>IF($I885="","",INDEX('Product Master'!$M$7:$M$1000,MATCH($I885,'Product Master'!$A$7:$A$1000,0)))</f>
        <v/>
      </c>
      <c r="M885" t="str">
        <f>IF($I885="","",INDEX('Product Master'!$N$7:$N$1000,MATCH($I885,'Product Master'!$A$7:$A$1000,0)))</f>
        <v/>
      </c>
    </row>
    <row r="886" spans="1:13" x14ac:dyDescent="0.3">
      <c r="A886" t="str">
        <f>IFERROR(INDEX('Product Master'!$A$7:$A$1000,_xlfn.AGGREGATE(15,6,(ROW('Product Master'!$A$7:$A$1000)-ROW('Product Master'!$A$7)+1)/(('Product Master'!$A$7:$A$1000&lt;&gt;"")*('Product Master'!$P$7:$P$1000="Low Stock")),ROWS($A$12:A886))),"")</f>
        <v/>
      </c>
      <c r="B886" t="str">
        <f>IF($A886="","",INDEX('Product Master'!$B$7:$B$1000,MATCH($A886,'Product Master'!$A$7:$A$1000,0)))</f>
        <v/>
      </c>
      <c r="C886" t="str">
        <f>IF($A886="","",INDEX('Product Master'!$C$7:$C$1000,MATCH($A886,'Product Master'!$A$7:$A$1000,0)))</f>
        <v/>
      </c>
      <c r="D886" t="str">
        <f>IF($A886="","",INDEX('Product Master'!$M$7:$M$1000,MATCH($A886,'Product Master'!$A$7:$A$1000,0)))</f>
        <v/>
      </c>
      <c r="E886" t="str">
        <f>IF($A886="","",INDEX('Product Master'!$N$7:$N$1000,MATCH($A886,'Product Master'!$A$7:$A$1000,0)))</f>
        <v/>
      </c>
      <c r="F886" t="str">
        <f>IF($A886="","",INDEX('Product Master'!$P$7:$P$1000,MATCH($A886,'Product Master'!$A$7:$A$1000,0)))</f>
        <v/>
      </c>
      <c r="I886" t="str">
        <f>IFERROR(INDEX('Product Master'!$A$7:$A$1000,_xlfn.AGGREGATE(15,6,(ROW('Product Master'!$A$7:$A$1000)-ROW('Product Master'!$A$7)+1)/(('Product Master'!$A$7:$A$1000&lt;&gt;"")*('Product Master'!$P$7:$P$1000="Out of Stock")),ROWS($I$12:I886))),"")</f>
        <v/>
      </c>
      <c r="J886" t="str">
        <f>IF($I886="","",INDEX('Product Master'!$B$7:$B$1000,MATCH($I886,'Product Master'!$A$7:$A$1000,0)))</f>
        <v/>
      </c>
      <c r="K886" t="str">
        <f>IF($I886="","",INDEX('Product Master'!$C$7:$C$1000,MATCH($I886,'Product Master'!$A$7:$A$1000,0)))</f>
        <v/>
      </c>
      <c r="L886" t="str">
        <f>IF($I886="","",INDEX('Product Master'!$M$7:$M$1000,MATCH($I886,'Product Master'!$A$7:$A$1000,0)))</f>
        <v/>
      </c>
      <c r="M886" t="str">
        <f>IF($I886="","",INDEX('Product Master'!$N$7:$N$1000,MATCH($I886,'Product Master'!$A$7:$A$1000,0)))</f>
        <v/>
      </c>
    </row>
    <row r="887" spans="1:13" x14ac:dyDescent="0.3">
      <c r="A887" t="str">
        <f>IFERROR(INDEX('Product Master'!$A$7:$A$1000,_xlfn.AGGREGATE(15,6,(ROW('Product Master'!$A$7:$A$1000)-ROW('Product Master'!$A$7)+1)/(('Product Master'!$A$7:$A$1000&lt;&gt;"")*('Product Master'!$P$7:$P$1000="Low Stock")),ROWS($A$12:A887))),"")</f>
        <v/>
      </c>
      <c r="B887" t="str">
        <f>IF($A887="","",INDEX('Product Master'!$B$7:$B$1000,MATCH($A887,'Product Master'!$A$7:$A$1000,0)))</f>
        <v/>
      </c>
      <c r="C887" t="str">
        <f>IF($A887="","",INDEX('Product Master'!$C$7:$C$1000,MATCH($A887,'Product Master'!$A$7:$A$1000,0)))</f>
        <v/>
      </c>
      <c r="D887" t="str">
        <f>IF($A887="","",INDEX('Product Master'!$M$7:$M$1000,MATCH($A887,'Product Master'!$A$7:$A$1000,0)))</f>
        <v/>
      </c>
      <c r="E887" t="str">
        <f>IF($A887="","",INDEX('Product Master'!$N$7:$N$1000,MATCH($A887,'Product Master'!$A$7:$A$1000,0)))</f>
        <v/>
      </c>
      <c r="F887" t="str">
        <f>IF($A887="","",INDEX('Product Master'!$P$7:$P$1000,MATCH($A887,'Product Master'!$A$7:$A$1000,0)))</f>
        <v/>
      </c>
      <c r="I887" t="str">
        <f>IFERROR(INDEX('Product Master'!$A$7:$A$1000,_xlfn.AGGREGATE(15,6,(ROW('Product Master'!$A$7:$A$1000)-ROW('Product Master'!$A$7)+1)/(('Product Master'!$A$7:$A$1000&lt;&gt;"")*('Product Master'!$P$7:$P$1000="Out of Stock")),ROWS($I$12:I887))),"")</f>
        <v/>
      </c>
      <c r="J887" t="str">
        <f>IF($I887="","",INDEX('Product Master'!$B$7:$B$1000,MATCH($I887,'Product Master'!$A$7:$A$1000,0)))</f>
        <v/>
      </c>
      <c r="K887" t="str">
        <f>IF($I887="","",INDEX('Product Master'!$C$7:$C$1000,MATCH($I887,'Product Master'!$A$7:$A$1000,0)))</f>
        <v/>
      </c>
      <c r="L887" t="str">
        <f>IF($I887="","",INDEX('Product Master'!$M$7:$M$1000,MATCH($I887,'Product Master'!$A$7:$A$1000,0)))</f>
        <v/>
      </c>
      <c r="M887" t="str">
        <f>IF($I887="","",INDEX('Product Master'!$N$7:$N$1000,MATCH($I887,'Product Master'!$A$7:$A$1000,0)))</f>
        <v/>
      </c>
    </row>
    <row r="888" spans="1:13" x14ac:dyDescent="0.3">
      <c r="A888" t="str">
        <f>IFERROR(INDEX('Product Master'!$A$7:$A$1000,_xlfn.AGGREGATE(15,6,(ROW('Product Master'!$A$7:$A$1000)-ROW('Product Master'!$A$7)+1)/(('Product Master'!$A$7:$A$1000&lt;&gt;"")*('Product Master'!$P$7:$P$1000="Low Stock")),ROWS($A$12:A888))),"")</f>
        <v/>
      </c>
      <c r="B888" t="str">
        <f>IF($A888="","",INDEX('Product Master'!$B$7:$B$1000,MATCH($A888,'Product Master'!$A$7:$A$1000,0)))</f>
        <v/>
      </c>
      <c r="C888" t="str">
        <f>IF($A888="","",INDEX('Product Master'!$C$7:$C$1000,MATCH($A888,'Product Master'!$A$7:$A$1000,0)))</f>
        <v/>
      </c>
      <c r="D888" t="str">
        <f>IF($A888="","",INDEX('Product Master'!$M$7:$M$1000,MATCH($A888,'Product Master'!$A$7:$A$1000,0)))</f>
        <v/>
      </c>
      <c r="E888" t="str">
        <f>IF($A888="","",INDEX('Product Master'!$N$7:$N$1000,MATCH($A888,'Product Master'!$A$7:$A$1000,0)))</f>
        <v/>
      </c>
      <c r="F888" t="str">
        <f>IF($A888="","",INDEX('Product Master'!$P$7:$P$1000,MATCH($A888,'Product Master'!$A$7:$A$1000,0)))</f>
        <v/>
      </c>
      <c r="I888" t="str">
        <f>IFERROR(INDEX('Product Master'!$A$7:$A$1000,_xlfn.AGGREGATE(15,6,(ROW('Product Master'!$A$7:$A$1000)-ROW('Product Master'!$A$7)+1)/(('Product Master'!$A$7:$A$1000&lt;&gt;"")*('Product Master'!$P$7:$P$1000="Out of Stock")),ROWS($I$12:I888))),"")</f>
        <v/>
      </c>
      <c r="J888" t="str">
        <f>IF($I888="","",INDEX('Product Master'!$B$7:$B$1000,MATCH($I888,'Product Master'!$A$7:$A$1000,0)))</f>
        <v/>
      </c>
      <c r="K888" t="str">
        <f>IF($I888="","",INDEX('Product Master'!$C$7:$C$1000,MATCH($I888,'Product Master'!$A$7:$A$1000,0)))</f>
        <v/>
      </c>
      <c r="L888" t="str">
        <f>IF($I888="","",INDEX('Product Master'!$M$7:$M$1000,MATCH($I888,'Product Master'!$A$7:$A$1000,0)))</f>
        <v/>
      </c>
      <c r="M888" t="str">
        <f>IF($I888="","",INDEX('Product Master'!$N$7:$N$1000,MATCH($I888,'Product Master'!$A$7:$A$1000,0)))</f>
        <v/>
      </c>
    </row>
    <row r="889" spans="1:13" x14ac:dyDescent="0.3">
      <c r="A889" t="str">
        <f>IFERROR(INDEX('Product Master'!$A$7:$A$1000,_xlfn.AGGREGATE(15,6,(ROW('Product Master'!$A$7:$A$1000)-ROW('Product Master'!$A$7)+1)/(('Product Master'!$A$7:$A$1000&lt;&gt;"")*('Product Master'!$P$7:$P$1000="Low Stock")),ROWS($A$12:A889))),"")</f>
        <v/>
      </c>
      <c r="B889" t="str">
        <f>IF($A889="","",INDEX('Product Master'!$B$7:$B$1000,MATCH($A889,'Product Master'!$A$7:$A$1000,0)))</f>
        <v/>
      </c>
      <c r="C889" t="str">
        <f>IF($A889="","",INDEX('Product Master'!$C$7:$C$1000,MATCH($A889,'Product Master'!$A$7:$A$1000,0)))</f>
        <v/>
      </c>
      <c r="D889" t="str">
        <f>IF($A889="","",INDEX('Product Master'!$M$7:$M$1000,MATCH($A889,'Product Master'!$A$7:$A$1000,0)))</f>
        <v/>
      </c>
      <c r="E889" t="str">
        <f>IF($A889="","",INDEX('Product Master'!$N$7:$N$1000,MATCH($A889,'Product Master'!$A$7:$A$1000,0)))</f>
        <v/>
      </c>
      <c r="F889" t="str">
        <f>IF($A889="","",INDEX('Product Master'!$P$7:$P$1000,MATCH($A889,'Product Master'!$A$7:$A$1000,0)))</f>
        <v/>
      </c>
      <c r="I889" t="str">
        <f>IFERROR(INDEX('Product Master'!$A$7:$A$1000,_xlfn.AGGREGATE(15,6,(ROW('Product Master'!$A$7:$A$1000)-ROW('Product Master'!$A$7)+1)/(('Product Master'!$A$7:$A$1000&lt;&gt;"")*('Product Master'!$P$7:$P$1000="Out of Stock")),ROWS($I$12:I889))),"")</f>
        <v/>
      </c>
      <c r="J889" t="str">
        <f>IF($I889="","",INDEX('Product Master'!$B$7:$B$1000,MATCH($I889,'Product Master'!$A$7:$A$1000,0)))</f>
        <v/>
      </c>
      <c r="K889" t="str">
        <f>IF($I889="","",INDEX('Product Master'!$C$7:$C$1000,MATCH($I889,'Product Master'!$A$7:$A$1000,0)))</f>
        <v/>
      </c>
      <c r="L889" t="str">
        <f>IF($I889="","",INDEX('Product Master'!$M$7:$M$1000,MATCH($I889,'Product Master'!$A$7:$A$1000,0)))</f>
        <v/>
      </c>
      <c r="M889" t="str">
        <f>IF($I889="","",INDEX('Product Master'!$N$7:$N$1000,MATCH($I889,'Product Master'!$A$7:$A$1000,0)))</f>
        <v/>
      </c>
    </row>
    <row r="890" spans="1:13" x14ac:dyDescent="0.3">
      <c r="A890" t="str">
        <f>IFERROR(INDEX('Product Master'!$A$7:$A$1000,_xlfn.AGGREGATE(15,6,(ROW('Product Master'!$A$7:$A$1000)-ROW('Product Master'!$A$7)+1)/(('Product Master'!$A$7:$A$1000&lt;&gt;"")*('Product Master'!$P$7:$P$1000="Low Stock")),ROWS($A$12:A890))),"")</f>
        <v/>
      </c>
      <c r="B890" t="str">
        <f>IF($A890="","",INDEX('Product Master'!$B$7:$B$1000,MATCH($A890,'Product Master'!$A$7:$A$1000,0)))</f>
        <v/>
      </c>
      <c r="C890" t="str">
        <f>IF($A890="","",INDEX('Product Master'!$C$7:$C$1000,MATCH($A890,'Product Master'!$A$7:$A$1000,0)))</f>
        <v/>
      </c>
      <c r="D890" t="str">
        <f>IF($A890="","",INDEX('Product Master'!$M$7:$M$1000,MATCH($A890,'Product Master'!$A$7:$A$1000,0)))</f>
        <v/>
      </c>
      <c r="E890" t="str">
        <f>IF($A890="","",INDEX('Product Master'!$N$7:$N$1000,MATCH($A890,'Product Master'!$A$7:$A$1000,0)))</f>
        <v/>
      </c>
      <c r="F890" t="str">
        <f>IF($A890="","",INDEX('Product Master'!$P$7:$P$1000,MATCH($A890,'Product Master'!$A$7:$A$1000,0)))</f>
        <v/>
      </c>
      <c r="I890" t="str">
        <f>IFERROR(INDEX('Product Master'!$A$7:$A$1000,_xlfn.AGGREGATE(15,6,(ROW('Product Master'!$A$7:$A$1000)-ROW('Product Master'!$A$7)+1)/(('Product Master'!$A$7:$A$1000&lt;&gt;"")*('Product Master'!$P$7:$P$1000="Out of Stock")),ROWS($I$12:I890))),"")</f>
        <v/>
      </c>
      <c r="J890" t="str">
        <f>IF($I890="","",INDEX('Product Master'!$B$7:$B$1000,MATCH($I890,'Product Master'!$A$7:$A$1000,0)))</f>
        <v/>
      </c>
      <c r="K890" t="str">
        <f>IF($I890="","",INDEX('Product Master'!$C$7:$C$1000,MATCH($I890,'Product Master'!$A$7:$A$1000,0)))</f>
        <v/>
      </c>
      <c r="L890" t="str">
        <f>IF($I890="","",INDEX('Product Master'!$M$7:$M$1000,MATCH($I890,'Product Master'!$A$7:$A$1000,0)))</f>
        <v/>
      </c>
      <c r="M890" t="str">
        <f>IF($I890="","",INDEX('Product Master'!$N$7:$N$1000,MATCH($I890,'Product Master'!$A$7:$A$1000,0)))</f>
        <v/>
      </c>
    </row>
    <row r="891" spans="1:13" x14ac:dyDescent="0.3">
      <c r="A891" t="str">
        <f>IFERROR(INDEX('Product Master'!$A$7:$A$1000,_xlfn.AGGREGATE(15,6,(ROW('Product Master'!$A$7:$A$1000)-ROW('Product Master'!$A$7)+1)/(('Product Master'!$A$7:$A$1000&lt;&gt;"")*('Product Master'!$P$7:$P$1000="Low Stock")),ROWS($A$12:A891))),"")</f>
        <v/>
      </c>
      <c r="B891" t="str">
        <f>IF($A891="","",INDEX('Product Master'!$B$7:$B$1000,MATCH($A891,'Product Master'!$A$7:$A$1000,0)))</f>
        <v/>
      </c>
      <c r="C891" t="str">
        <f>IF($A891="","",INDEX('Product Master'!$C$7:$C$1000,MATCH($A891,'Product Master'!$A$7:$A$1000,0)))</f>
        <v/>
      </c>
      <c r="D891" t="str">
        <f>IF($A891="","",INDEX('Product Master'!$M$7:$M$1000,MATCH($A891,'Product Master'!$A$7:$A$1000,0)))</f>
        <v/>
      </c>
      <c r="E891" t="str">
        <f>IF($A891="","",INDEX('Product Master'!$N$7:$N$1000,MATCH($A891,'Product Master'!$A$7:$A$1000,0)))</f>
        <v/>
      </c>
      <c r="F891" t="str">
        <f>IF($A891="","",INDEX('Product Master'!$P$7:$P$1000,MATCH($A891,'Product Master'!$A$7:$A$1000,0)))</f>
        <v/>
      </c>
      <c r="I891" t="str">
        <f>IFERROR(INDEX('Product Master'!$A$7:$A$1000,_xlfn.AGGREGATE(15,6,(ROW('Product Master'!$A$7:$A$1000)-ROW('Product Master'!$A$7)+1)/(('Product Master'!$A$7:$A$1000&lt;&gt;"")*('Product Master'!$P$7:$P$1000="Out of Stock")),ROWS($I$12:I891))),"")</f>
        <v/>
      </c>
      <c r="J891" t="str">
        <f>IF($I891="","",INDEX('Product Master'!$B$7:$B$1000,MATCH($I891,'Product Master'!$A$7:$A$1000,0)))</f>
        <v/>
      </c>
      <c r="K891" t="str">
        <f>IF($I891="","",INDEX('Product Master'!$C$7:$C$1000,MATCH($I891,'Product Master'!$A$7:$A$1000,0)))</f>
        <v/>
      </c>
      <c r="L891" t="str">
        <f>IF($I891="","",INDEX('Product Master'!$M$7:$M$1000,MATCH($I891,'Product Master'!$A$7:$A$1000,0)))</f>
        <v/>
      </c>
      <c r="M891" t="str">
        <f>IF($I891="","",INDEX('Product Master'!$N$7:$N$1000,MATCH($I891,'Product Master'!$A$7:$A$1000,0)))</f>
        <v/>
      </c>
    </row>
    <row r="892" spans="1:13" x14ac:dyDescent="0.3">
      <c r="A892" t="str">
        <f>IFERROR(INDEX('Product Master'!$A$7:$A$1000,_xlfn.AGGREGATE(15,6,(ROW('Product Master'!$A$7:$A$1000)-ROW('Product Master'!$A$7)+1)/(('Product Master'!$A$7:$A$1000&lt;&gt;"")*('Product Master'!$P$7:$P$1000="Low Stock")),ROWS($A$12:A892))),"")</f>
        <v/>
      </c>
      <c r="B892" t="str">
        <f>IF($A892="","",INDEX('Product Master'!$B$7:$B$1000,MATCH($A892,'Product Master'!$A$7:$A$1000,0)))</f>
        <v/>
      </c>
      <c r="C892" t="str">
        <f>IF($A892="","",INDEX('Product Master'!$C$7:$C$1000,MATCH($A892,'Product Master'!$A$7:$A$1000,0)))</f>
        <v/>
      </c>
      <c r="D892" t="str">
        <f>IF($A892="","",INDEX('Product Master'!$M$7:$M$1000,MATCH($A892,'Product Master'!$A$7:$A$1000,0)))</f>
        <v/>
      </c>
      <c r="E892" t="str">
        <f>IF($A892="","",INDEX('Product Master'!$N$7:$N$1000,MATCH($A892,'Product Master'!$A$7:$A$1000,0)))</f>
        <v/>
      </c>
      <c r="F892" t="str">
        <f>IF($A892="","",INDEX('Product Master'!$P$7:$P$1000,MATCH($A892,'Product Master'!$A$7:$A$1000,0)))</f>
        <v/>
      </c>
      <c r="I892" t="str">
        <f>IFERROR(INDEX('Product Master'!$A$7:$A$1000,_xlfn.AGGREGATE(15,6,(ROW('Product Master'!$A$7:$A$1000)-ROW('Product Master'!$A$7)+1)/(('Product Master'!$A$7:$A$1000&lt;&gt;"")*('Product Master'!$P$7:$P$1000="Out of Stock")),ROWS($I$12:I892))),"")</f>
        <v/>
      </c>
      <c r="J892" t="str">
        <f>IF($I892="","",INDEX('Product Master'!$B$7:$B$1000,MATCH($I892,'Product Master'!$A$7:$A$1000,0)))</f>
        <v/>
      </c>
      <c r="K892" t="str">
        <f>IF($I892="","",INDEX('Product Master'!$C$7:$C$1000,MATCH($I892,'Product Master'!$A$7:$A$1000,0)))</f>
        <v/>
      </c>
      <c r="L892" t="str">
        <f>IF($I892="","",INDEX('Product Master'!$M$7:$M$1000,MATCH($I892,'Product Master'!$A$7:$A$1000,0)))</f>
        <v/>
      </c>
      <c r="M892" t="str">
        <f>IF($I892="","",INDEX('Product Master'!$N$7:$N$1000,MATCH($I892,'Product Master'!$A$7:$A$1000,0)))</f>
        <v/>
      </c>
    </row>
    <row r="893" spans="1:13" x14ac:dyDescent="0.3">
      <c r="A893" t="str">
        <f>IFERROR(INDEX('Product Master'!$A$7:$A$1000,_xlfn.AGGREGATE(15,6,(ROW('Product Master'!$A$7:$A$1000)-ROW('Product Master'!$A$7)+1)/(('Product Master'!$A$7:$A$1000&lt;&gt;"")*('Product Master'!$P$7:$P$1000="Low Stock")),ROWS($A$12:A893))),"")</f>
        <v/>
      </c>
      <c r="B893" t="str">
        <f>IF($A893="","",INDEX('Product Master'!$B$7:$B$1000,MATCH($A893,'Product Master'!$A$7:$A$1000,0)))</f>
        <v/>
      </c>
      <c r="C893" t="str">
        <f>IF($A893="","",INDEX('Product Master'!$C$7:$C$1000,MATCH($A893,'Product Master'!$A$7:$A$1000,0)))</f>
        <v/>
      </c>
      <c r="D893" t="str">
        <f>IF($A893="","",INDEX('Product Master'!$M$7:$M$1000,MATCH($A893,'Product Master'!$A$7:$A$1000,0)))</f>
        <v/>
      </c>
      <c r="E893" t="str">
        <f>IF($A893="","",INDEX('Product Master'!$N$7:$N$1000,MATCH($A893,'Product Master'!$A$7:$A$1000,0)))</f>
        <v/>
      </c>
      <c r="F893" t="str">
        <f>IF($A893="","",INDEX('Product Master'!$P$7:$P$1000,MATCH($A893,'Product Master'!$A$7:$A$1000,0)))</f>
        <v/>
      </c>
      <c r="I893" t="str">
        <f>IFERROR(INDEX('Product Master'!$A$7:$A$1000,_xlfn.AGGREGATE(15,6,(ROW('Product Master'!$A$7:$A$1000)-ROW('Product Master'!$A$7)+1)/(('Product Master'!$A$7:$A$1000&lt;&gt;"")*('Product Master'!$P$7:$P$1000="Out of Stock")),ROWS($I$12:I893))),"")</f>
        <v/>
      </c>
      <c r="J893" t="str">
        <f>IF($I893="","",INDEX('Product Master'!$B$7:$B$1000,MATCH($I893,'Product Master'!$A$7:$A$1000,0)))</f>
        <v/>
      </c>
      <c r="K893" t="str">
        <f>IF($I893="","",INDEX('Product Master'!$C$7:$C$1000,MATCH($I893,'Product Master'!$A$7:$A$1000,0)))</f>
        <v/>
      </c>
      <c r="L893" t="str">
        <f>IF($I893="","",INDEX('Product Master'!$M$7:$M$1000,MATCH($I893,'Product Master'!$A$7:$A$1000,0)))</f>
        <v/>
      </c>
      <c r="M893" t="str">
        <f>IF($I893="","",INDEX('Product Master'!$N$7:$N$1000,MATCH($I893,'Product Master'!$A$7:$A$1000,0)))</f>
        <v/>
      </c>
    </row>
    <row r="894" spans="1:13" x14ac:dyDescent="0.3">
      <c r="A894" t="str">
        <f>IFERROR(INDEX('Product Master'!$A$7:$A$1000,_xlfn.AGGREGATE(15,6,(ROW('Product Master'!$A$7:$A$1000)-ROW('Product Master'!$A$7)+1)/(('Product Master'!$A$7:$A$1000&lt;&gt;"")*('Product Master'!$P$7:$P$1000="Low Stock")),ROWS($A$12:A894))),"")</f>
        <v/>
      </c>
      <c r="B894" t="str">
        <f>IF($A894="","",INDEX('Product Master'!$B$7:$B$1000,MATCH($A894,'Product Master'!$A$7:$A$1000,0)))</f>
        <v/>
      </c>
      <c r="C894" t="str">
        <f>IF($A894="","",INDEX('Product Master'!$C$7:$C$1000,MATCH($A894,'Product Master'!$A$7:$A$1000,0)))</f>
        <v/>
      </c>
      <c r="D894" t="str">
        <f>IF($A894="","",INDEX('Product Master'!$M$7:$M$1000,MATCH($A894,'Product Master'!$A$7:$A$1000,0)))</f>
        <v/>
      </c>
      <c r="E894" t="str">
        <f>IF($A894="","",INDEX('Product Master'!$N$7:$N$1000,MATCH($A894,'Product Master'!$A$7:$A$1000,0)))</f>
        <v/>
      </c>
      <c r="F894" t="str">
        <f>IF($A894="","",INDEX('Product Master'!$P$7:$P$1000,MATCH($A894,'Product Master'!$A$7:$A$1000,0)))</f>
        <v/>
      </c>
      <c r="I894" t="str">
        <f>IFERROR(INDEX('Product Master'!$A$7:$A$1000,_xlfn.AGGREGATE(15,6,(ROW('Product Master'!$A$7:$A$1000)-ROW('Product Master'!$A$7)+1)/(('Product Master'!$A$7:$A$1000&lt;&gt;"")*('Product Master'!$P$7:$P$1000="Out of Stock")),ROWS($I$12:I894))),"")</f>
        <v/>
      </c>
      <c r="J894" t="str">
        <f>IF($I894="","",INDEX('Product Master'!$B$7:$B$1000,MATCH($I894,'Product Master'!$A$7:$A$1000,0)))</f>
        <v/>
      </c>
      <c r="K894" t="str">
        <f>IF($I894="","",INDEX('Product Master'!$C$7:$C$1000,MATCH($I894,'Product Master'!$A$7:$A$1000,0)))</f>
        <v/>
      </c>
      <c r="L894" t="str">
        <f>IF($I894="","",INDEX('Product Master'!$M$7:$M$1000,MATCH($I894,'Product Master'!$A$7:$A$1000,0)))</f>
        <v/>
      </c>
      <c r="M894" t="str">
        <f>IF($I894="","",INDEX('Product Master'!$N$7:$N$1000,MATCH($I894,'Product Master'!$A$7:$A$1000,0)))</f>
        <v/>
      </c>
    </row>
    <row r="895" spans="1:13" x14ac:dyDescent="0.3">
      <c r="A895" t="str">
        <f>IFERROR(INDEX('Product Master'!$A$7:$A$1000,_xlfn.AGGREGATE(15,6,(ROW('Product Master'!$A$7:$A$1000)-ROW('Product Master'!$A$7)+1)/(('Product Master'!$A$7:$A$1000&lt;&gt;"")*('Product Master'!$P$7:$P$1000="Low Stock")),ROWS($A$12:A895))),"")</f>
        <v/>
      </c>
      <c r="B895" t="str">
        <f>IF($A895="","",INDEX('Product Master'!$B$7:$B$1000,MATCH($A895,'Product Master'!$A$7:$A$1000,0)))</f>
        <v/>
      </c>
      <c r="C895" t="str">
        <f>IF($A895="","",INDEX('Product Master'!$C$7:$C$1000,MATCH($A895,'Product Master'!$A$7:$A$1000,0)))</f>
        <v/>
      </c>
      <c r="D895" t="str">
        <f>IF($A895="","",INDEX('Product Master'!$M$7:$M$1000,MATCH($A895,'Product Master'!$A$7:$A$1000,0)))</f>
        <v/>
      </c>
      <c r="E895" t="str">
        <f>IF($A895="","",INDEX('Product Master'!$N$7:$N$1000,MATCH($A895,'Product Master'!$A$7:$A$1000,0)))</f>
        <v/>
      </c>
      <c r="F895" t="str">
        <f>IF($A895="","",INDEX('Product Master'!$P$7:$P$1000,MATCH($A895,'Product Master'!$A$7:$A$1000,0)))</f>
        <v/>
      </c>
      <c r="I895" t="str">
        <f>IFERROR(INDEX('Product Master'!$A$7:$A$1000,_xlfn.AGGREGATE(15,6,(ROW('Product Master'!$A$7:$A$1000)-ROW('Product Master'!$A$7)+1)/(('Product Master'!$A$7:$A$1000&lt;&gt;"")*('Product Master'!$P$7:$P$1000="Out of Stock")),ROWS($I$12:I895))),"")</f>
        <v/>
      </c>
      <c r="J895" t="str">
        <f>IF($I895="","",INDEX('Product Master'!$B$7:$B$1000,MATCH($I895,'Product Master'!$A$7:$A$1000,0)))</f>
        <v/>
      </c>
      <c r="K895" t="str">
        <f>IF($I895="","",INDEX('Product Master'!$C$7:$C$1000,MATCH($I895,'Product Master'!$A$7:$A$1000,0)))</f>
        <v/>
      </c>
      <c r="L895" t="str">
        <f>IF($I895="","",INDEX('Product Master'!$M$7:$M$1000,MATCH($I895,'Product Master'!$A$7:$A$1000,0)))</f>
        <v/>
      </c>
      <c r="M895" t="str">
        <f>IF($I895="","",INDEX('Product Master'!$N$7:$N$1000,MATCH($I895,'Product Master'!$A$7:$A$1000,0)))</f>
        <v/>
      </c>
    </row>
    <row r="896" spans="1:13" x14ac:dyDescent="0.3">
      <c r="A896" t="str">
        <f>IFERROR(INDEX('Product Master'!$A$7:$A$1000,_xlfn.AGGREGATE(15,6,(ROW('Product Master'!$A$7:$A$1000)-ROW('Product Master'!$A$7)+1)/(('Product Master'!$A$7:$A$1000&lt;&gt;"")*('Product Master'!$P$7:$P$1000="Low Stock")),ROWS($A$12:A896))),"")</f>
        <v/>
      </c>
      <c r="B896" t="str">
        <f>IF($A896="","",INDEX('Product Master'!$B$7:$B$1000,MATCH($A896,'Product Master'!$A$7:$A$1000,0)))</f>
        <v/>
      </c>
      <c r="C896" t="str">
        <f>IF($A896="","",INDEX('Product Master'!$C$7:$C$1000,MATCH($A896,'Product Master'!$A$7:$A$1000,0)))</f>
        <v/>
      </c>
      <c r="D896" t="str">
        <f>IF($A896="","",INDEX('Product Master'!$M$7:$M$1000,MATCH($A896,'Product Master'!$A$7:$A$1000,0)))</f>
        <v/>
      </c>
      <c r="E896" t="str">
        <f>IF($A896="","",INDEX('Product Master'!$N$7:$N$1000,MATCH($A896,'Product Master'!$A$7:$A$1000,0)))</f>
        <v/>
      </c>
      <c r="F896" t="str">
        <f>IF($A896="","",INDEX('Product Master'!$P$7:$P$1000,MATCH($A896,'Product Master'!$A$7:$A$1000,0)))</f>
        <v/>
      </c>
      <c r="I896" t="str">
        <f>IFERROR(INDEX('Product Master'!$A$7:$A$1000,_xlfn.AGGREGATE(15,6,(ROW('Product Master'!$A$7:$A$1000)-ROW('Product Master'!$A$7)+1)/(('Product Master'!$A$7:$A$1000&lt;&gt;"")*('Product Master'!$P$7:$P$1000="Out of Stock")),ROWS($I$12:I896))),"")</f>
        <v/>
      </c>
      <c r="J896" t="str">
        <f>IF($I896="","",INDEX('Product Master'!$B$7:$B$1000,MATCH($I896,'Product Master'!$A$7:$A$1000,0)))</f>
        <v/>
      </c>
      <c r="K896" t="str">
        <f>IF($I896="","",INDEX('Product Master'!$C$7:$C$1000,MATCH($I896,'Product Master'!$A$7:$A$1000,0)))</f>
        <v/>
      </c>
      <c r="L896" t="str">
        <f>IF($I896="","",INDEX('Product Master'!$M$7:$M$1000,MATCH($I896,'Product Master'!$A$7:$A$1000,0)))</f>
        <v/>
      </c>
      <c r="M896" t="str">
        <f>IF($I896="","",INDEX('Product Master'!$N$7:$N$1000,MATCH($I896,'Product Master'!$A$7:$A$1000,0)))</f>
        <v/>
      </c>
    </row>
    <row r="897" spans="1:13" x14ac:dyDescent="0.3">
      <c r="A897" t="str">
        <f>IFERROR(INDEX('Product Master'!$A$7:$A$1000,_xlfn.AGGREGATE(15,6,(ROW('Product Master'!$A$7:$A$1000)-ROW('Product Master'!$A$7)+1)/(('Product Master'!$A$7:$A$1000&lt;&gt;"")*('Product Master'!$P$7:$P$1000="Low Stock")),ROWS($A$12:A897))),"")</f>
        <v/>
      </c>
      <c r="B897" t="str">
        <f>IF($A897="","",INDEX('Product Master'!$B$7:$B$1000,MATCH($A897,'Product Master'!$A$7:$A$1000,0)))</f>
        <v/>
      </c>
      <c r="C897" t="str">
        <f>IF($A897="","",INDEX('Product Master'!$C$7:$C$1000,MATCH($A897,'Product Master'!$A$7:$A$1000,0)))</f>
        <v/>
      </c>
      <c r="D897" t="str">
        <f>IF($A897="","",INDEX('Product Master'!$M$7:$M$1000,MATCH($A897,'Product Master'!$A$7:$A$1000,0)))</f>
        <v/>
      </c>
      <c r="E897" t="str">
        <f>IF($A897="","",INDEX('Product Master'!$N$7:$N$1000,MATCH($A897,'Product Master'!$A$7:$A$1000,0)))</f>
        <v/>
      </c>
      <c r="F897" t="str">
        <f>IF($A897="","",INDEX('Product Master'!$P$7:$P$1000,MATCH($A897,'Product Master'!$A$7:$A$1000,0)))</f>
        <v/>
      </c>
      <c r="I897" t="str">
        <f>IFERROR(INDEX('Product Master'!$A$7:$A$1000,_xlfn.AGGREGATE(15,6,(ROW('Product Master'!$A$7:$A$1000)-ROW('Product Master'!$A$7)+1)/(('Product Master'!$A$7:$A$1000&lt;&gt;"")*('Product Master'!$P$7:$P$1000="Out of Stock")),ROWS($I$12:I897))),"")</f>
        <v/>
      </c>
      <c r="J897" t="str">
        <f>IF($I897="","",INDEX('Product Master'!$B$7:$B$1000,MATCH($I897,'Product Master'!$A$7:$A$1000,0)))</f>
        <v/>
      </c>
      <c r="K897" t="str">
        <f>IF($I897="","",INDEX('Product Master'!$C$7:$C$1000,MATCH($I897,'Product Master'!$A$7:$A$1000,0)))</f>
        <v/>
      </c>
      <c r="L897" t="str">
        <f>IF($I897="","",INDEX('Product Master'!$M$7:$M$1000,MATCH($I897,'Product Master'!$A$7:$A$1000,0)))</f>
        <v/>
      </c>
      <c r="M897" t="str">
        <f>IF($I897="","",INDEX('Product Master'!$N$7:$N$1000,MATCH($I897,'Product Master'!$A$7:$A$1000,0)))</f>
        <v/>
      </c>
    </row>
    <row r="898" spans="1:13" x14ac:dyDescent="0.3">
      <c r="A898" t="str">
        <f>IFERROR(INDEX('Product Master'!$A$7:$A$1000,_xlfn.AGGREGATE(15,6,(ROW('Product Master'!$A$7:$A$1000)-ROW('Product Master'!$A$7)+1)/(('Product Master'!$A$7:$A$1000&lt;&gt;"")*('Product Master'!$P$7:$P$1000="Low Stock")),ROWS($A$12:A898))),"")</f>
        <v/>
      </c>
      <c r="B898" t="str">
        <f>IF($A898="","",INDEX('Product Master'!$B$7:$B$1000,MATCH($A898,'Product Master'!$A$7:$A$1000,0)))</f>
        <v/>
      </c>
      <c r="C898" t="str">
        <f>IF($A898="","",INDEX('Product Master'!$C$7:$C$1000,MATCH($A898,'Product Master'!$A$7:$A$1000,0)))</f>
        <v/>
      </c>
      <c r="D898" t="str">
        <f>IF($A898="","",INDEX('Product Master'!$M$7:$M$1000,MATCH($A898,'Product Master'!$A$7:$A$1000,0)))</f>
        <v/>
      </c>
      <c r="E898" t="str">
        <f>IF($A898="","",INDEX('Product Master'!$N$7:$N$1000,MATCH($A898,'Product Master'!$A$7:$A$1000,0)))</f>
        <v/>
      </c>
      <c r="F898" t="str">
        <f>IF($A898="","",INDEX('Product Master'!$P$7:$P$1000,MATCH($A898,'Product Master'!$A$7:$A$1000,0)))</f>
        <v/>
      </c>
      <c r="I898" t="str">
        <f>IFERROR(INDEX('Product Master'!$A$7:$A$1000,_xlfn.AGGREGATE(15,6,(ROW('Product Master'!$A$7:$A$1000)-ROW('Product Master'!$A$7)+1)/(('Product Master'!$A$7:$A$1000&lt;&gt;"")*('Product Master'!$P$7:$P$1000="Out of Stock")),ROWS($I$12:I898))),"")</f>
        <v/>
      </c>
      <c r="J898" t="str">
        <f>IF($I898="","",INDEX('Product Master'!$B$7:$B$1000,MATCH($I898,'Product Master'!$A$7:$A$1000,0)))</f>
        <v/>
      </c>
      <c r="K898" t="str">
        <f>IF($I898="","",INDEX('Product Master'!$C$7:$C$1000,MATCH($I898,'Product Master'!$A$7:$A$1000,0)))</f>
        <v/>
      </c>
      <c r="L898" t="str">
        <f>IF($I898="","",INDEX('Product Master'!$M$7:$M$1000,MATCH($I898,'Product Master'!$A$7:$A$1000,0)))</f>
        <v/>
      </c>
      <c r="M898" t="str">
        <f>IF($I898="","",INDEX('Product Master'!$N$7:$N$1000,MATCH($I898,'Product Master'!$A$7:$A$1000,0)))</f>
        <v/>
      </c>
    </row>
    <row r="899" spans="1:13" x14ac:dyDescent="0.3">
      <c r="A899" t="str">
        <f>IFERROR(INDEX('Product Master'!$A$7:$A$1000,_xlfn.AGGREGATE(15,6,(ROW('Product Master'!$A$7:$A$1000)-ROW('Product Master'!$A$7)+1)/(('Product Master'!$A$7:$A$1000&lt;&gt;"")*('Product Master'!$P$7:$P$1000="Low Stock")),ROWS($A$12:A899))),"")</f>
        <v/>
      </c>
      <c r="B899" t="str">
        <f>IF($A899="","",INDEX('Product Master'!$B$7:$B$1000,MATCH($A899,'Product Master'!$A$7:$A$1000,0)))</f>
        <v/>
      </c>
      <c r="C899" t="str">
        <f>IF($A899="","",INDEX('Product Master'!$C$7:$C$1000,MATCH($A899,'Product Master'!$A$7:$A$1000,0)))</f>
        <v/>
      </c>
      <c r="D899" t="str">
        <f>IF($A899="","",INDEX('Product Master'!$M$7:$M$1000,MATCH($A899,'Product Master'!$A$7:$A$1000,0)))</f>
        <v/>
      </c>
      <c r="E899" t="str">
        <f>IF($A899="","",INDEX('Product Master'!$N$7:$N$1000,MATCH($A899,'Product Master'!$A$7:$A$1000,0)))</f>
        <v/>
      </c>
      <c r="F899" t="str">
        <f>IF($A899="","",INDEX('Product Master'!$P$7:$P$1000,MATCH($A899,'Product Master'!$A$7:$A$1000,0)))</f>
        <v/>
      </c>
      <c r="I899" t="str">
        <f>IFERROR(INDEX('Product Master'!$A$7:$A$1000,_xlfn.AGGREGATE(15,6,(ROW('Product Master'!$A$7:$A$1000)-ROW('Product Master'!$A$7)+1)/(('Product Master'!$A$7:$A$1000&lt;&gt;"")*('Product Master'!$P$7:$P$1000="Out of Stock")),ROWS($I$12:I899))),"")</f>
        <v/>
      </c>
      <c r="J899" t="str">
        <f>IF($I899="","",INDEX('Product Master'!$B$7:$B$1000,MATCH($I899,'Product Master'!$A$7:$A$1000,0)))</f>
        <v/>
      </c>
      <c r="K899" t="str">
        <f>IF($I899="","",INDEX('Product Master'!$C$7:$C$1000,MATCH($I899,'Product Master'!$A$7:$A$1000,0)))</f>
        <v/>
      </c>
      <c r="L899" t="str">
        <f>IF($I899="","",INDEX('Product Master'!$M$7:$M$1000,MATCH($I899,'Product Master'!$A$7:$A$1000,0)))</f>
        <v/>
      </c>
      <c r="M899" t="str">
        <f>IF($I899="","",INDEX('Product Master'!$N$7:$N$1000,MATCH($I899,'Product Master'!$A$7:$A$1000,0)))</f>
        <v/>
      </c>
    </row>
    <row r="900" spans="1:13" x14ac:dyDescent="0.3">
      <c r="A900" t="str">
        <f>IFERROR(INDEX('Product Master'!$A$7:$A$1000,_xlfn.AGGREGATE(15,6,(ROW('Product Master'!$A$7:$A$1000)-ROW('Product Master'!$A$7)+1)/(('Product Master'!$A$7:$A$1000&lt;&gt;"")*('Product Master'!$P$7:$P$1000="Low Stock")),ROWS($A$12:A900))),"")</f>
        <v/>
      </c>
      <c r="B900" t="str">
        <f>IF($A900="","",INDEX('Product Master'!$B$7:$B$1000,MATCH($A900,'Product Master'!$A$7:$A$1000,0)))</f>
        <v/>
      </c>
      <c r="C900" t="str">
        <f>IF($A900="","",INDEX('Product Master'!$C$7:$C$1000,MATCH($A900,'Product Master'!$A$7:$A$1000,0)))</f>
        <v/>
      </c>
      <c r="D900" t="str">
        <f>IF($A900="","",INDEX('Product Master'!$M$7:$M$1000,MATCH($A900,'Product Master'!$A$7:$A$1000,0)))</f>
        <v/>
      </c>
      <c r="E900" t="str">
        <f>IF($A900="","",INDEX('Product Master'!$N$7:$N$1000,MATCH($A900,'Product Master'!$A$7:$A$1000,0)))</f>
        <v/>
      </c>
      <c r="F900" t="str">
        <f>IF($A900="","",INDEX('Product Master'!$P$7:$P$1000,MATCH($A900,'Product Master'!$A$7:$A$1000,0)))</f>
        <v/>
      </c>
      <c r="I900" t="str">
        <f>IFERROR(INDEX('Product Master'!$A$7:$A$1000,_xlfn.AGGREGATE(15,6,(ROW('Product Master'!$A$7:$A$1000)-ROW('Product Master'!$A$7)+1)/(('Product Master'!$A$7:$A$1000&lt;&gt;"")*('Product Master'!$P$7:$P$1000="Out of Stock")),ROWS($I$12:I900))),"")</f>
        <v/>
      </c>
      <c r="J900" t="str">
        <f>IF($I900="","",INDEX('Product Master'!$B$7:$B$1000,MATCH($I900,'Product Master'!$A$7:$A$1000,0)))</f>
        <v/>
      </c>
      <c r="K900" t="str">
        <f>IF($I900="","",INDEX('Product Master'!$C$7:$C$1000,MATCH($I900,'Product Master'!$A$7:$A$1000,0)))</f>
        <v/>
      </c>
      <c r="L900" t="str">
        <f>IF($I900="","",INDEX('Product Master'!$M$7:$M$1000,MATCH($I900,'Product Master'!$A$7:$A$1000,0)))</f>
        <v/>
      </c>
      <c r="M900" t="str">
        <f>IF($I900="","",INDEX('Product Master'!$N$7:$N$1000,MATCH($I900,'Product Master'!$A$7:$A$1000,0)))</f>
        <v/>
      </c>
    </row>
    <row r="901" spans="1:13" x14ac:dyDescent="0.3">
      <c r="A901" t="str">
        <f>IFERROR(INDEX('Product Master'!$A$7:$A$1000,_xlfn.AGGREGATE(15,6,(ROW('Product Master'!$A$7:$A$1000)-ROW('Product Master'!$A$7)+1)/(('Product Master'!$A$7:$A$1000&lt;&gt;"")*('Product Master'!$P$7:$P$1000="Low Stock")),ROWS($A$12:A901))),"")</f>
        <v/>
      </c>
      <c r="B901" t="str">
        <f>IF($A901="","",INDEX('Product Master'!$B$7:$B$1000,MATCH($A901,'Product Master'!$A$7:$A$1000,0)))</f>
        <v/>
      </c>
      <c r="C901" t="str">
        <f>IF($A901="","",INDEX('Product Master'!$C$7:$C$1000,MATCH($A901,'Product Master'!$A$7:$A$1000,0)))</f>
        <v/>
      </c>
      <c r="D901" t="str">
        <f>IF($A901="","",INDEX('Product Master'!$M$7:$M$1000,MATCH($A901,'Product Master'!$A$7:$A$1000,0)))</f>
        <v/>
      </c>
      <c r="E901" t="str">
        <f>IF($A901="","",INDEX('Product Master'!$N$7:$N$1000,MATCH($A901,'Product Master'!$A$7:$A$1000,0)))</f>
        <v/>
      </c>
      <c r="F901" t="str">
        <f>IF($A901="","",INDEX('Product Master'!$P$7:$P$1000,MATCH($A901,'Product Master'!$A$7:$A$1000,0)))</f>
        <v/>
      </c>
      <c r="I901" t="str">
        <f>IFERROR(INDEX('Product Master'!$A$7:$A$1000,_xlfn.AGGREGATE(15,6,(ROW('Product Master'!$A$7:$A$1000)-ROW('Product Master'!$A$7)+1)/(('Product Master'!$A$7:$A$1000&lt;&gt;"")*('Product Master'!$P$7:$P$1000="Out of Stock")),ROWS($I$12:I901))),"")</f>
        <v/>
      </c>
      <c r="J901" t="str">
        <f>IF($I901="","",INDEX('Product Master'!$B$7:$B$1000,MATCH($I901,'Product Master'!$A$7:$A$1000,0)))</f>
        <v/>
      </c>
      <c r="K901" t="str">
        <f>IF($I901="","",INDEX('Product Master'!$C$7:$C$1000,MATCH($I901,'Product Master'!$A$7:$A$1000,0)))</f>
        <v/>
      </c>
      <c r="L901" t="str">
        <f>IF($I901="","",INDEX('Product Master'!$M$7:$M$1000,MATCH($I901,'Product Master'!$A$7:$A$1000,0)))</f>
        <v/>
      </c>
      <c r="M901" t="str">
        <f>IF($I901="","",INDEX('Product Master'!$N$7:$N$1000,MATCH($I901,'Product Master'!$A$7:$A$1000,0)))</f>
        <v/>
      </c>
    </row>
    <row r="902" spans="1:13" x14ac:dyDescent="0.3">
      <c r="A902" t="str">
        <f>IFERROR(INDEX('Product Master'!$A$7:$A$1000,_xlfn.AGGREGATE(15,6,(ROW('Product Master'!$A$7:$A$1000)-ROW('Product Master'!$A$7)+1)/(('Product Master'!$A$7:$A$1000&lt;&gt;"")*('Product Master'!$P$7:$P$1000="Low Stock")),ROWS($A$12:A902))),"")</f>
        <v/>
      </c>
      <c r="B902" t="str">
        <f>IF($A902="","",INDEX('Product Master'!$B$7:$B$1000,MATCH($A902,'Product Master'!$A$7:$A$1000,0)))</f>
        <v/>
      </c>
      <c r="C902" t="str">
        <f>IF($A902="","",INDEX('Product Master'!$C$7:$C$1000,MATCH($A902,'Product Master'!$A$7:$A$1000,0)))</f>
        <v/>
      </c>
      <c r="D902" t="str">
        <f>IF($A902="","",INDEX('Product Master'!$M$7:$M$1000,MATCH($A902,'Product Master'!$A$7:$A$1000,0)))</f>
        <v/>
      </c>
      <c r="E902" t="str">
        <f>IF($A902="","",INDEX('Product Master'!$N$7:$N$1000,MATCH($A902,'Product Master'!$A$7:$A$1000,0)))</f>
        <v/>
      </c>
      <c r="F902" t="str">
        <f>IF($A902="","",INDEX('Product Master'!$P$7:$P$1000,MATCH($A902,'Product Master'!$A$7:$A$1000,0)))</f>
        <v/>
      </c>
      <c r="I902" t="str">
        <f>IFERROR(INDEX('Product Master'!$A$7:$A$1000,_xlfn.AGGREGATE(15,6,(ROW('Product Master'!$A$7:$A$1000)-ROW('Product Master'!$A$7)+1)/(('Product Master'!$A$7:$A$1000&lt;&gt;"")*('Product Master'!$P$7:$P$1000="Out of Stock")),ROWS($I$12:I902))),"")</f>
        <v/>
      </c>
      <c r="J902" t="str">
        <f>IF($I902="","",INDEX('Product Master'!$B$7:$B$1000,MATCH($I902,'Product Master'!$A$7:$A$1000,0)))</f>
        <v/>
      </c>
      <c r="K902" t="str">
        <f>IF($I902="","",INDEX('Product Master'!$C$7:$C$1000,MATCH($I902,'Product Master'!$A$7:$A$1000,0)))</f>
        <v/>
      </c>
      <c r="L902" t="str">
        <f>IF($I902="","",INDEX('Product Master'!$M$7:$M$1000,MATCH($I902,'Product Master'!$A$7:$A$1000,0)))</f>
        <v/>
      </c>
      <c r="M902" t="str">
        <f>IF($I902="","",INDEX('Product Master'!$N$7:$N$1000,MATCH($I902,'Product Master'!$A$7:$A$1000,0)))</f>
        <v/>
      </c>
    </row>
    <row r="903" spans="1:13" x14ac:dyDescent="0.3">
      <c r="A903" t="str">
        <f>IFERROR(INDEX('Product Master'!$A$7:$A$1000,_xlfn.AGGREGATE(15,6,(ROW('Product Master'!$A$7:$A$1000)-ROW('Product Master'!$A$7)+1)/(('Product Master'!$A$7:$A$1000&lt;&gt;"")*('Product Master'!$P$7:$P$1000="Low Stock")),ROWS($A$12:A903))),"")</f>
        <v/>
      </c>
      <c r="B903" t="str">
        <f>IF($A903="","",INDEX('Product Master'!$B$7:$B$1000,MATCH($A903,'Product Master'!$A$7:$A$1000,0)))</f>
        <v/>
      </c>
      <c r="C903" t="str">
        <f>IF($A903="","",INDEX('Product Master'!$C$7:$C$1000,MATCH($A903,'Product Master'!$A$7:$A$1000,0)))</f>
        <v/>
      </c>
      <c r="D903" t="str">
        <f>IF($A903="","",INDEX('Product Master'!$M$7:$M$1000,MATCH($A903,'Product Master'!$A$7:$A$1000,0)))</f>
        <v/>
      </c>
      <c r="E903" t="str">
        <f>IF($A903="","",INDEX('Product Master'!$N$7:$N$1000,MATCH($A903,'Product Master'!$A$7:$A$1000,0)))</f>
        <v/>
      </c>
      <c r="F903" t="str">
        <f>IF($A903="","",INDEX('Product Master'!$P$7:$P$1000,MATCH($A903,'Product Master'!$A$7:$A$1000,0)))</f>
        <v/>
      </c>
      <c r="I903" t="str">
        <f>IFERROR(INDEX('Product Master'!$A$7:$A$1000,_xlfn.AGGREGATE(15,6,(ROW('Product Master'!$A$7:$A$1000)-ROW('Product Master'!$A$7)+1)/(('Product Master'!$A$7:$A$1000&lt;&gt;"")*('Product Master'!$P$7:$P$1000="Out of Stock")),ROWS($I$12:I903))),"")</f>
        <v/>
      </c>
      <c r="J903" t="str">
        <f>IF($I903="","",INDEX('Product Master'!$B$7:$B$1000,MATCH($I903,'Product Master'!$A$7:$A$1000,0)))</f>
        <v/>
      </c>
      <c r="K903" t="str">
        <f>IF($I903="","",INDEX('Product Master'!$C$7:$C$1000,MATCH($I903,'Product Master'!$A$7:$A$1000,0)))</f>
        <v/>
      </c>
      <c r="L903" t="str">
        <f>IF($I903="","",INDEX('Product Master'!$M$7:$M$1000,MATCH($I903,'Product Master'!$A$7:$A$1000,0)))</f>
        <v/>
      </c>
      <c r="M903" t="str">
        <f>IF($I903="","",INDEX('Product Master'!$N$7:$N$1000,MATCH($I903,'Product Master'!$A$7:$A$1000,0)))</f>
        <v/>
      </c>
    </row>
    <row r="904" spans="1:13" x14ac:dyDescent="0.3">
      <c r="A904" t="str">
        <f>IFERROR(INDEX('Product Master'!$A$7:$A$1000,_xlfn.AGGREGATE(15,6,(ROW('Product Master'!$A$7:$A$1000)-ROW('Product Master'!$A$7)+1)/(('Product Master'!$A$7:$A$1000&lt;&gt;"")*('Product Master'!$P$7:$P$1000="Low Stock")),ROWS($A$12:A904))),"")</f>
        <v/>
      </c>
      <c r="B904" t="str">
        <f>IF($A904="","",INDEX('Product Master'!$B$7:$B$1000,MATCH($A904,'Product Master'!$A$7:$A$1000,0)))</f>
        <v/>
      </c>
      <c r="C904" t="str">
        <f>IF($A904="","",INDEX('Product Master'!$C$7:$C$1000,MATCH($A904,'Product Master'!$A$7:$A$1000,0)))</f>
        <v/>
      </c>
      <c r="D904" t="str">
        <f>IF($A904="","",INDEX('Product Master'!$M$7:$M$1000,MATCH($A904,'Product Master'!$A$7:$A$1000,0)))</f>
        <v/>
      </c>
      <c r="E904" t="str">
        <f>IF($A904="","",INDEX('Product Master'!$N$7:$N$1000,MATCH($A904,'Product Master'!$A$7:$A$1000,0)))</f>
        <v/>
      </c>
      <c r="F904" t="str">
        <f>IF($A904="","",INDEX('Product Master'!$P$7:$P$1000,MATCH($A904,'Product Master'!$A$7:$A$1000,0)))</f>
        <v/>
      </c>
      <c r="I904" t="str">
        <f>IFERROR(INDEX('Product Master'!$A$7:$A$1000,_xlfn.AGGREGATE(15,6,(ROW('Product Master'!$A$7:$A$1000)-ROW('Product Master'!$A$7)+1)/(('Product Master'!$A$7:$A$1000&lt;&gt;"")*('Product Master'!$P$7:$P$1000="Out of Stock")),ROWS($I$12:I904))),"")</f>
        <v/>
      </c>
      <c r="J904" t="str">
        <f>IF($I904="","",INDEX('Product Master'!$B$7:$B$1000,MATCH($I904,'Product Master'!$A$7:$A$1000,0)))</f>
        <v/>
      </c>
      <c r="K904" t="str">
        <f>IF($I904="","",INDEX('Product Master'!$C$7:$C$1000,MATCH($I904,'Product Master'!$A$7:$A$1000,0)))</f>
        <v/>
      </c>
      <c r="L904" t="str">
        <f>IF($I904="","",INDEX('Product Master'!$M$7:$M$1000,MATCH($I904,'Product Master'!$A$7:$A$1000,0)))</f>
        <v/>
      </c>
      <c r="M904" t="str">
        <f>IF($I904="","",INDEX('Product Master'!$N$7:$N$1000,MATCH($I904,'Product Master'!$A$7:$A$1000,0)))</f>
        <v/>
      </c>
    </row>
    <row r="905" spans="1:13" x14ac:dyDescent="0.3">
      <c r="A905" t="str">
        <f>IFERROR(INDEX('Product Master'!$A$7:$A$1000,_xlfn.AGGREGATE(15,6,(ROW('Product Master'!$A$7:$A$1000)-ROW('Product Master'!$A$7)+1)/(('Product Master'!$A$7:$A$1000&lt;&gt;"")*('Product Master'!$P$7:$P$1000="Low Stock")),ROWS($A$12:A905))),"")</f>
        <v/>
      </c>
      <c r="B905" t="str">
        <f>IF($A905="","",INDEX('Product Master'!$B$7:$B$1000,MATCH($A905,'Product Master'!$A$7:$A$1000,0)))</f>
        <v/>
      </c>
      <c r="C905" t="str">
        <f>IF($A905="","",INDEX('Product Master'!$C$7:$C$1000,MATCH($A905,'Product Master'!$A$7:$A$1000,0)))</f>
        <v/>
      </c>
      <c r="D905" t="str">
        <f>IF($A905="","",INDEX('Product Master'!$M$7:$M$1000,MATCH($A905,'Product Master'!$A$7:$A$1000,0)))</f>
        <v/>
      </c>
      <c r="E905" t="str">
        <f>IF($A905="","",INDEX('Product Master'!$N$7:$N$1000,MATCH($A905,'Product Master'!$A$7:$A$1000,0)))</f>
        <v/>
      </c>
      <c r="F905" t="str">
        <f>IF($A905="","",INDEX('Product Master'!$P$7:$P$1000,MATCH($A905,'Product Master'!$A$7:$A$1000,0)))</f>
        <v/>
      </c>
      <c r="I905" t="str">
        <f>IFERROR(INDEX('Product Master'!$A$7:$A$1000,_xlfn.AGGREGATE(15,6,(ROW('Product Master'!$A$7:$A$1000)-ROW('Product Master'!$A$7)+1)/(('Product Master'!$A$7:$A$1000&lt;&gt;"")*('Product Master'!$P$7:$P$1000="Out of Stock")),ROWS($I$12:I905))),"")</f>
        <v/>
      </c>
      <c r="J905" t="str">
        <f>IF($I905="","",INDEX('Product Master'!$B$7:$B$1000,MATCH($I905,'Product Master'!$A$7:$A$1000,0)))</f>
        <v/>
      </c>
      <c r="K905" t="str">
        <f>IF($I905="","",INDEX('Product Master'!$C$7:$C$1000,MATCH($I905,'Product Master'!$A$7:$A$1000,0)))</f>
        <v/>
      </c>
      <c r="L905" t="str">
        <f>IF($I905="","",INDEX('Product Master'!$M$7:$M$1000,MATCH($I905,'Product Master'!$A$7:$A$1000,0)))</f>
        <v/>
      </c>
      <c r="M905" t="str">
        <f>IF($I905="","",INDEX('Product Master'!$N$7:$N$1000,MATCH($I905,'Product Master'!$A$7:$A$1000,0)))</f>
        <v/>
      </c>
    </row>
    <row r="906" spans="1:13" x14ac:dyDescent="0.3">
      <c r="A906" t="str">
        <f>IFERROR(INDEX('Product Master'!$A$7:$A$1000,_xlfn.AGGREGATE(15,6,(ROW('Product Master'!$A$7:$A$1000)-ROW('Product Master'!$A$7)+1)/(('Product Master'!$A$7:$A$1000&lt;&gt;"")*('Product Master'!$P$7:$P$1000="Low Stock")),ROWS($A$12:A906))),"")</f>
        <v/>
      </c>
      <c r="B906" t="str">
        <f>IF($A906="","",INDEX('Product Master'!$B$7:$B$1000,MATCH($A906,'Product Master'!$A$7:$A$1000,0)))</f>
        <v/>
      </c>
      <c r="C906" t="str">
        <f>IF($A906="","",INDEX('Product Master'!$C$7:$C$1000,MATCH($A906,'Product Master'!$A$7:$A$1000,0)))</f>
        <v/>
      </c>
      <c r="D906" t="str">
        <f>IF($A906="","",INDEX('Product Master'!$M$7:$M$1000,MATCH($A906,'Product Master'!$A$7:$A$1000,0)))</f>
        <v/>
      </c>
      <c r="E906" t="str">
        <f>IF($A906="","",INDEX('Product Master'!$N$7:$N$1000,MATCH($A906,'Product Master'!$A$7:$A$1000,0)))</f>
        <v/>
      </c>
      <c r="F906" t="str">
        <f>IF($A906="","",INDEX('Product Master'!$P$7:$P$1000,MATCH($A906,'Product Master'!$A$7:$A$1000,0)))</f>
        <v/>
      </c>
      <c r="I906" t="str">
        <f>IFERROR(INDEX('Product Master'!$A$7:$A$1000,_xlfn.AGGREGATE(15,6,(ROW('Product Master'!$A$7:$A$1000)-ROW('Product Master'!$A$7)+1)/(('Product Master'!$A$7:$A$1000&lt;&gt;"")*('Product Master'!$P$7:$P$1000="Out of Stock")),ROWS($I$12:I906))),"")</f>
        <v/>
      </c>
      <c r="J906" t="str">
        <f>IF($I906="","",INDEX('Product Master'!$B$7:$B$1000,MATCH($I906,'Product Master'!$A$7:$A$1000,0)))</f>
        <v/>
      </c>
      <c r="K906" t="str">
        <f>IF($I906="","",INDEX('Product Master'!$C$7:$C$1000,MATCH($I906,'Product Master'!$A$7:$A$1000,0)))</f>
        <v/>
      </c>
      <c r="L906" t="str">
        <f>IF($I906="","",INDEX('Product Master'!$M$7:$M$1000,MATCH($I906,'Product Master'!$A$7:$A$1000,0)))</f>
        <v/>
      </c>
      <c r="M906" t="str">
        <f>IF($I906="","",INDEX('Product Master'!$N$7:$N$1000,MATCH($I906,'Product Master'!$A$7:$A$1000,0)))</f>
        <v/>
      </c>
    </row>
    <row r="907" spans="1:13" x14ac:dyDescent="0.3">
      <c r="A907" t="str">
        <f>IFERROR(INDEX('Product Master'!$A$7:$A$1000,_xlfn.AGGREGATE(15,6,(ROW('Product Master'!$A$7:$A$1000)-ROW('Product Master'!$A$7)+1)/(('Product Master'!$A$7:$A$1000&lt;&gt;"")*('Product Master'!$P$7:$P$1000="Low Stock")),ROWS($A$12:A907))),"")</f>
        <v/>
      </c>
      <c r="B907" t="str">
        <f>IF($A907="","",INDEX('Product Master'!$B$7:$B$1000,MATCH($A907,'Product Master'!$A$7:$A$1000,0)))</f>
        <v/>
      </c>
      <c r="C907" t="str">
        <f>IF($A907="","",INDEX('Product Master'!$C$7:$C$1000,MATCH($A907,'Product Master'!$A$7:$A$1000,0)))</f>
        <v/>
      </c>
      <c r="D907" t="str">
        <f>IF($A907="","",INDEX('Product Master'!$M$7:$M$1000,MATCH($A907,'Product Master'!$A$7:$A$1000,0)))</f>
        <v/>
      </c>
      <c r="E907" t="str">
        <f>IF($A907="","",INDEX('Product Master'!$N$7:$N$1000,MATCH($A907,'Product Master'!$A$7:$A$1000,0)))</f>
        <v/>
      </c>
      <c r="F907" t="str">
        <f>IF($A907="","",INDEX('Product Master'!$P$7:$P$1000,MATCH($A907,'Product Master'!$A$7:$A$1000,0)))</f>
        <v/>
      </c>
      <c r="I907" t="str">
        <f>IFERROR(INDEX('Product Master'!$A$7:$A$1000,_xlfn.AGGREGATE(15,6,(ROW('Product Master'!$A$7:$A$1000)-ROW('Product Master'!$A$7)+1)/(('Product Master'!$A$7:$A$1000&lt;&gt;"")*('Product Master'!$P$7:$P$1000="Out of Stock")),ROWS($I$12:I907))),"")</f>
        <v/>
      </c>
      <c r="J907" t="str">
        <f>IF($I907="","",INDEX('Product Master'!$B$7:$B$1000,MATCH($I907,'Product Master'!$A$7:$A$1000,0)))</f>
        <v/>
      </c>
      <c r="K907" t="str">
        <f>IF($I907="","",INDEX('Product Master'!$C$7:$C$1000,MATCH($I907,'Product Master'!$A$7:$A$1000,0)))</f>
        <v/>
      </c>
      <c r="L907" t="str">
        <f>IF($I907="","",INDEX('Product Master'!$M$7:$M$1000,MATCH($I907,'Product Master'!$A$7:$A$1000,0)))</f>
        <v/>
      </c>
      <c r="M907" t="str">
        <f>IF($I907="","",INDEX('Product Master'!$N$7:$N$1000,MATCH($I907,'Product Master'!$A$7:$A$1000,0)))</f>
        <v/>
      </c>
    </row>
    <row r="908" spans="1:13" x14ac:dyDescent="0.3">
      <c r="A908" t="str">
        <f>IFERROR(INDEX('Product Master'!$A$7:$A$1000,_xlfn.AGGREGATE(15,6,(ROW('Product Master'!$A$7:$A$1000)-ROW('Product Master'!$A$7)+1)/(('Product Master'!$A$7:$A$1000&lt;&gt;"")*('Product Master'!$P$7:$P$1000="Low Stock")),ROWS($A$12:A908))),"")</f>
        <v/>
      </c>
      <c r="B908" t="str">
        <f>IF($A908="","",INDEX('Product Master'!$B$7:$B$1000,MATCH($A908,'Product Master'!$A$7:$A$1000,0)))</f>
        <v/>
      </c>
      <c r="C908" t="str">
        <f>IF($A908="","",INDEX('Product Master'!$C$7:$C$1000,MATCH($A908,'Product Master'!$A$7:$A$1000,0)))</f>
        <v/>
      </c>
      <c r="D908" t="str">
        <f>IF($A908="","",INDEX('Product Master'!$M$7:$M$1000,MATCH($A908,'Product Master'!$A$7:$A$1000,0)))</f>
        <v/>
      </c>
      <c r="E908" t="str">
        <f>IF($A908="","",INDEX('Product Master'!$N$7:$N$1000,MATCH($A908,'Product Master'!$A$7:$A$1000,0)))</f>
        <v/>
      </c>
      <c r="F908" t="str">
        <f>IF($A908="","",INDEX('Product Master'!$P$7:$P$1000,MATCH($A908,'Product Master'!$A$7:$A$1000,0)))</f>
        <v/>
      </c>
      <c r="I908" t="str">
        <f>IFERROR(INDEX('Product Master'!$A$7:$A$1000,_xlfn.AGGREGATE(15,6,(ROW('Product Master'!$A$7:$A$1000)-ROW('Product Master'!$A$7)+1)/(('Product Master'!$A$7:$A$1000&lt;&gt;"")*('Product Master'!$P$7:$P$1000="Out of Stock")),ROWS($I$12:I908))),"")</f>
        <v/>
      </c>
      <c r="J908" t="str">
        <f>IF($I908="","",INDEX('Product Master'!$B$7:$B$1000,MATCH($I908,'Product Master'!$A$7:$A$1000,0)))</f>
        <v/>
      </c>
      <c r="K908" t="str">
        <f>IF($I908="","",INDEX('Product Master'!$C$7:$C$1000,MATCH($I908,'Product Master'!$A$7:$A$1000,0)))</f>
        <v/>
      </c>
      <c r="L908" t="str">
        <f>IF($I908="","",INDEX('Product Master'!$M$7:$M$1000,MATCH($I908,'Product Master'!$A$7:$A$1000,0)))</f>
        <v/>
      </c>
      <c r="M908" t="str">
        <f>IF($I908="","",INDEX('Product Master'!$N$7:$N$1000,MATCH($I908,'Product Master'!$A$7:$A$1000,0)))</f>
        <v/>
      </c>
    </row>
    <row r="909" spans="1:13" x14ac:dyDescent="0.3">
      <c r="A909" t="str">
        <f>IFERROR(INDEX('Product Master'!$A$7:$A$1000,_xlfn.AGGREGATE(15,6,(ROW('Product Master'!$A$7:$A$1000)-ROW('Product Master'!$A$7)+1)/(('Product Master'!$A$7:$A$1000&lt;&gt;"")*('Product Master'!$P$7:$P$1000="Low Stock")),ROWS($A$12:A909))),"")</f>
        <v/>
      </c>
      <c r="B909" t="str">
        <f>IF($A909="","",INDEX('Product Master'!$B$7:$B$1000,MATCH($A909,'Product Master'!$A$7:$A$1000,0)))</f>
        <v/>
      </c>
      <c r="C909" t="str">
        <f>IF($A909="","",INDEX('Product Master'!$C$7:$C$1000,MATCH($A909,'Product Master'!$A$7:$A$1000,0)))</f>
        <v/>
      </c>
      <c r="D909" t="str">
        <f>IF($A909="","",INDEX('Product Master'!$M$7:$M$1000,MATCH($A909,'Product Master'!$A$7:$A$1000,0)))</f>
        <v/>
      </c>
      <c r="E909" t="str">
        <f>IF($A909="","",INDEX('Product Master'!$N$7:$N$1000,MATCH($A909,'Product Master'!$A$7:$A$1000,0)))</f>
        <v/>
      </c>
      <c r="F909" t="str">
        <f>IF($A909="","",INDEX('Product Master'!$P$7:$P$1000,MATCH($A909,'Product Master'!$A$7:$A$1000,0)))</f>
        <v/>
      </c>
      <c r="I909" t="str">
        <f>IFERROR(INDEX('Product Master'!$A$7:$A$1000,_xlfn.AGGREGATE(15,6,(ROW('Product Master'!$A$7:$A$1000)-ROW('Product Master'!$A$7)+1)/(('Product Master'!$A$7:$A$1000&lt;&gt;"")*('Product Master'!$P$7:$P$1000="Out of Stock")),ROWS($I$12:I909))),"")</f>
        <v/>
      </c>
      <c r="J909" t="str">
        <f>IF($I909="","",INDEX('Product Master'!$B$7:$B$1000,MATCH($I909,'Product Master'!$A$7:$A$1000,0)))</f>
        <v/>
      </c>
      <c r="K909" t="str">
        <f>IF($I909="","",INDEX('Product Master'!$C$7:$C$1000,MATCH($I909,'Product Master'!$A$7:$A$1000,0)))</f>
        <v/>
      </c>
      <c r="L909" t="str">
        <f>IF($I909="","",INDEX('Product Master'!$M$7:$M$1000,MATCH($I909,'Product Master'!$A$7:$A$1000,0)))</f>
        <v/>
      </c>
      <c r="M909" t="str">
        <f>IF($I909="","",INDEX('Product Master'!$N$7:$N$1000,MATCH($I909,'Product Master'!$A$7:$A$1000,0)))</f>
        <v/>
      </c>
    </row>
    <row r="910" spans="1:13" x14ac:dyDescent="0.3">
      <c r="A910" t="str">
        <f>IFERROR(INDEX('Product Master'!$A$7:$A$1000,_xlfn.AGGREGATE(15,6,(ROW('Product Master'!$A$7:$A$1000)-ROW('Product Master'!$A$7)+1)/(('Product Master'!$A$7:$A$1000&lt;&gt;"")*('Product Master'!$P$7:$P$1000="Low Stock")),ROWS($A$12:A910))),"")</f>
        <v/>
      </c>
      <c r="B910" t="str">
        <f>IF($A910="","",INDEX('Product Master'!$B$7:$B$1000,MATCH($A910,'Product Master'!$A$7:$A$1000,0)))</f>
        <v/>
      </c>
      <c r="C910" t="str">
        <f>IF($A910="","",INDEX('Product Master'!$C$7:$C$1000,MATCH($A910,'Product Master'!$A$7:$A$1000,0)))</f>
        <v/>
      </c>
      <c r="D910" t="str">
        <f>IF($A910="","",INDEX('Product Master'!$M$7:$M$1000,MATCH($A910,'Product Master'!$A$7:$A$1000,0)))</f>
        <v/>
      </c>
      <c r="E910" t="str">
        <f>IF($A910="","",INDEX('Product Master'!$N$7:$N$1000,MATCH($A910,'Product Master'!$A$7:$A$1000,0)))</f>
        <v/>
      </c>
      <c r="F910" t="str">
        <f>IF($A910="","",INDEX('Product Master'!$P$7:$P$1000,MATCH($A910,'Product Master'!$A$7:$A$1000,0)))</f>
        <v/>
      </c>
      <c r="I910" t="str">
        <f>IFERROR(INDEX('Product Master'!$A$7:$A$1000,_xlfn.AGGREGATE(15,6,(ROW('Product Master'!$A$7:$A$1000)-ROW('Product Master'!$A$7)+1)/(('Product Master'!$A$7:$A$1000&lt;&gt;"")*('Product Master'!$P$7:$P$1000="Out of Stock")),ROWS($I$12:I910))),"")</f>
        <v/>
      </c>
      <c r="J910" t="str">
        <f>IF($I910="","",INDEX('Product Master'!$B$7:$B$1000,MATCH($I910,'Product Master'!$A$7:$A$1000,0)))</f>
        <v/>
      </c>
      <c r="K910" t="str">
        <f>IF($I910="","",INDEX('Product Master'!$C$7:$C$1000,MATCH($I910,'Product Master'!$A$7:$A$1000,0)))</f>
        <v/>
      </c>
      <c r="L910" t="str">
        <f>IF($I910="","",INDEX('Product Master'!$M$7:$M$1000,MATCH($I910,'Product Master'!$A$7:$A$1000,0)))</f>
        <v/>
      </c>
      <c r="M910" t="str">
        <f>IF($I910="","",INDEX('Product Master'!$N$7:$N$1000,MATCH($I910,'Product Master'!$A$7:$A$1000,0)))</f>
        <v/>
      </c>
    </row>
    <row r="911" spans="1:13" x14ac:dyDescent="0.3">
      <c r="A911" t="str">
        <f>IFERROR(INDEX('Product Master'!$A$7:$A$1000,_xlfn.AGGREGATE(15,6,(ROW('Product Master'!$A$7:$A$1000)-ROW('Product Master'!$A$7)+1)/(('Product Master'!$A$7:$A$1000&lt;&gt;"")*('Product Master'!$P$7:$P$1000="Low Stock")),ROWS($A$12:A911))),"")</f>
        <v/>
      </c>
      <c r="B911" t="str">
        <f>IF($A911="","",INDEX('Product Master'!$B$7:$B$1000,MATCH($A911,'Product Master'!$A$7:$A$1000,0)))</f>
        <v/>
      </c>
      <c r="C911" t="str">
        <f>IF($A911="","",INDEX('Product Master'!$C$7:$C$1000,MATCH($A911,'Product Master'!$A$7:$A$1000,0)))</f>
        <v/>
      </c>
      <c r="D911" t="str">
        <f>IF($A911="","",INDEX('Product Master'!$M$7:$M$1000,MATCH($A911,'Product Master'!$A$7:$A$1000,0)))</f>
        <v/>
      </c>
      <c r="E911" t="str">
        <f>IF($A911="","",INDEX('Product Master'!$N$7:$N$1000,MATCH($A911,'Product Master'!$A$7:$A$1000,0)))</f>
        <v/>
      </c>
      <c r="F911" t="str">
        <f>IF($A911="","",INDEX('Product Master'!$P$7:$P$1000,MATCH($A911,'Product Master'!$A$7:$A$1000,0)))</f>
        <v/>
      </c>
      <c r="I911" t="str">
        <f>IFERROR(INDEX('Product Master'!$A$7:$A$1000,_xlfn.AGGREGATE(15,6,(ROW('Product Master'!$A$7:$A$1000)-ROW('Product Master'!$A$7)+1)/(('Product Master'!$A$7:$A$1000&lt;&gt;"")*('Product Master'!$P$7:$P$1000="Out of Stock")),ROWS($I$12:I911))),"")</f>
        <v/>
      </c>
      <c r="J911" t="str">
        <f>IF($I911="","",INDEX('Product Master'!$B$7:$B$1000,MATCH($I911,'Product Master'!$A$7:$A$1000,0)))</f>
        <v/>
      </c>
      <c r="K911" t="str">
        <f>IF($I911="","",INDEX('Product Master'!$C$7:$C$1000,MATCH($I911,'Product Master'!$A$7:$A$1000,0)))</f>
        <v/>
      </c>
      <c r="L911" t="str">
        <f>IF($I911="","",INDEX('Product Master'!$M$7:$M$1000,MATCH($I911,'Product Master'!$A$7:$A$1000,0)))</f>
        <v/>
      </c>
      <c r="M911" t="str">
        <f>IF($I911="","",INDEX('Product Master'!$N$7:$N$1000,MATCH($I911,'Product Master'!$A$7:$A$1000,0)))</f>
        <v/>
      </c>
    </row>
    <row r="912" spans="1:13" x14ac:dyDescent="0.3">
      <c r="A912" t="str">
        <f>IFERROR(INDEX('Product Master'!$A$7:$A$1000,_xlfn.AGGREGATE(15,6,(ROW('Product Master'!$A$7:$A$1000)-ROW('Product Master'!$A$7)+1)/(('Product Master'!$A$7:$A$1000&lt;&gt;"")*('Product Master'!$P$7:$P$1000="Low Stock")),ROWS($A$12:A912))),"")</f>
        <v/>
      </c>
      <c r="B912" t="str">
        <f>IF($A912="","",INDEX('Product Master'!$B$7:$B$1000,MATCH($A912,'Product Master'!$A$7:$A$1000,0)))</f>
        <v/>
      </c>
      <c r="C912" t="str">
        <f>IF($A912="","",INDEX('Product Master'!$C$7:$C$1000,MATCH($A912,'Product Master'!$A$7:$A$1000,0)))</f>
        <v/>
      </c>
      <c r="D912" t="str">
        <f>IF($A912="","",INDEX('Product Master'!$M$7:$M$1000,MATCH($A912,'Product Master'!$A$7:$A$1000,0)))</f>
        <v/>
      </c>
      <c r="E912" t="str">
        <f>IF($A912="","",INDEX('Product Master'!$N$7:$N$1000,MATCH($A912,'Product Master'!$A$7:$A$1000,0)))</f>
        <v/>
      </c>
      <c r="F912" t="str">
        <f>IF($A912="","",INDEX('Product Master'!$P$7:$P$1000,MATCH($A912,'Product Master'!$A$7:$A$1000,0)))</f>
        <v/>
      </c>
      <c r="I912" t="str">
        <f>IFERROR(INDEX('Product Master'!$A$7:$A$1000,_xlfn.AGGREGATE(15,6,(ROW('Product Master'!$A$7:$A$1000)-ROW('Product Master'!$A$7)+1)/(('Product Master'!$A$7:$A$1000&lt;&gt;"")*('Product Master'!$P$7:$P$1000="Out of Stock")),ROWS($I$12:I912))),"")</f>
        <v/>
      </c>
      <c r="J912" t="str">
        <f>IF($I912="","",INDEX('Product Master'!$B$7:$B$1000,MATCH($I912,'Product Master'!$A$7:$A$1000,0)))</f>
        <v/>
      </c>
      <c r="K912" t="str">
        <f>IF($I912="","",INDEX('Product Master'!$C$7:$C$1000,MATCH($I912,'Product Master'!$A$7:$A$1000,0)))</f>
        <v/>
      </c>
      <c r="L912" t="str">
        <f>IF($I912="","",INDEX('Product Master'!$M$7:$M$1000,MATCH($I912,'Product Master'!$A$7:$A$1000,0)))</f>
        <v/>
      </c>
      <c r="M912" t="str">
        <f>IF($I912="","",INDEX('Product Master'!$N$7:$N$1000,MATCH($I912,'Product Master'!$A$7:$A$1000,0)))</f>
        <v/>
      </c>
    </row>
    <row r="913" spans="1:13" x14ac:dyDescent="0.3">
      <c r="A913" t="str">
        <f>IFERROR(INDEX('Product Master'!$A$7:$A$1000,_xlfn.AGGREGATE(15,6,(ROW('Product Master'!$A$7:$A$1000)-ROW('Product Master'!$A$7)+1)/(('Product Master'!$A$7:$A$1000&lt;&gt;"")*('Product Master'!$P$7:$P$1000="Low Stock")),ROWS($A$12:A913))),"")</f>
        <v/>
      </c>
      <c r="B913" t="str">
        <f>IF($A913="","",INDEX('Product Master'!$B$7:$B$1000,MATCH($A913,'Product Master'!$A$7:$A$1000,0)))</f>
        <v/>
      </c>
      <c r="C913" t="str">
        <f>IF($A913="","",INDEX('Product Master'!$C$7:$C$1000,MATCH($A913,'Product Master'!$A$7:$A$1000,0)))</f>
        <v/>
      </c>
      <c r="D913" t="str">
        <f>IF($A913="","",INDEX('Product Master'!$M$7:$M$1000,MATCH($A913,'Product Master'!$A$7:$A$1000,0)))</f>
        <v/>
      </c>
      <c r="E913" t="str">
        <f>IF($A913="","",INDEX('Product Master'!$N$7:$N$1000,MATCH($A913,'Product Master'!$A$7:$A$1000,0)))</f>
        <v/>
      </c>
      <c r="F913" t="str">
        <f>IF($A913="","",INDEX('Product Master'!$P$7:$P$1000,MATCH($A913,'Product Master'!$A$7:$A$1000,0)))</f>
        <v/>
      </c>
      <c r="I913" t="str">
        <f>IFERROR(INDEX('Product Master'!$A$7:$A$1000,_xlfn.AGGREGATE(15,6,(ROW('Product Master'!$A$7:$A$1000)-ROW('Product Master'!$A$7)+1)/(('Product Master'!$A$7:$A$1000&lt;&gt;"")*('Product Master'!$P$7:$P$1000="Out of Stock")),ROWS($I$12:I913))),"")</f>
        <v/>
      </c>
      <c r="J913" t="str">
        <f>IF($I913="","",INDEX('Product Master'!$B$7:$B$1000,MATCH($I913,'Product Master'!$A$7:$A$1000,0)))</f>
        <v/>
      </c>
      <c r="K913" t="str">
        <f>IF($I913="","",INDEX('Product Master'!$C$7:$C$1000,MATCH($I913,'Product Master'!$A$7:$A$1000,0)))</f>
        <v/>
      </c>
      <c r="L913" t="str">
        <f>IF($I913="","",INDEX('Product Master'!$M$7:$M$1000,MATCH($I913,'Product Master'!$A$7:$A$1000,0)))</f>
        <v/>
      </c>
      <c r="M913" t="str">
        <f>IF($I913="","",INDEX('Product Master'!$N$7:$N$1000,MATCH($I913,'Product Master'!$A$7:$A$1000,0)))</f>
        <v/>
      </c>
    </row>
    <row r="914" spans="1:13" x14ac:dyDescent="0.3">
      <c r="A914" t="str">
        <f>IFERROR(INDEX('Product Master'!$A$7:$A$1000,_xlfn.AGGREGATE(15,6,(ROW('Product Master'!$A$7:$A$1000)-ROW('Product Master'!$A$7)+1)/(('Product Master'!$A$7:$A$1000&lt;&gt;"")*('Product Master'!$P$7:$P$1000="Low Stock")),ROWS($A$12:A914))),"")</f>
        <v/>
      </c>
      <c r="B914" t="str">
        <f>IF($A914="","",INDEX('Product Master'!$B$7:$B$1000,MATCH($A914,'Product Master'!$A$7:$A$1000,0)))</f>
        <v/>
      </c>
      <c r="C914" t="str">
        <f>IF($A914="","",INDEX('Product Master'!$C$7:$C$1000,MATCH($A914,'Product Master'!$A$7:$A$1000,0)))</f>
        <v/>
      </c>
      <c r="D914" t="str">
        <f>IF($A914="","",INDEX('Product Master'!$M$7:$M$1000,MATCH($A914,'Product Master'!$A$7:$A$1000,0)))</f>
        <v/>
      </c>
      <c r="E914" t="str">
        <f>IF($A914="","",INDEX('Product Master'!$N$7:$N$1000,MATCH($A914,'Product Master'!$A$7:$A$1000,0)))</f>
        <v/>
      </c>
      <c r="F914" t="str">
        <f>IF($A914="","",INDEX('Product Master'!$P$7:$P$1000,MATCH($A914,'Product Master'!$A$7:$A$1000,0)))</f>
        <v/>
      </c>
      <c r="I914" t="str">
        <f>IFERROR(INDEX('Product Master'!$A$7:$A$1000,_xlfn.AGGREGATE(15,6,(ROW('Product Master'!$A$7:$A$1000)-ROW('Product Master'!$A$7)+1)/(('Product Master'!$A$7:$A$1000&lt;&gt;"")*('Product Master'!$P$7:$P$1000="Out of Stock")),ROWS($I$12:I914))),"")</f>
        <v/>
      </c>
      <c r="J914" t="str">
        <f>IF($I914="","",INDEX('Product Master'!$B$7:$B$1000,MATCH($I914,'Product Master'!$A$7:$A$1000,0)))</f>
        <v/>
      </c>
      <c r="K914" t="str">
        <f>IF($I914="","",INDEX('Product Master'!$C$7:$C$1000,MATCH($I914,'Product Master'!$A$7:$A$1000,0)))</f>
        <v/>
      </c>
      <c r="L914" t="str">
        <f>IF($I914="","",INDEX('Product Master'!$M$7:$M$1000,MATCH($I914,'Product Master'!$A$7:$A$1000,0)))</f>
        <v/>
      </c>
      <c r="M914" t="str">
        <f>IF($I914="","",INDEX('Product Master'!$N$7:$N$1000,MATCH($I914,'Product Master'!$A$7:$A$1000,0)))</f>
        <v/>
      </c>
    </row>
    <row r="915" spans="1:13" x14ac:dyDescent="0.3">
      <c r="A915" t="str">
        <f>IFERROR(INDEX('Product Master'!$A$7:$A$1000,_xlfn.AGGREGATE(15,6,(ROW('Product Master'!$A$7:$A$1000)-ROW('Product Master'!$A$7)+1)/(('Product Master'!$A$7:$A$1000&lt;&gt;"")*('Product Master'!$P$7:$P$1000="Low Stock")),ROWS($A$12:A915))),"")</f>
        <v/>
      </c>
      <c r="B915" t="str">
        <f>IF($A915="","",INDEX('Product Master'!$B$7:$B$1000,MATCH($A915,'Product Master'!$A$7:$A$1000,0)))</f>
        <v/>
      </c>
      <c r="C915" t="str">
        <f>IF($A915="","",INDEX('Product Master'!$C$7:$C$1000,MATCH($A915,'Product Master'!$A$7:$A$1000,0)))</f>
        <v/>
      </c>
      <c r="D915" t="str">
        <f>IF($A915="","",INDEX('Product Master'!$M$7:$M$1000,MATCH($A915,'Product Master'!$A$7:$A$1000,0)))</f>
        <v/>
      </c>
      <c r="E915" t="str">
        <f>IF($A915="","",INDEX('Product Master'!$N$7:$N$1000,MATCH($A915,'Product Master'!$A$7:$A$1000,0)))</f>
        <v/>
      </c>
      <c r="F915" t="str">
        <f>IF($A915="","",INDEX('Product Master'!$P$7:$P$1000,MATCH($A915,'Product Master'!$A$7:$A$1000,0)))</f>
        <v/>
      </c>
      <c r="I915" t="str">
        <f>IFERROR(INDEX('Product Master'!$A$7:$A$1000,_xlfn.AGGREGATE(15,6,(ROW('Product Master'!$A$7:$A$1000)-ROW('Product Master'!$A$7)+1)/(('Product Master'!$A$7:$A$1000&lt;&gt;"")*('Product Master'!$P$7:$P$1000="Out of Stock")),ROWS($I$12:I915))),"")</f>
        <v/>
      </c>
      <c r="J915" t="str">
        <f>IF($I915="","",INDEX('Product Master'!$B$7:$B$1000,MATCH($I915,'Product Master'!$A$7:$A$1000,0)))</f>
        <v/>
      </c>
      <c r="K915" t="str">
        <f>IF($I915="","",INDEX('Product Master'!$C$7:$C$1000,MATCH($I915,'Product Master'!$A$7:$A$1000,0)))</f>
        <v/>
      </c>
      <c r="L915" t="str">
        <f>IF($I915="","",INDEX('Product Master'!$M$7:$M$1000,MATCH($I915,'Product Master'!$A$7:$A$1000,0)))</f>
        <v/>
      </c>
      <c r="M915" t="str">
        <f>IF($I915="","",INDEX('Product Master'!$N$7:$N$1000,MATCH($I915,'Product Master'!$A$7:$A$1000,0)))</f>
        <v/>
      </c>
    </row>
    <row r="916" spans="1:13" x14ac:dyDescent="0.3">
      <c r="A916" t="str">
        <f>IFERROR(INDEX('Product Master'!$A$7:$A$1000,_xlfn.AGGREGATE(15,6,(ROW('Product Master'!$A$7:$A$1000)-ROW('Product Master'!$A$7)+1)/(('Product Master'!$A$7:$A$1000&lt;&gt;"")*('Product Master'!$P$7:$P$1000="Low Stock")),ROWS($A$12:A916))),"")</f>
        <v/>
      </c>
      <c r="B916" t="str">
        <f>IF($A916="","",INDEX('Product Master'!$B$7:$B$1000,MATCH($A916,'Product Master'!$A$7:$A$1000,0)))</f>
        <v/>
      </c>
      <c r="C916" t="str">
        <f>IF($A916="","",INDEX('Product Master'!$C$7:$C$1000,MATCH($A916,'Product Master'!$A$7:$A$1000,0)))</f>
        <v/>
      </c>
      <c r="D916" t="str">
        <f>IF($A916="","",INDEX('Product Master'!$M$7:$M$1000,MATCH($A916,'Product Master'!$A$7:$A$1000,0)))</f>
        <v/>
      </c>
      <c r="E916" t="str">
        <f>IF($A916="","",INDEX('Product Master'!$N$7:$N$1000,MATCH($A916,'Product Master'!$A$7:$A$1000,0)))</f>
        <v/>
      </c>
      <c r="F916" t="str">
        <f>IF($A916="","",INDEX('Product Master'!$P$7:$P$1000,MATCH($A916,'Product Master'!$A$7:$A$1000,0)))</f>
        <v/>
      </c>
      <c r="I916" t="str">
        <f>IFERROR(INDEX('Product Master'!$A$7:$A$1000,_xlfn.AGGREGATE(15,6,(ROW('Product Master'!$A$7:$A$1000)-ROW('Product Master'!$A$7)+1)/(('Product Master'!$A$7:$A$1000&lt;&gt;"")*('Product Master'!$P$7:$P$1000="Out of Stock")),ROWS($I$12:I916))),"")</f>
        <v/>
      </c>
      <c r="J916" t="str">
        <f>IF($I916="","",INDEX('Product Master'!$B$7:$B$1000,MATCH($I916,'Product Master'!$A$7:$A$1000,0)))</f>
        <v/>
      </c>
      <c r="K916" t="str">
        <f>IF($I916="","",INDEX('Product Master'!$C$7:$C$1000,MATCH($I916,'Product Master'!$A$7:$A$1000,0)))</f>
        <v/>
      </c>
      <c r="L916" t="str">
        <f>IF($I916="","",INDEX('Product Master'!$M$7:$M$1000,MATCH($I916,'Product Master'!$A$7:$A$1000,0)))</f>
        <v/>
      </c>
      <c r="M916" t="str">
        <f>IF($I916="","",INDEX('Product Master'!$N$7:$N$1000,MATCH($I916,'Product Master'!$A$7:$A$1000,0)))</f>
        <v/>
      </c>
    </row>
    <row r="917" spans="1:13" x14ac:dyDescent="0.3">
      <c r="A917" t="str">
        <f>IFERROR(INDEX('Product Master'!$A$7:$A$1000,_xlfn.AGGREGATE(15,6,(ROW('Product Master'!$A$7:$A$1000)-ROW('Product Master'!$A$7)+1)/(('Product Master'!$A$7:$A$1000&lt;&gt;"")*('Product Master'!$P$7:$P$1000="Low Stock")),ROWS($A$12:A917))),"")</f>
        <v/>
      </c>
      <c r="B917" t="str">
        <f>IF($A917="","",INDEX('Product Master'!$B$7:$B$1000,MATCH($A917,'Product Master'!$A$7:$A$1000,0)))</f>
        <v/>
      </c>
      <c r="C917" t="str">
        <f>IF($A917="","",INDEX('Product Master'!$C$7:$C$1000,MATCH($A917,'Product Master'!$A$7:$A$1000,0)))</f>
        <v/>
      </c>
      <c r="D917" t="str">
        <f>IF($A917="","",INDEX('Product Master'!$M$7:$M$1000,MATCH($A917,'Product Master'!$A$7:$A$1000,0)))</f>
        <v/>
      </c>
      <c r="E917" t="str">
        <f>IF($A917="","",INDEX('Product Master'!$N$7:$N$1000,MATCH($A917,'Product Master'!$A$7:$A$1000,0)))</f>
        <v/>
      </c>
      <c r="F917" t="str">
        <f>IF($A917="","",INDEX('Product Master'!$P$7:$P$1000,MATCH($A917,'Product Master'!$A$7:$A$1000,0)))</f>
        <v/>
      </c>
      <c r="I917" t="str">
        <f>IFERROR(INDEX('Product Master'!$A$7:$A$1000,_xlfn.AGGREGATE(15,6,(ROW('Product Master'!$A$7:$A$1000)-ROW('Product Master'!$A$7)+1)/(('Product Master'!$A$7:$A$1000&lt;&gt;"")*('Product Master'!$P$7:$P$1000="Out of Stock")),ROWS($I$12:I917))),"")</f>
        <v/>
      </c>
      <c r="J917" t="str">
        <f>IF($I917="","",INDEX('Product Master'!$B$7:$B$1000,MATCH($I917,'Product Master'!$A$7:$A$1000,0)))</f>
        <v/>
      </c>
      <c r="K917" t="str">
        <f>IF($I917="","",INDEX('Product Master'!$C$7:$C$1000,MATCH($I917,'Product Master'!$A$7:$A$1000,0)))</f>
        <v/>
      </c>
      <c r="L917" t="str">
        <f>IF($I917="","",INDEX('Product Master'!$M$7:$M$1000,MATCH($I917,'Product Master'!$A$7:$A$1000,0)))</f>
        <v/>
      </c>
      <c r="M917" t="str">
        <f>IF($I917="","",INDEX('Product Master'!$N$7:$N$1000,MATCH($I917,'Product Master'!$A$7:$A$1000,0)))</f>
        <v/>
      </c>
    </row>
    <row r="918" spans="1:13" x14ac:dyDescent="0.3">
      <c r="A918" t="str">
        <f>IFERROR(INDEX('Product Master'!$A$7:$A$1000,_xlfn.AGGREGATE(15,6,(ROW('Product Master'!$A$7:$A$1000)-ROW('Product Master'!$A$7)+1)/(('Product Master'!$A$7:$A$1000&lt;&gt;"")*('Product Master'!$P$7:$P$1000="Low Stock")),ROWS($A$12:A918))),"")</f>
        <v/>
      </c>
      <c r="B918" t="str">
        <f>IF($A918="","",INDEX('Product Master'!$B$7:$B$1000,MATCH($A918,'Product Master'!$A$7:$A$1000,0)))</f>
        <v/>
      </c>
      <c r="C918" t="str">
        <f>IF($A918="","",INDEX('Product Master'!$C$7:$C$1000,MATCH($A918,'Product Master'!$A$7:$A$1000,0)))</f>
        <v/>
      </c>
      <c r="D918" t="str">
        <f>IF($A918="","",INDEX('Product Master'!$M$7:$M$1000,MATCH($A918,'Product Master'!$A$7:$A$1000,0)))</f>
        <v/>
      </c>
      <c r="E918" t="str">
        <f>IF($A918="","",INDEX('Product Master'!$N$7:$N$1000,MATCH($A918,'Product Master'!$A$7:$A$1000,0)))</f>
        <v/>
      </c>
      <c r="F918" t="str">
        <f>IF($A918="","",INDEX('Product Master'!$P$7:$P$1000,MATCH($A918,'Product Master'!$A$7:$A$1000,0)))</f>
        <v/>
      </c>
      <c r="I918" t="str">
        <f>IFERROR(INDEX('Product Master'!$A$7:$A$1000,_xlfn.AGGREGATE(15,6,(ROW('Product Master'!$A$7:$A$1000)-ROW('Product Master'!$A$7)+1)/(('Product Master'!$A$7:$A$1000&lt;&gt;"")*('Product Master'!$P$7:$P$1000="Out of Stock")),ROWS($I$12:I918))),"")</f>
        <v/>
      </c>
      <c r="J918" t="str">
        <f>IF($I918="","",INDEX('Product Master'!$B$7:$B$1000,MATCH($I918,'Product Master'!$A$7:$A$1000,0)))</f>
        <v/>
      </c>
      <c r="K918" t="str">
        <f>IF($I918="","",INDEX('Product Master'!$C$7:$C$1000,MATCH($I918,'Product Master'!$A$7:$A$1000,0)))</f>
        <v/>
      </c>
      <c r="L918" t="str">
        <f>IF($I918="","",INDEX('Product Master'!$M$7:$M$1000,MATCH($I918,'Product Master'!$A$7:$A$1000,0)))</f>
        <v/>
      </c>
      <c r="M918" t="str">
        <f>IF($I918="","",INDEX('Product Master'!$N$7:$N$1000,MATCH($I918,'Product Master'!$A$7:$A$1000,0)))</f>
        <v/>
      </c>
    </row>
    <row r="919" spans="1:13" x14ac:dyDescent="0.3">
      <c r="A919" t="str">
        <f>IFERROR(INDEX('Product Master'!$A$7:$A$1000,_xlfn.AGGREGATE(15,6,(ROW('Product Master'!$A$7:$A$1000)-ROW('Product Master'!$A$7)+1)/(('Product Master'!$A$7:$A$1000&lt;&gt;"")*('Product Master'!$P$7:$P$1000="Low Stock")),ROWS($A$12:A919))),"")</f>
        <v/>
      </c>
      <c r="B919" t="str">
        <f>IF($A919="","",INDEX('Product Master'!$B$7:$B$1000,MATCH($A919,'Product Master'!$A$7:$A$1000,0)))</f>
        <v/>
      </c>
      <c r="C919" t="str">
        <f>IF($A919="","",INDEX('Product Master'!$C$7:$C$1000,MATCH($A919,'Product Master'!$A$7:$A$1000,0)))</f>
        <v/>
      </c>
      <c r="D919" t="str">
        <f>IF($A919="","",INDEX('Product Master'!$M$7:$M$1000,MATCH($A919,'Product Master'!$A$7:$A$1000,0)))</f>
        <v/>
      </c>
      <c r="E919" t="str">
        <f>IF($A919="","",INDEX('Product Master'!$N$7:$N$1000,MATCH($A919,'Product Master'!$A$7:$A$1000,0)))</f>
        <v/>
      </c>
      <c r="F919" t="str">
        <f>IF($A919="","",INDEX('Product Master'!$P$7:$P$1000,MATCH($A919,'Product Master'!$A$7:$A$1000,0)))</f>
        <v/>
      </c>
      <c r="I919" t="str">
        <f>IFERROR(INDEX('Product Master'!$A$7:$A$1000,_xlfn.AGGREGATE(15,6,(ROW('Product Master'!$A$7:$A$1000)-ROW('Product Master'!$A$7)+1)/(('Product Master'!$A$7:$A$1000&lt;&gt;"")*('Product Master'!$P$7:$P$1000="Out of Stock")),ROWS($I$12:I919))),"")</f>
        <v/>
      </c>
      <c r="J919" t="str">
        <f>IF($I919="","",INDEX('Product Master'!$B$7:$B$1000,MATCH($I919,'Product Master'!$A$7:$A$1000,0)))</f>
        <v/>
      </c>
      <c r="K919" t="str">
        <f>IF($I919="","",INDEX('Product Master'!$C$7:$C$1000,MATCH($I919,'Product Master'!$A$7:$A$1000,0)))</f>
        <v/>
      </c>
      <c r="L919" t="str">
        <f>IF($I919="","",INDEX('Product Master'!$M$7:$M$1000,MATCH($I919,'Product Master'!$A$7:$A$1000,0)))</f>
        <v/>
      </c>
      <c r="M919" t="str">
        <f>IF($I919="","",INDEX('Product Master'!$N$7:$N$1000,MATCH($I919,'Product Master'!$A$7:$A$1000,0)))</f>
        <v/>
      </c>
    </row>
    <row r="920" spans="1:13" x14ac:dyDescent="0.3">
      <c r="A920" t="str">
        <f>IFERROR(INDEX('Product Master'!$A$7:$A$1000,_xlfn.AGGREGATE(15,6,(ROW('Product Master'!$A$7:$A$1000)-ROW('Product Master'!$A$7)+1)/(('Product Master'!$A$7:$A$1000&lt;&gt;"")*('Product Master'!$P$7:$P$1000="Low Stock")),ROWS($A$12:A920))),"")</f>
        <v/>
      </c>
      <c r="B920" t="str">
        <f>IF($A920="","",INDEX('Product Master'!$B$7:$B$1000,MATCH($A920,'Product Master'!$A$7:$A$1000,0)))</f>
        <v/>
      </c>
      <c r="C920" t="str">
        <f>IF($A920="","",INDEX('Product Master'!$C$7:$C$1000,MATCH($A920,'Product Master'!$A$7:$A$1000,0)))</f>
        <v/>
      </c>
      <c r="D920" t="str">
        <f>IF($A920="","",INDEX('Product Master'!$M$7:$M$1000,MATCH($A920,'Product Master'!$A$7:$A$1000,0)))</f>
        <v/>
      </c>
      <c r="E920" t="str">
        <f>IF($A920="","",INDEX('Product Master'!$N$7:$N$1000,MATCH($A920,'Product Master'!$A$7:$A$1000,0)))</f>
        <v/>
      </c>
      <c r="F920" t="str">
        <f>IF($A920="","",INDEX('Product Master'!$P$7:$P$1000,MATCH($A920,'Product Master'!$A$7:$A$1000,0)))</f>
        <v/>
      </c>
      <c r="I920" t="str">
        <f>IFERROR(INDEX('Product Master'!$A$7:$A$1000,_xlfn.AGGREGATE(15,6,(ROW('Product Master'!$A$7:$A$1000)-ROW('Product Master'!$A$7)+1)/(('Product Master'!$A$7:$A$1000&lt;&gt;"")*('Product Master'!$P$7:$P$1000="Out of Stock")),ROWS($I$12:I920))),"")</f>
        <v/>
      </c>
      <c r="J920" t="str">
        <f>IF($I920="","",INDEX('Product Master'!$B$7:$B$1000,MATCH($I920,'Product Master'!$A$7:$A$1000,0)))</f>
        <v/>
      </c>
      <c r="K920" t="str">
        <f>IF($I920="","",INDEX('Product Master'!$C$7:$C$1000,MATCH($I920,'Product Master'!$A$7:$A$1000,0)))</f>
        <v/>
      </c>
      <c r="L920" t="str">
        <f>IF($I920="","",INDEX('Product Master'!$M$7:$M$1000,MATCH($I920,'Product Master'!$A$7:$A$1000,0)))</f>
        <v/>
      </c>
      <c r="M920" t="str">
        <f>IF($I920="","",INDEX('Product Master'!$N$7:$N$1000,MATCH($I920,'Product Master'!$A$7:$A$1000,0)))</f>
        <v/>
      </c>
    </row>
    <row r="921" spans="1:13" x14ac:dyDescent="0.3">
      <c r="A921" t="str">
        <f>IFERROR(INDEX('Product Master'!$A$7:$A$1000,_xlfn.AGGREGATE(15,6,(ROW('Product Master'!$A$7:$A$1000)-ROW('Product Master'!$A$7)+1)/(('Product Master'!$A$7:$A$1000&lt;&gt;"")*('Product Master'!$P$7:$P$1000="Low Stock")),ROWS($A$12:A921))),"")</f>
        <v/>
      </c>
      <c r="B921" t="str">
        <f>IF($A921="","",INDEX('Product Master'!$B$7:$B$1000,MATCH($A921,'Product Master'!$A$7:$A$1000,0)))</f>
        <v/>
      </c>
      <c r="C921" t="str">
        <f>IF($A921="","",INDEX('Product Master'!$C$7:$C$1000,MATCH($A921,'Product Master'!$A$7:$A$1000,0)))</f>
        <v/>
      </c>
      <c r="D921" t="str">
        <f>IF($A921="","",INDEX('Product Master'!$M$7:$M$1000,MATCH($A921,'Product Master'!$A$7:$A$1000,0)))</f>
        <v/>
      </c>
      <c r="E921" t="str">
        <f>IF($A921="","",INDEX('Product Master'!$N$7:$N$1000,MATCH($A921,'Product Master'!$A$7:$A$1000,0)))</f>
        <v/>
      </c>
      <c r="F921" t="str">
        <f>IF($A921="","",INDEX('Product Master'!$P$7:$P$1000,MATCH($A921,'Product Master'!$A$7:$A$1000,0)))</f>
        <v/>
      </c>
      <c r="I921" t="str">
        <f>IFERROR(INDEX('Product Master'!$A$7:$A$1000,_xlfn.AGGREGATE(15,6,(ROW('Product Master'!$A$7:$A$1000)-ROW('Product Master'!$A$7)+1)/(('Product Master'!$A$7:$A$1000&lt;&gt;"")*('Product Master'!$P$7:$P$1000="Out of Stock")),ROWS($I$12:I921))),"")</f>
        <v/>
      </c>
      <c r="J921" t="str">
        <f>IF($I921="","",INDEX('Product Master'!$B$7:$B$1000,MATCH($I921,'Product Master'!$A$7:$A$1000,0)))</f>
        <v/>
      </c>
      <c r="K921" t="str">
        <f>IF($I921="","",INDEX('Product Master'!$C$7:$C$1000,MATCH($I921,'Product Master'!$A$7:$A$1000,0)))</f>
        <v/>
      </c>
      <c r="L921" t="str">
        <f>IF($I921="","",INDEX('Product Master'!$M$7:$M$1000,MATCH($I921,'Product Master'!$A$7:$A$1000,0)))</f>
        <v/>
      </c>
      <c r="M921" t="str">
        <f>IF($I921="","",INDEX('Product Master'!$N$7:$N$1000,MATCH($I921,'Product Master'!$A$7:$A$1000,0)))</f>
        <v/>
      </c>
    </row>
    <row r="922" spans="1:13" x14ac:dyDescent="0.3">
      <c r="A922" t="str">
        <f>IFERROR(INDEX('Product Master'!$A$7:$A$1000,_xlfn.AGGREGATE(15,6,(ROW('Product Master'!$A$7:$A$1000)-ROW('Product Master'!$A$7)+1)/(('Product Master'!$A$7:$A$1000&lt;&gt;"")*('Product Master'!$P$7:$P$1000="Low Stock")),ROWS($A$12:A922))),"")</f>
        <v/>
      </c>
      <c r="B922" t="str">
        <f>IF($A922="","",INDEX('Product Master'!$B$7:$B$1000,MATCH($A922,'Product Master'!$A$7:$A$1000,0)))</f>
        <v/>
      </c>
      <c r="C922" t="str">
        <f>IF($A922="","",INDEX('Product Master'!$C$7:$C$1000,MATCH($A922,'Product Master'!$A$7:$A$1000,0)))</f>
        <v/>
      </c>
      <c r="D922" t="str">
        <f>IF($A922="","",INDEX('Product Master'!$M$7:$M$1000,MATCH($A922,'Product Master'!$A$7:$A$1000,0)))</f>
        <v/>
      </c>
      <c r="E922" t="str">
        <f>IF($A922="","",INDEX('Product Master'!$N$7:$N$1000,MATCH($A922,'Product Master'!$A$7:$A$1000,0)))</f>
        <v/>
      </c>
      <c r="F922" t="str">
        <f>IF($A922="","",INDEX('Product Master'!$P$7:$P$1000,MATCH($A922,'Product Master'!$A$7:$A$1000,0)))</f>
        <v/>
      </c>
      <c r="I922" t="str">
        <f>IFERROR(INDEX('Product Master'!$A$7:$A$1000,_xlfn.AGGREGATE(15,6,(ROW('Product Master'!$A$7:$A$1000)-ROW('Product Master'!$A$7)+1)/(('Product Master'!$A$7:$A$1000&lt;&gt;"")*('Product Master'!$P$7:$P$1000="Out of Stock")),ROWS($I$12:I922))),"")</f>
        <v/>
      </c>
      <c r="J922" t="str">
        <f>IF($I922="","",INDEX('Product Master'!$B$7:$B$1000,MATCH($I922,'Product Master'!$A$7:$A$1000,0)))</f>
        <v/>
      </c>
      <c r="K922" t="str">
        <f>IF($I922="","",INDEX('Product Master'!$C$7:$C$1000,MATCH($I922,'Product Master'!$A$7:$A$1000,0)))</f>
        <v/>
      </c>
      <c r="L922" t="str">
        <f>IF($I922="","",INDEX('Product Master'!$M$7:$M$1000,MATCH($I922,'Product Master'!$A$7:$A$1000,0)))</f>
        <v/>
      </c>
      <c r="M922" t="str">
        <f>IF($I922="","",INDEX('Product Master'!$N$7:$N$1000,MATCH($I922,'Product Master'!$A$7:$A$1000,0)))</f>
        <v/>
      </c>
    </row>
    <row r="923" spans="1:13" x14ac:dyDescent="0.3">
      <c r="A923" t="str">
        <f>IFERROR(INDEX('Product Master'!$A$7:$A$1000,_xlfn.AGGREGATE(15,6,(ROW('Product Master'!$A$7:$A$1000)-ROW('Product Master'!$A$7)+1)/(('Product Master'!$A$7:$A$1000&lt;&gt;"")*('Product Master'!$P$7:$P$1000="Low Stock")),ROWS($A$12:A923))),"")</f>
        <v/>
      </c>
      <c r="B923" t="str">
        <f>IF($A923="","",INDEX('Product Master'!$B$7:$B$1000,MATCH($A923,'Product Master'!$A$7:$A$1000,0)))</f>
        <v/>
      </c>
      <c r="C923" t="str">
        <f>IF($A923="","",INDEX('Product Master'!$C$7:$C$1000,MATCH($A923,'Product Master'!$A$7:$A$1000,0)))</f>
        <v/>
      </c>
      <c r="D923" t="str">
        <f>IF($A923="","",INDEX('Product Master'!$M$7:$M$1000,MATCH($A923,'Product Master'!$A$7:$A$1000,0)))</f>
        <v/>
      </c>
      <c r="E923" t="str">
        <f>IF($A923="","",INDEX('Product Master'!$N$7:$N$1000,MATCH($A923,'Product Master'!$A$7:$A$1000,0)))</f>
        <v/>
      </c>
      <c r="F923" t="str">
        <f>IF($A923="","",INDEX('Product Master'!$P$7:$P$1000,MATCH($A923,'Product Master'!$A$7:$A$1000,0)))</f>
        <v/>
      </c>
      <c r="I923" t="str">
        <f>IFERROR(INDEX('Product Master'!$A$7:$A$1000,_xlfn.AGGREGATE(15,6,(ROW('Product Master'!$A$7:$A$1000)-ROW('Product Master'!$A$7)+1)/(('Product Master'!$A$7:$A$1000&lt;&gt;"")*('Product Master'!$P$7:$P$1000="Out of Stock")),ROWS($I$12:I923))),"")</f>
        <v/>
      </c>
      <c r="J923" t="str">
        <f>IF($I923="","",INDEX('Product Master'!$B$7:$B$1000,MATCH($I923,'Product Master'!$A$7:$A$1000,0)))</f>
        <v/>
      </c>
      <c r="K923" t="str">
        <f>IF($I923="","",INDEX('Product Master'!$C$7:$C$1000,MATCH($I923,'Product Master'!$A$7:$A$1000,0)))</f>
        <v/>
      </c>
      <c r="L923" t="str">
        <f>IF($I923="","",INDEX('Product Master'!$M$7:$M$1000,MATCH($I923,'Product Master'!$A$7:$A$1000,0)))</f>
        <v/>
      </c>
      <c r="M923" t="str">
        <f>IF($I923="","",INDEX('Product Master'!$N$7:$N$1000,MATCH($I923,'Product Master'!$A$7:$A$1000,0)))</f>
        <v/>
      </c>
    </row>
    <row r="924" spans="1:13" x14ac:dyDescent="0.3">
      <c r="A924" t="str">
        <f>IFERROR(INDEX('Product Master'!$A$7:$A$1000,_xlfn.AGGREGATE(15,6,(ROW('Product Master'!$A$7:$A$1000)-ROW('Product Master'!$A$7)+1)/(('Product Master'!$A$7:$A$1000&lt;&gt;"")*('Product Master'!$P$7:$P$1000="Low Stock")),ROWS($A$12:A924))),"")</f>
        <v/>
      </c>
      <c r="B924" t="str">
        <f>IF($A924="","",INDEX('Product Master'!$B$7:$B$1000,MATCH($A924,'Product Master'!$A$7:$A$1000,0)))</f>
        <v/>
      </c>
      <c r="C924" t="str">
        <f>IF($A924="","",INDEX('Product Master'!$C$7:$C$1000,MATCH($A924,'Product Master'!$A$7:$A$1000,0)))</f>
        <v/>
      </c>
      <c r="D924" t="str">
        <f>IF($A924="","",INDEX('Product Master'!$M$7:$M$1000,MATCH($A924,'Product Master'!$A$7:$A$1000,0)))</f>
        <v/>
      </c>
      <c r="E924" t="str">
        <f>IF($A924="","",INDEX('Product Master'!$N$7:$N$1000,MATCH($A924,'Product Master'!$A$7:$A$1000,0)))</f>
        <v/>
      </c>
      <c r="F924" t="str">
        <f>IF($A924="","",INDEX('Product Master'!$P$7:$P$1000,MATCH($A924,'Product Master'!$A$7:$A$1000,0)))</f>
        <v/>
      </c>
      <c r="I924" t="str">
        <f>IFERROR(INDEX('Product Master'!$A$7:$A$1000,_xlfn.AGGREGATE(15,6,(ROW('Product Master'!$A$7:$A$1000)-ROW('Product Master'!$A$7)+1)/(('Product Master'!$A$7:$A$1000&lt;&gt;"")*('Product Master'!$P$7:$P$1000="Out of Stock")),ROWS($I$12:I924))),"")</f>
        <v/>
      </c>
      <c r="J924" t="str">
        <f>IF($I924="","",INDEX('Product Master'!$B$7:$B$1000,MATCH($I924,'Product Master'!$A$7:$A$1000,0)))</f>
        <v/>
      </c>
      <c r="K924" t="str">
        <f>IF($I924="","",INDEX('Product Master'!$C$7:$C$1000,MATCH($I924,'Product Master'!$A$7:$A$1000,0)))</f>
        <v/>
      </c>
      <c r="L924" t="str">
        <f>IF($I924="","",INDEX('Product Master'!$M$7:$M$1000,MATCH($I924,'Product Master'!$A$7:$A$1000,0)))</f>
        <v/>
      </c>
      <c r="M924" t="str">
        <f>IF($I924="","",INDEX('Product Master'!$N$7:$N$1000,MATCH($I924,'Product Master'!$A$7:$A$1000,0)))</f>
        <v/>
      </c>
    </row>
    <row r="925" spans="1:13" x14ac:dyDescent="0.3">
      <c r="A925" t="str">
        <f>IFERROR(INDEX('Product Master'!$A$7:$A$1000,_xlfn.AGGREGATE(15,6,(ROW('Product Master'!$A$7:$A$1000)-ROW('Product Master'!$A$7)+1)/(('Product Master'!$A$7:$A$1000&lt;&gt;"")*('Product Master'!$P$7:$P$1000="Low Stock")),ROWS($A$12:A925))),"")</f>
        <v/>
      </c>
      <c r="B925" t="str">
        <f>IF($A925="","",INDEX('Product Master'!$B$7:$B$1000,MATCH($A925,'Product Master'!$A$7:$A$1000,0)))</f>
        <v/>
      </c>
      <c r="C925" t="str">
        <f>IF($A925="","",INDEX('Product Master'!$C$7:$C$1000,MATCH($A925,'Product Master'!$A$7:$A$1000,0)))</f>
        <v/>
      </c>
      <c r="D925" t="str">
        <f>IF($A925="","",INDEX('Product Master'!$M$7:$M$1000,MATCH($A925,'Product Master'!$A$7:$A$1000,0)))</f>
        <v/>
      </c>
      <c r="E925" t="str">
        <f>IF($A925="","",INDEX('Product Master'!$N$7:$N$1000,MATCH($A925,'Product Master'!$A$7:$A$1000,0)))</f>
        <v/>
      </c>
      <c r="F925" t="str">
        <f>IF($A925="","",INDEX('Product Master'!$P$7:$P$1000,MATCH($A925,'Product Master'!$A$7:$A$1000,0)))</f>
        <v/>
      </c>
      <c r="I925" t="str">
        <f>IFERROR(INDEX('Product Master'!$A$7:$A$1000,_xlfn.AGGREGATE(15,6,(ROW('Product Master'!$A$7:$A$1000)-ROW('Product Master'!$A$7)+1)/(('Product Master'!$A$7:$A$1000&lt;&gt;"")*('Product Master'!$P$7:$P$1000="Out of Stock")),ROWS($I$12:I925))),"")</f>
        <v/>
      </c>
      <c r="J925" t="str">
        <f>IF($I925="","",INDEX('Product Master'!$B$7:$B$1000,MATCH($I925,'Product Master'!$A$7:$A$1000,0)))</f>
        <v/>
      </c>
      <c r="K925" t="str">
        <f>IF($I925="","",INDEX('Product Master'!$C$7:$C$1000,MATCH($I925,'Product Master'!$A$7:$A$1000,0)))</f>
        <v/>
      </c>
      <c r="L925" t="str">
        <f>IF($I925="","",INDEX('Product Master'!$M$7:$M$1000,MATCH($I925,'Product Master'!$A$7:$A$1000,0)))</f>
        <v/>
      </c>
      <c r="M925" t="str">
        <f>IF($I925="","",INDEX('Product Master'!$N$7:$N$1000,MATCH($I925,'Product Master'!$A$7:$A$1000,0)))</f>
        <v/>
      </c>
    </row>
    <row r="926" spans="1:13" x14ac:dyDescent="0.3">
      <c r="A926" t="str">
        <f>IFERROR(INDEX('Product Master'!$A$7:$A$1000,_xlfn.AGGREGATE(15,6,(ROW('Product Master'!$A$7:$A$1000)-ROW('Product Master'!$A$7)+1)/(('Product Master'!$A$7:$A$1000&lt;&gt;"")*('Product Master'!$P$7:$P$1000="Low Stock")),ROWS($A$12:A926))),"")</f>
        <v/>
      </c>
      <c r="B926" t="str">
        <f>IF($A926="","",INDEX('Product Master'!$B$7:$B$1000,MATCH($A926,'Product Master'!$A$7:$A$1000,0)))</f>
        <v/>
      </c>
      <c r="C926" t="str">
        <f>IF($A926="","",INDEX('Product Master'!$C$7:$C$1000,MATCH($A926,'Product Master'!$A$7:$A$1000,0)))</f>
        <v/>
      </c>
      <c r="D926" t="str">
        <f>IF($A926="","",INDEX('Product Master'!$M$7:$M$1000,MATCH($A926,'Product Master'!$A$7:$A$1000,0)))</f>
        <v/>
      </c>
      <c r="E926" t="str">
        <f>IF($A926="","",INDEX('Product Master'!$N$7:$N$1000,MATCH($A926,'Product Master'!$A$7:$A$1000,0)))</f>
        <v/>
      </c>
      <c r="F926" t="str">
        <f>IF($A926="","",INDEX('Product Master'!$P$7:$P$1000,MATCH($A926,'Product Master'!$A$7:$A$1000,0)))</f>
        <v/>
      </c>
      <c r="I926" t="str">
        <f>IFERROR(INDEX('Product Master'!$A$7:$A$1000,_xlfn.AGGREGATE(15,6,(ROW('Product Master'!$A$7:$A$1000)-ROW('Product Master'!$A$7)+1)/(('Product Master'!$A$7:$A$1000&lt;&gt;"")*('Product Master'!$P$7:$P$1000="Out of Stock")),ROWS($I$12:I926))),"")</f>
        <v/>
      </c>
      <c r="J926" t="str">
        <f>IF($I926="","",INDEX('Product Master'!$B$7:$B$1000,MATCH($I926,'Product Master'!$A$7:$A$1000,0)))</f>
        <v/>
      </c>
      <c r="K926" t="str">
        <f>IF($I926="","",INDEX('Product Master'!$C$7:$C$1000,MATCH($I926,'Product Master'!$A$7:$A$1000,0)))</f>
        <v/>
      </c>
      <c r="L926" t="str">
        <f>IF($I926="","",INDEX('Product Master'!$M$7:$M$1000,MATCH($I926,'Product Master'!$A$7:$A$1000,0)))</f>
        <v/>
      </c>
      <c r="M926" t="str">
        <f>IF($I926="","",INDEX('Product Master'!$N$7:$N$1000,MATCH($I926,'Product Master'!$A$7:$A$1000,0)))</f>
        <v/>
      </c>
    </row>
    <row r="927" spans="1:13" x14ac:dyDescent="0.3">
      <c r="A927" t="str">
        <f>IFERROR(INDEX('Product Master'!$A$7:$A$1000,_xlfn.AGGREGATE(15,6,(ROW('Product Master'!$A$7:$A$1000)-ROW('Product Master'!$A$7)+1)/(('Product Master'!$A$7:$A$1000&lt;&gt;"")*('Product Master'!$P$7:$P$1000="Low Stock")),ROWS($A$12:A927))),"")</f>
        <v/>
      </c>
      <c r="B927" t="str">
        <f>IF($A927="","",INDEX('Product Master'!$B$7:$B$1000,MATCH($A927,'Product Master'!$A$7:$A$1000,0)))</f>
        <v/>
      </c>
      <c r="C927" t="str">
        <f>IF($A927="","",INDEX('Product Master'!$C$7:$C$1000,MATCH($A927,'Product Master'!$A$7:$A$1000,0)))</f>
        <v/>
      </c>
      <c r="D927" t="str">
        <f>IF($A927="","",INDEX('Product Master'!$M$7:$M$1000,MATCH($A927,'Product Master'!$A$7:$A$1000,0)))</f>
        <v/>
      </c>
      <c r="E927" t="str">
        <f>IF($A927="","",INDEX('Product Master'!$N$7:$N$1000,MATCH($A927,'Product Master'!$A$7:$A$1000,0)))</f>
        <v/>
      </c>
      <c r="F927" t="str">
        <f>IF($A927="","",INDEX('Product Master'!$P$7:$P$1000,MATCH($A927,'Product Master'!$A$7:$A$1000,0)))</f>
        <v/>
      </c>
      <c r="I927" t="str">
        <f>IFERROR(INDEX('Product Master'!$A$7:$A$1000,_xlfn.AGGREGATE(15,6,(ROW('Product Master'!$A$7:$A$1000)-ROW('Product Master'!$A$7)+1)/(('Product Master'!$A$7:$A$1000&lt;&gt;"")*('Product Master'!$P$7:$P$1000="Out of Stock")),ROWS($I$12:I927))),"")</f>
        <v/>
      </c>
      <c r="J927" t="str">
        <f>IF($I927="","",INDEX('Product Master'!$B$7:$B$1000,MATCH($I927,'Product Master'!$A$7:$A$1000,0)))</f>
        <v/>
      </c>
      <c r="K927" t="str">
        <f>IF($I927="","",INDEX('Product Master'!$C$7:$C$1000,MATCH($I927,'Product Master'!$A$7:$A$1000,0)))</f>
        <v/>
      </c>
      <c r="L927" t="str">
        <f>IF($I927="","",INDEX('Product Master'!$M$7:$M$1000,MATCH($I927,'Product Master'!$A$7:$A$1000,0)))</f>
        <v/>
      </c>
      <c r="M927" t="str">
        <f>IF($I927="","",INDEX('Product Master'!$N$7:$N$1000,MATCH($I927,'Product Master'!$A$7:$A$1000,0)))</f>
        <v/>
      </c>
    </row>
    <row r="928" spans="1:13" x14ac:dyDescent="0.3">
      <c r="A928" t="str">
        <f>IFERROR(INDEX('Product Master'!$A$7:$A$1000,_xlfn.AGGREGATE(15,6,(ROW('Product Master'!$A$7:$A$1000)-ROW('Product Master'!$A$7)+1)/(('Product Master'!$A$7:$A$1000&lt;&gt;"")*('Product Master'!$P$7:$P$1000="Low Stock")),ROWS($A$12:A928))),"")</f>
        <v/>
      </c>
      <c r="B928" t="str">
        <f>IF($A928="","",INDEX('Product Master'!$B$7:$B$1000,MATCH($A928,'Product Master'!$A$7:$A$1000,0)))</f>
        <v/>
      </c>
      <c r="C928" t="str">
        <f>IF($A928="","",INDEX('Product Master'!$C$7:$C$1000,MATCH($A928,'Product Master'!$A$7:$A$1000,0)))</f>
        <v/>
      </c>
      <c r="D928" t="str">
        <f>IF($A928="","",INDEX('Product Master'!$M$7:$M$1000,MATCH($A928,'Product Master'!$A$7:$A$1000,0)))</f>
        <v/>
      </c>
      <c r="E928" t="str">
        <f>IF($A928="","",INDEX('Product Master'!$N$7:$N$1000,MATCH($A928,'Product Master'!$A$7:$A$1000,0)))</f>
        <v/>
      </c>
      <c r="F928" t="str">
        <f>IF($A928="","",INDEX('Product Master'!$P$7:$P$1000,MATCH($A928,'Product Master'!$A$7:$A$1000,0)))</f>
        <v/>
      </c>
      <c r="I928" t="str">
        <f>IFERROR(INDEX('Product Master'!$A$7:$A$1000,_xlfn.AGGREGATE(15,6,(ROW('Product Master'!$A$7:$A$1000)-ROW('Product Master'!$A$7)+1)/(('Product Master'!$A$7:$A$1000&lt;&gt;"")*('Product Master'!$P$7:$P$1000="Out of Stock")),ROWS($I$12:I928))),"")</f>
        <v/>
      </c>
      <c r="J928" t="str">
        <f>IF($I928="","",INDEX('Product Master'!$B$7:$B$1000,MATCH($I928,'Product Master'!$A$7:$A$1000,0)))</f>
        <v/>
      </c>
      <c r="K928" t="str">
        <f>IF($I928="","",INDEX('Product Master'!$C$7:$C$1000,MATCH($I928,'Product Master'!$A$7:$A$1000,0)))</f>
        <v/>
      </c>
      <c r="L928" t="str">
        <f>IF($I928="","",INDEX('Product Master'!$M$7:$M$1000,MATCH($I928,'Product Master'!$A$7:$A$1000,0)))</f>
        <v/>
      </c>
      <c r="M928" t="str">
        <f>IF($I928="","",INDEX('Product Master'!$N$7:$N$1000,MATCH($I928,'Product Master'!$A$7:$A$1000,0)))</f>
        <v/>
      </c>
    </row>
    <row r="929" spans="1:13" x14ac:dyDescent="0.3">
      <c r="A929" t="str">
        <f>IFERROR(INDEX('Product Master'!$A$7:$A$1000,_xlfn.AGGREGATE(15,6,(ROW('Product Master'!$A$7:$A$1000)-ROW('Product Master'!$A$7)+1)/(('Product Master'!$A$7:$A$1000&lt;&gt;"")*('Product Master'!$P$7:$P$1000="Low Stock")),ROWS($A$12:A929))),"")</f>
        <v/>
      </c>
      <c r="B929" t="str">
        <f>IF($A929="","",INDEX('Product Master'!$B$7:$B$1000,MATCH($A929,'Product Master'!$A$7:$A$1000,0)))</f>
        <v/>
      </c>
      <c r="C929" t="str">
        <f>IF($A929="","",INDEX('Product Master'!$C$7:$C$1000,MATCH($A929,'Product Master'!$A$7:$A$1000,0)))</f>
        <v/>
      </c>
      <c r="D929" t="str">
        <f>IF($A929="","",INDEX('Product Master'!$M$7:$M$1000,MATCH($A929,'Product Master'!$A$7:$A$1000,0)))</f>
        <v/>
      </c>
      <c r="E929" t="str">
        <f>IF($A929="","",INDEX('Product Master'!$N$7:$N$1000,MATCH($A929,'Product Master'!$A$7:$A$1000,0)))</f>
        <v/>
      </c>
      <c r="F929" t="str">
        <f>IF($A929="","",INDEX('Product Master'!$P$7:$P$1000,MATCH($A929,'Product Master'!$A$7:$A$1000,0)))</f>
        <v/>
      </c>
      <c r="I929" t="str">
        <f>IFERROR(INDEX('Product Master'!$A$7:$A$1000,_xlfn.AGGREGATE(15,6,(ROW('Product Master'!$A$7:$A$1000)-ROW('Product Master'!$A$7)+1)/(('Product Master'!$A$7:$A$1000&lt;&gt;"")*('Product Master'!$P$7:$P$1000="Out of Stock")),ROWS($I$12:I929))),"")</f>
        <v/>
      </c>
      <c r="J929" t="str">
        <f>IF($I929="","",INDEX('Product Master'!$B$7:$B$1000,MATCH($I929,'Product Master'!$A$7:$A$1000,0)))</f>
        <v/>
      </c>
      <c r="K929" t="str">
        <f>IF($I929="","",INDEX('Product Master'!$C$7:$C$1000,MATCH($I929,'Product Master'!$A$7:$A$1000,0)))</f>
        <v/>
      </c>
      <c r="L929" t="str">
        <f>IF($I929="","",INDEX('Product Master'!$M$7:$M$1000,MATCH($I929,'Product Master'!$A$7:$A$1000,0)))</f>
        <v/>
      </c>
      <c r="M929" t="str">
        <f>IF($I929="","",INDEX('Product Master'!$N$7:$N$1000,MATCH($I929,'Product Master'!$A$7:$A$1000,0)))</f>
        <v/>
      </c>
    </row>
    <row r="930" spans="1:13" x14ac:dyDescent="0.3">
      <c r="A930" t="str">
        <f>IFERROR(INDEX('Product Master'!$A$7:$A$1000,_xlfn.AGGREGATE(15,6,(ROW('Product Master'!$A$7:$A$1000)-ROW('Product Master'!$A$7)+1)/(('Product Master'!$A$7:$A$1000&lt;&gt;"")*('Product Master'!$P$7:$P$1000="Low Stock")),ROWS($A$12:A930))),"")</f>
        <v/>
      </c>
      <c r="B930" t="str">
        <f>IF($A930="","",INDEX('Product Master'!$B$7:$B$1000,MATCH($A930,'Product Master'!$A$7:$A$1000,0)))</f>
        <v/>
      </c>
      <c r="C930" t="str">
        <f>IF($A930="","",INDEX('Product Master'!$C$7:$C$1000,MATCH($A930,'Product Master'!$A$7:$A$1000,0)))</f>
        <v/>
      </c>
      <c r="D930" t="str">
        <f>IF($A930="","",INDEX('Product Master'!$M$7:$M$1000,MATCH($A930,'Product Master'!$A$7:$A$1000,0)))</f>
        <v/>
      </c>
      <c r="E930" t="str">
        <f>IF($A930="","",INDEX('Product Master'!$N$7:$N$1000,MATCH($A930,'Product Master'!$A$7:$A$1000,0)))</f>
        <v/>
      </c>
      <c r="F930" t="str">
        <f>IF($A930="","",INDEX('Product Master'!$P$7:$P$1000,MATCH($A930,'Product Master'!$A$7:$A$1000,0)))</f>
        <v/>
      </c>
      <c r="I930" t="str">
        <f>IFERROR(INDEX('Product Master'!$A$7:$A$1000,_xlfn.AGGREGATE(15,6,(ROW('Product Master'!$A$7:$A$1000)-ROW('Product Master'!$A$7)+1)/(('Product Master'!$A$7:$A$1000&lt;&gt;"")*('Product Master'!$P$7:$P$1000="Out of Stock")),ROWS($I$12:I930))),"")</f>
        <v/>
      </c>
      <c r="J930" t="str">
        <f>IF($I930="","",INDEX('Product Master'!$B$7:$B$1000,MATCH($I930,'Product Master'!$A$7:$A$1000,0)))</f>
        <v/>
      </c>
      <c r="K930" t="str">
        <f>IF($I930="","",INDEX('Product Master'!$C$7:$C$1000,MATCH($I930,'Product Master'!$A$7:$A$1000,0)))</f>
        <v/>
      </c>
      <c r="L930" t="str">
        <f>IF($I930="","",INDEX('Product Master'!$M$7:$M$1000,MATCH($I930,'Product Master'!$A$7:$A$1000,0)))</f>
        <v/>
      </c>
      <c r="M930" t="str">
        <f>IF($I930="","",INDEX('Product Master'!$N$7:$N$1000,MATCH($I930,'Product Master'!$A$7:$A$1000,0)))</f>
        <v/>
      </c>
    </row>
    <row r="931" spans="1:13" x14ac:dyDescent="0.3">
      <c r="A931" t="str">
        <f>IFERROR(INDEX('Product Master'!$A$7:$A$1000,_xlfn.AGGREGATE(15,6,(ROW('Product Master'!$A$7:$A$1000)-ROW('Product Master'!$A$7)+1)/(('Product Master'!$A$7:$A$1000&lt;&gt;"")*('Product Master'!$P$7:$P$1000="Low Stock")),ROWS($A$12:A931))),"")</f>
        <v/>
      </c>
      <c r="B931" t="str">
        <f>IF($A931="","",INDEX('Product Master'!$B$7:$B$1000,MATCH($A931,'Product Master'!$A$7:$A$1000,0)))</f>
        <v/>
      </c>
      <c r="C931" t="str">
        <f>IF($A931="","",INDEX('Product Master'!$C$7:$C$1000,MATCH($A931,'Product Master'!$A$7:$A$1000,0)))</f>
        <v/>
      </c>
      <c r="D931" t="str">
        <f>IF($A931="","",INDEX('Product Master'!$M$7:$M$1000,MATCH($A931,'Product Master'!$A$7:$A$1000,0)))</f>
        <v/>
      </c>
      <c r="E931" t="str">
        <f>IF($A931="","",INDEX('Product Master'!$N$7:$N$1000,MATCH($A931,'Product Master'!$A$7:$A$1000,0)))</f>
        <v/>
      </c>
      <c r="F931" t="str">
        <f>IF($A931="","",INDEX('Product Master'!$P$7:$P$1000,MATCH($A931,'Product Master'!$A$7:$A$1000,0)))</f>
        <v/>
      </c>
      <c r="I931" t="str">
        <f>IFERROR(INDEX('Product Master'!$A$7:$A$1000,_xlfn.AGGREGATE(15,6,(ROW('Product Master'!$A$7:$A$1000)-ROW('Product Master'!$A$7)+1)/(('Product Master'!$A$7:$A$1000&lt;&gt;"")*('Product Master'!$P$7:$P$1000="Out of Stock")),ROWS($I$12:I931))),"")</f>
        <v/>
      </c>
      <c r="J931" t="str">
        <f>IF($I931="","",INDEX('Product Master'!$B$7:$B$1000,MATCH($I931,'Product Master'!$A$7:$A$1000,0)))</f>
        <v/>
      </c>
      <c r="K931" t="str">
        <f>IF($I931="","",INDEX('Product Master'!$C$7:$C$1000,MATCH($I931,'Product Master'!$A$7:$A$1000,0)))</f>
        <v/>
      </c>
      <c r="L931" t="str">
        <f>IF($I931="","",INDEX('Product Master'!$M$7:$M$1000,MATCH($I931,'Product Master'!$A$7:$A$1000,0)))</f>
        <v/>
      </c>
      <c r="M931" t="str">
        <f>IF($I931="","",INDEX('Product Master'!$N$7:$N$1000,MATCH($I931,'Product Master'!$A$7:$A$1000,0)))</f>
        <v/>
      </c>
    </row>
    <row r="932" spans="1:13" x14ac:dyDescent="0.3">
      <c r="A932" t="str">
        <f>IFERROR(INDEX('Product Master'!$A$7:$A$1000,_xlfn.AGGREGATE(15,6,(ROW('Product Master'!$A$7:$A$1000)-ROW('Product Master'!$A$7)+1)/(('Product Master'!$A$7:$A$1000&lt;&gt;"")*('Product Master'!$P$7:$P$1000="Low Stock")),ROWS($A$12:A932))),"")</f>
        <v/>
      </c>
      <c r="B932" t="str">
        <f>IF($A932="","",INDEX('Product Master'!$B$7:$B$1000,MATCH($A932,'Product Master'!$A$7:$A$1000,0)))</f>
        <v/>
      </c>
      <c r="C932" t="str">
        <f>IF($A932="","",INDEX('Product Master'!$C$7:$C$1000,MATCH($A932,'Product Master'!$A$7:$A$1000,0)))</f>
        <v/>
      </c>
      <c r="D932" t="str">
        <f>IF($A932="","",INDEX('Product Master'!$M$7:$M$1000,MATCH($A932,'Product Master'!$A$7:$A$1000,0)))</f>
        <v/>
      </c>
      <c r="E932" t="str">
        <f>IF($A932="","",INDEX('Product Master'!$N$7:$N$1000,MATCH($A932,'Product Master'!$A$7:$A$1000,0)))</f>
        <v/>
      </c>
      <c r="F932" t="str">
        <f>IF($A932="","",INDEX('Product Master'!$P$7:$P$1000,MATCH($A932,'Product Master'!$A$7:$A$1000,0)))</f>
        <v/>
      </c>
      <c r="I932" t="str">
        <f>IFERROR(INDEX('Product Master'!$A$7:$A$1000,_xlfn.AGGREGATE(15,6,(ROW('Product Master'!$A$7:$A$1000)-ROW('Product Master'!$A$7)+1)/(('Product Master'!$A$7:$A$1000&lt;&gt;"")*('Product Master'!$P$7:$P$1000="Out of Stock")),ROWS($I$12:I932))),"")</f>
        <v/>
      </c>
      <c r="J932" t="str">
        <f>IF($I932="","",INDEX('Product Master'!$B$7:$B$1000,MATCH($I932,'Product Master'!$A$7:$A$1000,0)))</f>
        <v/>
      </c>
      <c r="K932" t="str">
        <f>IF($I932="","",INDEX('Product Master'!$C$7:$C$1000,MATCH($I932,'Product Master'!$A$7:$A$1000,0)))</f>
        <v/>
      </c>
      <c r="L932" t="str">
        <f>IF($I932="","",INDEX('Product Master'!$M$7:$M$1000,MATCH($I932,'Product Master'!$A$7:$A$1000,0)))</f>
        <v/>
      </c>
      <c r="M932" t="str">
        <f>IF($I932="","",INDEX('Product Master'!$N$7:$N$1000,MATCH($I932,'Product Master'!$A$7:$A$1000,0)))</f>
        <v/>
      </c>
    </row>
    <row r="933" spans="1:13" x14ac:dyDescent="0.3">
      <c r="A933" t="str">
        <f>IFERROR(INDEX('Product Master'!$A$7:$A$1000,_xlfn.AGGREGATE(15,6,(ROW('Product Master'!$A$7:$A$1000)-ROW('Product Master'!$A$7)+1)/(('Product Master'!$A$7:$A$1000&lt;&gt;"")*('Product Master'!$P$7:$P$1000="Low Stock")),ROWS($A$12:A933))),"")</f>
        <v/>
      </c>
      <c r="B933" t="str">
        <f>IF($A933="","",INDEX('Product Master'!$B$7:$B$1000,MATCH($A933,'Product Master'!$A$7:$A$1000,0)))</f>
        <v/>
      </c>
      <c r="C933" t="str">
        <f>IF($A933="","",INDEX('Product Master'!$C$7:$C$1000,MATCH($A933,'Product Master'!$A$7:$A$1000,0)))</f>
        <v/>
      </c>
      <c r="D933" t="str">
        <f>IF($A933="","",INDEX('Product Master'!$M$7:$M$1000,MATCH($A933,'Product Master'!$A$7:$A$1000,0)))</f>
        <v/>
      </c>
      <c r="E933" t="str">
        <f>IF($A933="","",INDEX('Product Master'!$N$7:$N$1000,MATCH($A933,'Product Master'!$A$7:$A$1000,0)))</f>
        <v/>
      </c>
      <c r="F933" t="str">
        <f>IF($A933="","",INDEX('Product Master'!$P$7:$P$1000,MATCH($A933,'Product Master'!$A$7:$A$1000,0)))</f>
        <v/>
      </c>
      <c r="I933" t="str">
        <f>IFERROR(INDEX('Product Master'!$A$7:$A$1000,_xlfn.AGGREGATE(15,6,(ROW('Product Master'!$A$7:$A$1000)-ROW('Product Master'!$A$7)+1)/(('Product Master'!$A$7:$A$1000&lt;&gt;"")*('Product Master'!$P$7:$P$1000="Out of Stock")),ROWS($I$12:I933))),"")</f>
        <v/>
      </c>
      <c r="J933" t="str">
        <f>IF($I933="","",INDEX('Product Master'!$B$7:$B$1000,MATCH($I933,'Product Master'!$A$7:$A$1000,0)))</f>
        <v/>
      </c>
      <c r="K933" t="str">
        <f>IF($I933="","",INDEX('Product Master'!$C$7:$C$1000,MATCH($I933,'Product Master'!$A$7:$A$1000,0)))</f>
        <v/>
      </c>
      <c r="L933" t="str">
        <f>IF($I933="","",INDEX('Product Master'!$M$7:$M$1000,MATCH($I933,'Product Master'!$A$7:$A$1000,0)))</f>
        <v/>
      </c>
      <c r="M933" t="str">
        <f>IF($I933="","",INDEX('Product Master'!$N$7:$N$1000,MATCH($I933,'Product Master'!$A$7:$A$1000,0)))</f>
        <v/>
      </c>
    </row>
    <row r="934" spans="1:13" x14ac:dyDescent="0.3">
      <c r="A934" t="str">
        <f>IFERROR(INDEX('Product Master'!$A$7:$A$1000,_xlfn.AGGREGATE(15,6,(ROW('Product Master'!$A$7:$A$1000)-ROW('Product Master'!$A$7)+1)/(('Product Master'!$A$7:$A$1000&lt;&gt;"")*('Product Master'!$P$7:$P$1000="Low Stock")),ROWS($A$12:A934))),"")</f>
        <v/>
      </c>
      <c r="B934" t="str">
        <f>IF($A934="","",INDEX('Product Master'!$B$7:$B$1000,MATCH($A934,'Product Master'!$A$7:$A$1000,0)))</f>
        <v/>
      </c>
      <c r="C934" t="str">
        <f>IF($A934="","",INDEX('Product Master'!$C$7:$C$1000,MATCH($A934,'Product Master'!$A$7:$A$1000,0)))</f>
        <v/>
      </c>
      <c r="D934" t="str">
        <f>IF($A934="","",INDEX('Product Master'!$M$7:$M$1000,MATCH($A934,'Product Master'!$A$7:$A$1000,0)))</f>
        <v/>
      </c>
      <c r="E934" t="str">
        <f>IF($A934="","",INDEX('Product Master'!$N$7:$N$1000,MATCH($A934,'Product Master'!$A$7:$A$1000,0)))</f>
        <v/>
      </c>
      <c r="F934" t="str">
        <f>IF($A934="","",INDEX('Product Master'!$P$7:$P$1000,MATCH($A934,'Product Master'!$A$7:$A$1000,0)))</f>
        <v/>
      </c>
      <c r="I934" t="str">
        <f>IFERROR(INDEX('Product Master'!$A$7:$A$1000,_xlfn.AGGREGATE(15,6,(ROW('Product Master'!$A$7:$A$1000)-ROW('Product Master'!$A$7)+1)/(('Product Master'!$A$7:$A$1000&lt;&gt;"")*('Product Master'!$P$7:$P$1000="Out of Stock")),ROWS($I$12:I934))),"")</f>
        <v/>
      </c>
      <c r="J934" t="str">
        <f>IF($I934="","",INDEX('Product Master'!$B$7:$B$1000,MATCH($I934,'Product Master'!$A$7:$A$1000,0)))</f>
        <v/>
      </c>
      <c r="K934" t="str">
        <f>IF($I934="","",INDEX('Product Master'!$C$7:$C$1000,MATCH($I934,'Product Master'!$A$7:$A$1000,0)))</f>
        <v/>
      </c>
      <c r="L934" t="str">
        <f>IF($I934="","",INDEX('Product Master'!$M$7:$M$1000,MATCH($I934,'Product Master'!$A$7:$A$1000,0)))</f>
        <v/>
      </c>
      <c r="M934" t="str">
        <f>IF($I934="","",INDEX('Product Master'!$N$7:$N$1000,MATCH($I934,'Product Master'!$A$7:$A$1000,0)))</f>
        <v/>
      </c>
    </row>
    <row r="935" spans="1:13" x14ac:dyDescent="0.3">
      <c r="A935" t="str">
        <f>IFERROR(INDEX('Product Master'!$A$7:$A$1000,_xlfn.AGGREGATE(15,6,(ROW('Product Master'!$A$7:$A$1000)-ROW('Product Master'!$A$7)+1)/(('Product Master'!$A$7:$A$1000&lt;&gt;"")*('Product Master'!$P$7:$P$1000="Low Stock")),ROWS($A$12:A935))),"")</f>
        <v/>
      </c>
      <c r="B935" t="str">
        <f>IF($A935="","",INDEX('Product Master'!$B$7:$B$1000,MATCH($A935,'Product Master'!$A$7:$A$1000,0)))</f>
        <v/>
      </c>
      <c r="C935" t="str">
        <f>IF($A935="","",INDEX('Product Master'!$C$7:$C$1000,MATCH($A935,'Product Master'!$A$7:$A$1000,0)))</f>
        <v/>
      </c>
      <c r="D935" t="str">
        <f>IF($A935="","",INDEX('Product Master'!$M$7:$M$1000,MATCH($A935,'Product Master'!$A$7:$A$1000,0)))</f>
        <v/>
      </c>
      <c r="E935" t="str">
        <f>IF($A935="","",INDEX('Product Master'!$N$7:$N$1000,MATCH($A935,'Product Master'!$A$7:$A$1000,0)))</f>
        <v/>
      </c>
      <c r="F935" t="str">
        <f>IF($A935="","",INDEX('Product Master'!$P$7:$P$1000,MATCH($A935,'Product Master'!$A$7:$A$1000,0)))</f>
        <v/>
      </c>
      <c r="I935" t="str">
        <f>IFERROR(INDEX('Product Master'!$A$7:$A$1000,_xlfn.AGGREGATE(15,6,(ROW('Product Master'!$A$7:$A$1000)-ROW('Product Master'!$A$7)+1)/(('Product Master'!$A$7:$A$1000&lt;&gt;"")*('Product Master'!$P$7:$P$1000="Out of Stock")),ROWS($I$12:I935))),"")</f>
        <v/>
      </c>
      <c r="J935" t="str">
        <f>IF($I935="","",INDEX('Product Master'!$B$7:$B$1000,MATCH($I935,'Product Master'!$A$7:$A$1000,0)))</f>
        <v/>
      </c>
      <c r="K935" t="str">
        <f>IF($I935="","",INDEX('Product Master'!$C$7:$C$1000,MATCH($I935,'Product Master'!$A$7:$A$1000,0)))</f>
        <v/>
      </c>
      <c r="L935" t="str">
        <f>IF($I935="","",INDEX('Product Master'!$M$7:$M$1000,MATCH($I935,'Product Master'!$A$7:$A$1000,0)))</f>
        <v/>
      </c>
      <c r="M935" t="str">
        <f>IF($I935="","",INDEX('Product Master'!$N$7:$N$1000,MATCH($I935,'Product Master'!$A$7:$A$1000,0)))</f>
        <v/>
      </c>
    </row>
    <row r="936" spans="1:13" x14ac:dyDescent="0.3">
      <c r="A936" t="str">
        <f>IFERROR(INDEX('Product Master'!$A$7:$A$1000,_xlfn.AGGREGATE(15,6,(ROW('Product Master'!$A$7:$A$1000)-ROW('Product Master'!$A$7)+1)/(('Product Master'!$A$7:$A$1000&lt;&gt;"")*('Product Master'!$P$7:$P$1000="Low Stock")),ROWS($A$12:A936))),"")</f>
        <v/>
      </c>
      <c r="B936" t="str">
        <f>IF($A936="","",INDEX('Product Master'!$B$7:$B$1000,MATCH($A936,'Product Master'!$A$7:$A$1000,0)))</f>
        <v/>
      </c>
      <c r="C936" t="str">
        <f>IF($A936="","",INDEX('Product Master'!$C$7:$C$1000,MATCH($A936,'Product Master'!$A$7:$A$1000,0)))</f>
        <v/>
      </c>
      <c r="D936" t="str">
        <f>IF($A936="","",INDEX('Product Master'!$M$7:$M$1000,MATCH($A936,'Product Master'!$A$7:$A$1000,0)))</f>
        <v/>
      </c>
      <c r="E936" t="str">
        <f>IF($A936="","",INDEX('Product Master'!$N$7:$N$1000,MATCH($A936,'Product Master'!$A$7:$A$1000,0)))</f>
        <v/>
      </c>
      <c r="F936" t="str">
        <f>IF($A936="","",INDEX('Product Master'!$P$7:$P$1000,MATCH($A936,'Product Master'!$A$7:$A$1000,0)))</f>
        <v/>
      </c>
      <c r="I936" t="str">
        <f>IFERROR(INDEX('Product Master'!$A$7:$A$1000,_xlfn.AGGREGATE(15,6,(ROW('Product Master'!$A$7:$A$1000)-ROW('Product Master'!$A$7)+1)/(('Product Master'!$A$7:$A$1000&lt;&gt;"")*('Product Master'!$P$7:$P$1000="Out of Stock")),ROWS($I$12:I936))),"")</f>
        <v/>
      </c>
      <c r="J936" t="str">
        <f>IF($I936="","",INDEX('Product Master'!$B$7:$B$1000,MATCH($I936,'Product Master'!$A$7:$A$1000,0)))</f>
        <v/>
      </c>
      <c r="K936" t="str">
        <f>IF($I936="","",INDEX('Product Master'!$C$7:$C$1000,MATCH($I936,'Product Master'!$A$7:$A$1000,0)))</f>
        <v/>
      </c>
      <c r="L936" t="str">
        <f>IF($I936="","",INDEX('Product Master'!$M$7:$M$1000,MATCH($I936,'Product Master'!$A$7:$A$1000,0)))</f>
        <v/>
      </c>
      <c r="M936" t="str">
        <f>IF($I936="","",INDEX('Product Master'!$N$7:$N$1000,MATCH($I936,'Product Master'!$A$7:$A$1000,0)))</f>
        <v/>
      </c>
    </row>
    <row r="937" spans="1:13" x14ac:dyDescent="0.3">
      <c r="A937" t="str">
        <f>IFERROR(INDEX('Product Master'!$A$7:$A$1000,_xlfn.AGGREGATE(15,6,(ROW('Product Master'!$A$7:$A$1000)-ROW('Product Master'!$A$7)+1)/(('Product Master'!$A$7:$A$1000&lt;&gt;"")*('Product Master'!$P$7:$P$1000="Low Stock")),ROWS($A$12:A937))),"")</f>
        <v/>
      </c>
      <c r="B937" t="str">
        <f>IF($A937="","",INDEX('Product Master'!$B$7:$B$1000,MATCH($A937,'Product Master'!$A$7:$A$1000,0)))</f>
        <v/>
      </c>
      <c r="C937" t="str">
        <f>IF($A937="","",INDEX('Product Master'!$C$7:$C$1000,MATCH($A937,'Product Master'!$A$7:$A$1000,0)))</f>
        <v/>
      </c>
      <c r="D937" t="str">
        <f>IF($A937="","",INDEX('Product Master'!$M$7:$M$1000,MATCH($A937,'Product Master'!$A$7:$A$1000,0)))</f>
        <v/>
      </c>
      <c r="E937" t="str">
        <f>IF($A937="","",INDEX('Product Master'!$N$7:$N$1000,MATCH($A937,'Product Master'!$A$7:$A$1000,0)))</f>
        <v/>
      </c>
      <c r="F937" t="str">
        <f>IF($A937="","",INDEX('Product Master'!$P$7:$P$1000,MATCH($A937,'Product Master'!$A$7:$A$1000,0)))</f>
        <v/>
      </c>
      <c r="I937" t="str">
        <f>IFERROR(INDEX('Product Master'!$A$7:$A$1000,_xlfn.AGGREGATE(15,6,(ROW('Product Master'!$A$7:$A$1000)-ROW('Product Master'!$A$7)+1)/(('Product Master'!$A$7:$A$1000&lt;&gt;"")*('Product Master'!$P$7:$P$1000="Out of Stock")),ROWS($I$12:I937))),"")</f>
        <v/>
      </c>
      <c r="J937" t="str">
        <f>IF($I937="","",INDEX('Product Master'!$B$7:$B$1000,MATCH($I937,'Product Master'!$A$7:$A$1000,0)))</f>
        <v/>
      </c>
      <c r="K937" t="str">
        <f>IF($I937="","",INDEX('Product Master'!$C$7:$C$1000,MATCH($I937,'Product Master'!$A$7:$A$1000,0)))</f>
        <v/>
      </c>
      <c r="L937" t="str">
        <f>IF($I937="","",INDEX('Product Master'!$M$7:$M$1000,MATCH($I937,'Product Master'!$A$7:$A$1000,0)))</f>
        <v/>
      </c>
      <c r="M937" t="str">
        <f>IF($I937="","",INDEX('Product Master'!$N$7:$N$1000,MATCH($I937,'Product Master'!$A$7:$A$1000,0)))</f>
        <v/>
      </c>
    </row>
    <row r="938" spans="1:13" x14ac:dyDescent="0.3">
      <c r="A938" t="str">
        <f>IFERROR(INDEX('Product Master'!$A$7:$A$1000,_xlfn.AGGREGATE(15,6,(ROW('Product Master'!$A$7:$A$1000)-ROW('Product Master'!$A$7)+1)/(('Product Master'!$A$7:$A$1000&lt;&gt;"")*('Product Master'!$P$7:$P$1000="Low Stock")),ROWS($A$12:A938))),"")</f>
        <v/>
      </c>
      <c r="B938" t="str">
        <f>IF($A938="","",INDEX('Product Master'!$B$7:$B$1000,MATCH($A938,'Product Master'!$A$7:$A$1000,0)))</f>
        <v/>
      </c>
      <c r="C938" t="str">
        <f>IF($A938="","",INDEX('Product Master'!$C$7:$C$1000,MATCH($A938,'Product Master'!$A$7:$A$1000,0)))</f>
        <v/>
      </c>
      <c r="D938" t="str">
        <f>IF($A938="","",INDEX('Product Master'!$M$7:$M$1000,MATCH($A938,'Product Master'!$A$7:$A$1000,0)))</f>
        <v/>
      </c>
      <c r="E938" t="str">
        <f>IF($A938="","",INDEX('Product Master'!$N$7:$N$1000,MATCH($A938,'Product Master'!$A$7:$A$1000,0)))</f>
        <v/>
      </c>
      <c r="F938" t="str">
        <f>IF($A938="","",INDEX('Product Master'!$P$7:$P$1000,MATCH($A938,'Product Master'!$A$7:$A$1000,0)))</f>
        <v/>
      </c>
      <c r="I938" t="str">
        <f>IFERROR(INDEX('Product Master'!$A$7:$A$1000,_xlfn.AGGREGATE(15,6,(ROW('Product Master'!$A$7:$A$1000)-ROW('Product Master'!$A$7)+1)/(('Product Master'!$A$7:$A$1000&lt;&gt;"")*('Product Master'!$P$7:$P$1000="Out of Stock")),ROWS($I$12:I938))),"")</f>
        <v/>
      </c>
      <c r="J938" t="str">
        <f>IF($I938="","",INDEX('Product Master'!$B$7:$B$1000,MATCH($I938,'Product Master'!$A$7:$A$1000,0)))</f>
        <v/>
      </c>
      <c r="K938" t="str">
        <f>IF($I938="","",INDEX('Product Master'!$C$7:$C$1000,MATCH($I938,'Product Master'!$A$7:$A$1000,0)))</f>
        <v/>
      </c>
      <c r="L938" t="str">
        <f>IF($I938="","",INDEX('Product Master'!$M$7:$M$1000,MATCH($I938,'Product Master'!$A$7:$A$1000,0)))</f>
        <v/>
      </c>
      <c r="M938" t="str">
        <f>IF($I938="","",INDEX('Product Master'!$N$7:$N$1000,MATCH($I938,'Product Master'!$A$7:$A$1000,0)))</f>
        <v/>
      </c>
    </row>
    <row r="939" spans="1:13" x14ac:dyDescent="0.3">
      <c r="A939" t="str">
        <f>IFERROR(INDEX('Product Master'!$A$7:$A$1000,_xlfn.AGGREGATE(15,6,(ROW('Product Master'!$A$7:$A$1000)-ROW('Product Master'!$A$7)+1)/(('Product Master'!$A$7:$A$1000&lt;&gt;"")*('Product Master'!$P$7:$P$1000="Low Stock")),ROWS($A$12:A939))),"")</f>
        <v/>
      </c>
      <c r="B939" t="str">
        <f>IF($A939="","",INDEX('Product Master'!$B$7:$B$1000,MATCH($A939,'Product Master'!$A$7:$A$1000,0)))</f>
        <v/>
      </c>
      <c r="C939" t="str">
        <f>IF($A939="","",INDEX('Product Master'!$C$7:$C$1000,MATCH($A939,'Product Master'!$A$7:$A$1000,0)))</f>
        <v/>
      </c>
      <c r="D939" t="str">
        <f>IF($A939="","",INDEX('Product Master'!$M$7:$M$1000,MATCH($A939,'Product Master'!$A$7:$A$1000,0)))</f>
        <v/>
      </c>
      <c r="E939" t="str">
        <f>IF($A939="","",INDEX('Product Master'!$N$7:$N$1000,MATCH($A939,'Product Master'!$A$7:$A$1000,0)))</f>
        <v/>
      </c>
      <c r="F939" t="str">
        <f>IF($A939="","",INDEX('Product Master'!$P$7:$P$1000,MATCH($A939,'Product Master'!$A$7:$A$1000,0)))</f>
        <v/>
      </c>
      <c r="I939" t="str">
        <f>IFERROR(INDEX('Product Master'!$A$7:$A$1000,_xlfn.AGGREGATE(15,6,(ROW('Product Master'!$A$7:$A$1000)-ROW('Product Master'!$A$7)+1)/(('Product Master'!$A$7:$A$1000&lt;&gt;"")*('Product Master'!$P$7:$P$1000="Out of Stock")),ROWS($I$12:I939))),"")</f>
        <v/>
      </c>
      <c r="J939" t="str">
        <f>IF($I939="","",INDEX('Product Master'!$B$7:$B$1000,MATCH($I939,'Product Master'!$A$7:$A$1000,0)))</f>
        <v/>
      </c>
      <c r="K939" t="str">
        <f>IF($I939="","",INDEX('Product Master'!$C$7:$C$1000,MATCH($I939,'Product Master'!$A$7:$A$1000,0)))</f>
        <v/>
      </c>
      <c r="L939" t="str">
        <f>IF($I939="","",INDEX('Product Master'!$M$7:$M$1000,MATCH($I939,'Product Master'!$A$7:$A$1000,0)))</f>
        <v/>
      </c>
      <c r="M939" t="str">
        <f>IF($I939="","",INDEX('Product Master'!$N$7:$N$1000,MATCH($I939,'Product Master'!$A$7:$A$1000,0)))</f>
        <v/>
      </c>
    </row>
    <row r="940" spans="1:13" x14ac:dyDescent="0.3">
      <c r="A940" t="str">
        <f>IFERROR(INDEX('Product Master'!$A$7:$A$1000,_xlfn.AGGREGATE(15,6,(ROW('Product Master'!$A$7:$A$1000)-ROW('Product Master'!$A$7)+1)/(('Product Master'!$A$7:$A$1000&lt;&gt;"")*('Product Master'!$P$7:$P$1000="Low Stock")),ROWS($A$12:A940))),"")</f>
        <v/>
      </c>
      <c r="B940" t="str">
        <f>IF($A940="","",INDEX('Product Master'!$B$7:$B$1000,MATCH($A940,'Product Master'!$A$7:$A$1000,0)))</f>
        <v/>
      </c>
      <c r="C940" t="str">
        <f>IF($A940="","",INDEX('Product Master'!$C$7:$C$1000,MATCH($A940,'Product Master'!$A$7:$A$1000,0)))</f>
        <v/>
      </c>
      <c r="D940" t="str">
        <f>IF($A940="","",INDEX('Product Master'!$M$7:$M$1000,MATCH($A940,'Product Master'!$A$7:$A$1000,0)))</f>
        <v/>
      </c>
      <c r="E940" t="str">
        <f>IF($A940="","",INDEX('Product Master'!$N$7:$N$1000,MATCH($A940,'Product Master'!$A$7:$A$1000,0)))</f>
        <v/>
      </c>
      <c r="F940" t="str">
        <f>IF($A940="","",INDEX('Product Master'!$P$7:$P$1000,MATCH($A940,'Product Master'!$A$7:$A$1000,0)))</f>
        <v/>
      </c>
      <c r="I940" t="str">
        <f>IFERROR(INDEX('Product Master'!$A$7:$A$1000,_xlfn.AGGREGATE(15,6,(ROW('Product Master'!$A$7:$A$1000)-ROW('Product Master'!$A$7)+1)/(('Product Master'!$A$7:$A$1000&lt;&gt;"")*('Product Master'!$P$7:$P$1000="Out of Stock")),ROWS($I$12:I940))),"")</f>
        <v/>
      </c>
      <c r="J940" t="str">
        <f>IF($I940="","",INDEX('Product Master'!$B$7:$B$1000,MATCH($I940,'Product Master'!$A$7:$A$1000,0)))</f>
        <v/>
      </c>
      <c r="K940" t="str">
        <f>IF($I940="","",INDEX('Product Master'!$C$7:$C$1000,MATCH($I940,'Product Master'!$A$7:$A$1000,0)))</f>
        <v/>
      </c>
      <c r="L940" t="str">
        <f>IF($I940="","",INDEX('Product Master'!$M$7:$M$1000,MATCH($I940,'Product Master'!$A$7:$A$1000,0)))</f>
        <v/>
      </c>
      <c r="M940" t="str">
        <f>IF($I940="","",INDEX('Product Master'!$N$7:$N$1000,MATCH($I940,'Product Master'!$A$7:$A$1000,0)))</f>
        <v/>
      </c>
    </row>
    <row r="941" spans="1:13" x14ac:dyDescent="0.3">
      <c r="A941" t="str">
        <f>IFERROR(INDEX('Product Master'!$A$7:$A$1000,_xlfn.AGGREGATE(15,6,(ROW('Product Master'!$A$7:$A$1000)-ROW('Product Master'!$A$7)+1)/(('Product Master'!$A$7:$A$1000&lt;&gt;"")*('Product Master'!$P$7:$P$1000="Low Stock")),ROWS($A$12:A941))),"")</f>
        <v/>
      </c>
      <c r="B941" t="str">
        <f>IF($A941="","",INDEX('Product Master'!$B$7:$B$1000,MATCH($A941,'Product Master'!$A$7:$A$1000,0)))</f>
        <v/>
      </c>
      <c r="C941" t="str">
        <f>IF($A941="","",INDEX('Product Master'!$C$7:$C$1000,MATCH($A941,'Product Master'!$A$7:$A$1000,0)))</f>
        <v/>
      </c>
      <c r="D941" t="str">
        <f>IF($A941="","",INDEX('Product Master'!$M$7:$M$1000,MATCH($A941,'Product Master'!$A$7:$A$1000,0)))</f>
        <v/>
      </c>
      <c r="E941" t="str">
        <f>IF($A941="","",INDEX('Product Master'!$N$7:$N$1000,MATCH($A941,'Product Master'!$A$7:$A$1000,0)))</f>
        <v/>
      </c>
      <c r="F941" t="str">
        <f>IF($A941="","",INDEX('Product Master'!$P$7:$P$1000,MATCH($A941,'Product Master'!$A$7:$A$1000,0)))</f>
        <v/>
      </c>
      <c r="I941" t="str">
        <f>IFERROR(INDEX('Product Master'!$A$7:$A$1000,_xlfn.AGGREGATE(15,6,(ROW('Product Master'!$A$7:$A$1000)-ROW('Product Master'!$A$7)+1)/(('Product Master'!$A$7:$A$1000&lt;&gt;"")*('Product Master'!$P$7:$P$1000="Out of Stock")),ROWS($I$12:I941))),"")</f>
        <v/>
      </c>
      <c r="J941" t="str">
        <f>IF($I941="","",INDEX('Product Master'!$B$7:$B$1000,MATCH($I941,'Product Master'!$A$7:$A$1000,0)))</f>
        <v/>
      </c>
      <c r="K941" t="str">
        <f>IF($I941="","",INDEX('Product Master'!$C$7:$C$1000,MATCH($I941,'Product Master'!$A$7:$A$1000,0)))</f>
        <v/>
      </c>
      <c r="L941" t="str">
        <f>IF($I941="","",INDEX('Product Master'!$M$7:$M$1000,MATCH($I941,'Product Master'!$A$7:$A$1000,0)))</f>
        <v/>
      </c>
      <c r="M941" t="str">
        <f>IF($I941="","",INDEX('Product Master'!$N$7:$N$1000,MATCH($I941,'Product Master'!$A$7:$A$1000,0)))</f>
        <v/>
      </c>
    </row>
    <row r="942" spans="1:13" x14ac:dyDescent="0.3">
      <c r="A942" t="str">
        <f>IFERROR(INDEX('Product Master'!$A$7:$A$1000,_xlfn.AGGREGATE(15,6,(ROW('Product Master'!$A$7:$A$1000)-ROW('Product Master'!$A$7)+1)/(('Product Master'!$A$7:$A$1000&lt;&gt;"")*('Product Master'!$P$7:$P$1000="Low Stock")),ROWS($A$12:A942))),"")</f>
        <v/>
      </c>
      <c r="B942" t="str">
        <f>IF($A942="","",INDEX('Product Master'!$B$7:$B$1000,MATCH($A942,'Product Master'!$A$7:$A$1000,0)))</f>
        <v/>
      </c>
      <c r="C942" t="str">
        <f>IF($A942="","",INDEX('Product Master'!$C$7:$C$1000,MATCH($A942,'Product Master'!$A$7:$A$1000,0)))</f>
        <v/>
      </c>
      <c r="D942" t="str">
        <f>IF($A942="","",INDEX('Product Master'!$M$7:$M$1000,MATCH($A942,'Product Master'!$A$7:$A$1000,0)))</f>
        <v/>
      </c>
      <c r="E942" t="str">
        <f>IF($A942="","",INDEX('Product Master'!$N$7:$N$1000,MATCH($A942,'Product Master'!$A$7:$A$1000,0)))</f>
        <v/>
      </c>
      <c r="F942" t="str">
        <f>IF($A942="","",INDEX('Product Master'!$P$7:$P$1000,MATCH($A942,'Product Master'!$A$7:$A$1000,0)))</f>
        <v/>
      </c>
      <c r="I942" t="str">
        <f>IFERROR(INDEX('Product Master'!$A$7:$A$1000,_xlfn.AGGREGATE(15,6,(ROW('Product Master'!$A$7:$A$1000)-ROW('Product Master'!$A$7)+1)/(('Product Master'!$A$7:$A$1000&lt;&gt;"")*('Product Master'!$P$7:$P$1000="Out of Stock")),ROWS($I$12:I942))),"")</f>
        <v/>
      </c>
      <c r="J942" t="str">
        <f>IF($I942="","",INDEX('Product Master'!$B$7:$B$1000,MATCH($I942,'Product Master'!$A$7:$A$1000,0)))</f>
        <v/>
      </c>
      <c r="K942" t="str">
        <f>IF($I942="","",INDEX('Product Master'!$C$7:$C$1000,MATCH($I942,'Product Master'!$A$7:$A$1000,0)))</f>
        <v/>
      </c>
      <c r="L942" t="str">
        <f>IF($I942="","",INDEX('Product Master'!$M$7:$M$1000,MATCH($I942,'Product Master'!$A$7:$A$1000,0)))</f>
        <v/>
      </c>
      <c r="M942" t="str">
        <f>IF($I942="","",INDEX('Product Master'!$N$7:$N$1000,MATCH($I942,'Product Master'!$A$7:$A$1000,0)))</f>
        <v/>
      </c>
    </row>
    <row r="943" spans="1:13" x14ac:dyDescent="0.3">
      <c r="A943" t="str">
        <f>IFERROR(INDEX('Product Master'!$A$7:$A$1000,_xlfn.AGGREGATE(15,6,(ROW('Product Master'!$A$7:$A$1000)-ROW('Product Master'!$A$7)+1)/(('Product Master'!$A$7:$A$1000&lt;&gt;"")*('Product Master'!$P$7:$P$1000="Low Stock")),ROWS($A$12:A943))),"")</f>
        <v/>
      </c>
      <c r="B943" t="str">
        <f>IF($A943="","",INDEX('Product Master'!$B$7:$B$1000,MATCH($A943,'Product Master'!$A$7:$A$1000,0)))</f>
        <v/>
      </c>
      <c r="C943" t="str">
        <f>IF($A943="","",INDEX('Product Master'!$C$7:$C$1000,MATCH($A943,'Product Master'!$A$7:$A$1000,0)))</f>
        <v/>
      </c>
      <c r="D943" t="str">
        <f>IF($A943="","",INDEX('Product Master'!$M$7:$M$1000,MATCH($A943,'Product Master'!$A$7:$A$1000,0)))</f>
        <v/>
      </c>
      <c r="E943" t="str">
        <f>IF($A943="","",INDEX('Product Master'!$N$7:$N$1000,MATCH($A943,'Product Master'!$A$7:$A$1000,0)))</f>
        <v/>
      </c>
      <c r="F943" t="str">
        <f>IF($A943="","",INDEX('Product Master'!$P$7:$P$1000,MATCH($A943,'Product Master'!$A$7:$A$1000,0)))</f>
        <v/>
      </c>
      <c r="I943" t="str">
        <f>IFERROR(INDEX('Product Master'!$A$7:$A$1000,_xlfn.AGGREGATE(15,6,(ROW('Product Master'!$A$7:$A$1000)-ROW('Product Master'!$A$7)+1)/(('Product Master'!$A$7:$A$1000&lt;&gt;"")*('Product Master'!$P$7:$P$1000="Out of Stock")),ROWS($I$12:I943))),"")</f>
        <v/>
      </c>
      <c r="J943" t="str">
        <f>IF($I943="","",INDEX('Product Master'!$B$7:$B$1000,MATCH($I943,'Product Master'!$A$7:$A$1000,0)))</f>
        <v/>
      </c>
      <c r="K943" t="str">
        <f>IF($I943="","",INDEX('Product Master'!$C$7:$C$1000,MATCH($I943,'Product Master'!$A$7:$A$1000,0)))</f>
        <v/>
      </c>
      <c r="L943" t="str">
        <f>IF($I943="","",INDEX('Product Master'!$M$7:$M$1000,MATCH($I943,'Product Master'!$A$7:$A$1000,0)))</f>
        <v/>
      </c>
      <c r="M943" t="str">
        <f>IF($I943="","",INDEX('Product Master'!$N$7:$N$1000,MATCH($I943,'Product Master'!$A$7:$A$1000,0)))</f>
        <v/>
      </c>
    </row>
    <row r="944" spans="1:13" x14ac:dyDescent="0.3">
      <c r="A944" t="str">
        <f>IFERROR(INDEX('Product Master'!$A$7:$A$1000,_xlfn.AGGREGATE(15,6,(ROW('Product Master'!$A$7:$A$1000)-ROW('Product Master'!$A$7)+1)/(('Product Master'!$A$7:$A$1000&lt;&gt;"")*('Product Master'!$P$7:$P$1000="Low Stock")),ROWS($A$12:A944))),"")</f>
        <v/>
      </c>
      <c r="B944" t="str">
        <f>IF($A944="","",INDEX('Product Master'!$B$7:$B$1000,MATCH($A944,'Product Master'!$A$7:$A$1000,0)))</f>
        <v/>
      </c>
      <c r="C944" t="str">
        <f>IF($A944="","",INDEX('Product Master'!$C$7:$C$1000,MATCH($A944,'Product Master'!$A$7:$A$1000,0)))</f>
        <v/>
      </c>
      <c r="D944" t="str">
        <f>IF($A944="","",INDEX('Product Master'!$M$7:$M$1000,MATCH($A944,'Product Master'!$A$7:$A$1000,0)))</f>
        <v/>
      </c>
      <c r="E944" t="str">
        <f>IF($A944="","",INDEX('Product Master'!$N$7:$N$1000,MATCH($A944,'Product Master'!$A$7:$A$1000,0)))</f>
        <v/>
      </c>
      <c r="F944" t="str">
        <f>IF($A944="","",INDEX('Product Master'!$P$7:$P$1000,MATCH($A944,'Product Master'!$A$7:$A$1000,0)))</f>
        <v/>
      </c>
      <c r="I944" t="str">
        <f>IFERROR(INDEX('Product Master'!$A$7:$A$1000,_xlfn.AGGREGATE(15,6,(ROW('Product Master'!$A$7:$A$1000)-ROW('Product Master'!$A$7)+1)/(('Product Master'!$A$7:$A$1000&lt;&gt;"")*('Product Master'!$P$7:$P$1000="Out of Stock")),ROWS($I$12:I944))),"")</f>
        <v/>
      </c>
      <c r="J944" t="str">
        <f>IF($I944="","",INDEX('Product Master'!$B$7:$B$1000,MATCH($I944,'Product Master'!$A$7:$A$1000,0)))</f>
        <v/>
      </c>
      <c r="K944" t="str">
        <f>IF($I944="","",INDEX('Product Master'!$C$7:$C$1000,MATCH($I944,'Product Master'!$A$7:$A$1000,0)))</f>
        <v/>
      </c>
      <c r="L944" t="str">
        <f>IF($I944="","",INDEX('Product Master'!$M$7:$M$1000,MATCH($I944,'Product Master'!$A$7:$A$1000,0)))</f>
        <v/>
      </c>
      <c r="M944" t="str">
        <f>IF($I944="","",INDEX('Product Master'!$N$7:$N$1000,MATCH($I944,'Product Master'!$A$7:$A$1000,0)))</f>
        <v/>
      </c>
    </row>
    <row r="945" spans="1:13" x14ac:dyDescent="0.3">
      <c r="A945" t="str">
        <f>IFERROR(INDEX('Product Master'!$A$7:$A$1000,_xlfn.AGGREGATE(15,6,(ROW('Product Master'!$A$7:$A$1000)-ROW('Product Master'!$A$7)+1)/(('Product Master'!$A$7:$A$1000&lt;&gt;"")*('Product Master'!$P$7:$P$1000="Low Stock")),ROWS($A$12:A945))),"")</f>
        <v/>
      </c>
      <c r="B945" t="str">
        <f>IF($A945="","",INDEX('Product Master'!$B$7:$B$1000,MATCH($A945,'Product Master'!$A$7:$A$1000,0)))</f>
        <v/>
      </c>
      <c r="C945" t="str">
        <f>IF($A945="","",INDEX('Product Master'!$C$7:$C$1000,MATCH($A945,'Product Master'!$A$7:$A$1000,0)))</f>
        <v/>
      </c>
      <c r="D945" t="str">
        <f>IF($A945="","",INDEX('Product Master'!$M$7:$M$1000,MATCH($A945,'Product Master'!$A$7:$A$1000,0)))</f>
        <v/>
      </c>
      <c r="E945" t="str">
        <f>IF($A945="","",INDEX('Product Master'!$N$7:$N$1000,MATCH($A945,'Product Master'!$A$7:$A$1000,0)))</f>
        <v/>
      </c>
      <c r="F945" t="str">
        <f>IF($A945="","",INDEX('Product Master'!$P$7:$P$1000,MATCH($A945,'Product Master'!$A$7:$A$1000,0)))</f>
        <v/>
      </c>
      <c r="I945" t="str">
        <f>IFERROR(INDEX('Product Master'!$A$7:$A$1000,_xlfn.AGGREGATE(15,6,(ROW('Product Master'!$A$7:$A$1000)-ROW('Product Master'!$A$7)+1)/(('Product Master'!$A$7:$A$1000&lt;&gt;"")*('Product Master'!$P$7:$P$1000="Out of Stock")),ROWS($I$12:I945))),"")</f>
        <v/>
      </c>
      <c r="J945" t="str">
        <f>IF($I945="","",INDEX('Product Master'!$B$7:$B$1000,MATCH($I945,'Product Master'!$A$7:$A$1000,0)))</f>
        <v/>
      </c>
      <c r="K945" t="str">
        <f>IF($I945="","",INDEX('Product Master'!$C$7:$C$1000,MATCH($I945,'Product Master'!$A$7:$A$1000,0)))</f>
        <v/>
      </c>
      <c r="L945" t="str">
        <f>IF($I945="","",INDEX('Product Master'!$M$7:$M$1000,MATCH($I945,'Product Master'!$A$7:$A$1000,0)))</f>
        <v/>
      </c>
      <c r="M945" t="str">
        <f>IF($I945="","",INDEX('Product Master'!$N$7:$N$1000,MATCH($I945,'Product Master'!$A$7:$A$1000,0)))</f>
        <v/>
      </c>
    </row>
    <row r="946" spans="1:13" x14ac:dyDescent="0.3">
      <c r="A946" t="str">
        <f>IFERROR(INDEX('Product Master'!$A$7:$A$1000,_xlfn.AGGREGATE(15,6,(ROW('Product Master'!$A$7:$A$1000)-ROW('Product Master'!$A$7)+1)/(('Product Master'!$A$7:$A$1000&lt;&gt;"")*('Product Master'!$P$7:$P$1000="Low Stock")),ROWS($A$12:A946))),"")</f>
        <v/>
      </c>
      <c r="B946" t="str">
        <f>IF($A946="","",INDEX('Product Master'!$B$7:$B$1000,MATCH($A946,'Product Master'!$A$7:$A$1000,0)))</f>
        <v/>
      </c>
      <c r="C946" t="str">
        <f>IF($A946="","",INDEX('Product Master'!$C$7:$C$1000,MATCH($A946,'Product Master'!$A$7:$A$1000,0)))</f>
        <v/>
      </c>
      <c r="D946" t="str">
        <f>IF($A946="","",INDEX('Product Master'!$M$7:$M$1000,MATCH($A946,'Product Master'!$A$7:$A$1000,0)))</f>
        <v/>
      </c>
      <c r="E946" t="str">
        <f>IF($A946="","",INDEX('Product Master'!$N$7:$N$1000,MATCH($A946,'Product Master'!$A$7:$A$1000,0)))</f>
        <v/>
      </c>
      <c r="F946" t="str">
        <f>IF($A946="","",INDEX('Product Master'!$P$7:$P$1000,MATCH($A946,'Product Master'!$A$7:$A$1000,0)))</f>
        <v/>
      </c>
      <c r="I946" t="str">
        <f>IFERROR(INDEX('Product Master'!$A$7:$A$1000,_xlfn.AGGREGATE(15,6,(ROW('Product Master'!$A$7:$A$1000)-ROW('Product Master'!$A$7)+1)/(('Product Master'!$A$7:$A$1000&lt;&gt;"")*('Product Master'!$P$7:$P$1000="Out of Stock")),ROWS($I$12:I946))),"")</f>
        <v/>
      </c>
      <c r="J946" t="str">
        <f>IF($I946="","",INDEX('Product Master'!$B$7:$B$1000,MATCH($I946,'Product Master'!$A$7:$A$1000,0)))</f>
        <v/>
      </c>
      <c r="K946" t="str">
        <f>IF($I946="","",INDEX('Product Master'!$C$7:$C$1000,MATCH($I946,'Product Master'!$A$7:$A$1000,0)))</f>
        <v/>
      </c>
      <c r="L946" t="str">
        <f>IF($I946="","",INDEX('Product Master'!$M$7:$M$1000,MATCH($I946,'Product Master'!$A$7:$A$1000,0)))</f>
        <v/>
      </c>
      <c r="M946" t="str">
        <f>IF($I946="","",INDEX('Product Master'!$N$7:$N$1000,MATCH($I946,'Product Master'!$A$7:$A$1000,0)))</f>
        <v/>
      </c>
    </row>
    <row r="947" spans="1:13" x14ac:dyDescent="0.3">
      <c r="A947" t="str">
        <f>IFERROR(INDEX('Product Master'!$A$7:$A$1000,_xlfn.AGGREGATE(15,6,(ROW('Product Master'!$A$7:$A$1000)-ROW('Product Master'!$A$7)+1)/(('Product Master'!$A$7:$A$1000&lt;&gt;"")*('Product Master'!$P$7:$P$1000="Low Stock")),ROWS($A$12:A947))),"")</f>
        <v/>
      </c>
      <c r="B947" t="str">
        <f>IF($A947="","",INDEX('Product Master'!$B$7:$B$1000,MATCH($A947,'Product Master'!$A$7:$A$1000,0)))</f>
        <v/>
      </c>
      <c r="C947" t="str">
        <f>IF($A947="","",INDEX('Product Master'!$C$7:$C$1000,MATCH($A947,'Product Master'!$A$7:$A$1000,0)))</f>
        <v/>
      </c>
      <c r="D947" t="str">
        <f>IF($A947="","",INDEX('Product Master'!$M$7:$M$1000,MATCH($A947,'Product Master'!$A$7:$A$1000,0)))</f>
        <v/>
      </c>
      <c r="E947" t="str">
        <f>IF($A947="","",INDEX('Product Master'!$N$7:$N$1000,MATCH($A947,'Product Master'!$A$7:$A$1000,0)))</f>
        <v/>
      </c>
      <c r="F947" t="str">
        <f>IF($A947="","",INDEX('Product Master'!$P$7:$P$1000,MATCH($A947,'Product Master'!$A$7:$A$1000,0)))</f>
        <v/>
      </c>
      <c r="I947" t="str">
        <f>IFERROR(INDEX('Product Master'!$A$7:$A$1000,_xlfn.AGGREGATE(15,6,(ROW('Product Master'!$A$7:$A$1000)-ROW('Product Master'!$A$7)+1)/(('Product Master'!$A$7:$A$1000&lt;&gt;"")*('Product Master'!$P$7:$P$1000="Out of Stock")),ROWS($I$12:I947))),"")</f>
        <v/>
      </c>
      <c r="J947" t="str">
        <f>IF($I947="","",INDEX('Product Master'!$B$7:$B$1000,MATCH($I947,'Product Master'!$A$7:$A$1000,0)))</f>
        <v/>
      </c>
      <c r="K947" t="str">
        <f>IF($I947="","",INDEX('Product Master'!$C$7:$C$1000,MATCH($I947,'Product Master'!$A$7:$A$1000,0)))</f>
        <v/>
      </c>
      <c r="L947" t="str">
        <f>IF($I947="","",INDEX('Product Master'!$M$7:$M$1000,MATCH($I947,'Product Master'!$A$7:$A$1000,0)))</f>
        <v/>
      </c>
      <c r="M947" t="str">
        <f>IF($I947="","",INDEX('Product Master'!$N$7:$N$1000,MATCH($I947,'Product Master'!$A$7:$A$1000,0)))</f>
        <v/>
      </c>
    </row>
    <row r="948" spans="1:13" x14ac:dyDescent="0.3">
      <c r="A948" t="str">
        <f>IFERROR(INDEX('Product Master'!$A$7:$A$1000,_xlfn.AGGREGATE(15,6,(ROW('Product Master'!$A$7:$A$1000)-ROW('Product Master'!$A$7)+1)/(('Product Master'!$A$7:$A$1000&lt;&gt;"")*('Product Master'!$P$7:$P$1000="Low Stock")),ROWS($A$12:A948))),"")</f>
        <v/>
      </c>
      <c r="B948" t="str">
        <f>IF($A948="","",INDEX('Product Master'!$B$7:$B$1000,MATCH($A948,'Product Master'!$A$7:$A$1000,0)))</f>
        <v/>
      </c>
      <c r="C948" t="str">
        <f>IF($A948="","",INDEX('Product Master'!$C$7:$C$1000,MATCH($A948,'Product Master'!$A$7:$A$1000,0)))</f>
        <v/>
      </c>
      <c r="D948" t="str">
        <f>IF($A948="","",INDEX('Product Master'!$M$7:$M$1000,MATCH($A948,'Product Master'!$A$7:$A$1000,0)))</f>
        <v/>
      </c>
      <c r="E948" t="str">
        <f>IF($A948="","",INDEX('Product Master'!$N$7:$N$1000,MATCH($A948,'Product Master'!$A$7:$A$1000,0)))</f>
        <v/>
      </c>
      <c r="F948" t="str">
        <f>IF($A948="","",INDEX('Product Master'!$P$7:$P$1000,MATCH($A948,'Product Master'!$A$7:$A$1000,0)))</f>
        <v/>
      </c>
      <c r="I948" t="str">
        <f>IFERROR(INDEX('Product Master'!$A$7:$A$1000,_xlfn.AGGREGATE(15,6,(ROW('Product Master'!$A$7:$A$1000)-ROW('Product Master'!$A$7)+1)/(('Product Master'!$A$7:$A$1000&lt;&gt;"")*('Product Master'!$P$7:$P$1000="Out of Stock")),ROWS($I$12:I948))),"")</f>
        <v/>
      </c>
      <c r="J948" t="str">
        <f>IF($I948="","",INDEX('Product Master'!$B$7:$B$1000,MATCH($I948,'Product Master'!$A$7:$A$1000,0)))</f>
        <v/>
      </c>
      <c r="K948" t="str">
        <f>IF($I948="","",INDEX('Product Master'!$C$7:$C$1000,MATCH($I948,'Product Master'!$A$7:$A$1000,0)))</f>
        <v/>
      </c>
      <c r="L948" t="str">
        <f>IF($I948="","",INDEX('Product Master'!$M$7:$M$1000,MATCH($I948,'Product Master'!$A$7:$A$1000,0)))</f>
        <v/>
      </c>
      <c r="M948" t="str">
        <f>IF($I948="","",INDEX('Product Master'!$N$7:$N$1000,MATCH($I948,'Product Master'!$A$7:$A$1000,0)))</f>
        <v/>
      </c>
    </row>
    <row r="949" spans="1:13" x14ac:dyDescent="0.3">
      <c r="A949" t="str">
        <f>IFERROR(INDEX('Product Master'!$A$7:$A$1000,_xlfn.AGGREGATE(15,6,(ROW('Product Master'!$A$7:$A$1000)-ROW('Product Master'!$A$7)+1)/(('Product Master'!$A$7:$A$1000&lt;&gt;"")*('Product Master'!$P$7:$P$1000="Low Stock")),ROWS($A$12:A949))),"")</f>
        <v/>
      </c>
      <c r="B949" t="str">
        <f>IF($A949="","",INDEX('Product Master'!$B$7:$B$1000,MATCH($A949,'Product Master'!$A$7:$A$1000,0)))</f>
        <v/>
      </c>
      <c r="C949" t="str">
        <f>IF($A949="","",INDEX('Product Master'!$C$7:$C$1000,MATCH($A949,'Product Master'!$A$7:$A$1000,0)))</f>
        <v/>
      </c>
      <c r="D949" t="str">
        <f>IF($A949="","",INDEX('Product Master'!$M$7:$M$1000,MATCH($A949,'Product Master'!$A$7:$A$1000,0)))</f>
        <v/>
      </c>
      <c r="E949" t="str">
        <f>IF($A949="","",INDEX('Product Master'!$N$7:$N$1000,MATCH($A949,'Product Master'!$A$7:$A$1000,0)))</f>
        <v/>
      </c>
      <c r="F949" t="str">
        <f>IF($A949="","",INDEX('Product Master'!$P$7:$P$1000,MATCH($A949,'Product Master'!$A$7:$A$1000,0)))</f>
        <v/>
      </c>
      <c r="I949" t="str">
        <f>IFERROR(INDEX('Product Master'!$A$7:$A$1000,_xlfn.AGGREGATE(15,6,(ROW('Product Master'!$A$7:$A$1000)-ROW('Product Master'!$A$7)+1)/(('Product Master'!$A$7:$A$1000&lt;&gt;"")*('Product Master'!$P$7:$P$1000="Out of Stock")),ROWS($I$12:I949))),"")</f>
        <v/>
      </c>
      <c r="J949" t="str">
        <f>IF($I949="","",INDEX('Product Master'!$B$7:$B$1000,MATCH($I949,'Product Master'!$A$7:$A$1000,0)))</f>
        <v/>
      </c>
      <c r="K949" t="str">
        <f>IF($I949="","",INDEX('Product Master'!$C$7:$C$1000,MATCH($I949,'Product Master'!$A$7:$A$1000,0)))</f>
        <v/>
      </c>
      <c r="L949" t="str">
        <f>IF($I949="","",INDEX('Product Master'!$M$7:$M$1000,MATCH($I949,'Product Master'!$A$7:$A$1000,0)))</f>
        <v/>
      </c>
      <c r="M949" t="str">
        <f>IF($I949="","",INDEX('Product Master'!$N$7:$N$1000,MATCH($I949,'Product Master'!$A$7:$A$1000,0)))</f>
        <v/>
      </c>
    </row>
    <row r="950" spans="1:13" x14ac:dyDescent="0.3">
      <c r="A950" t="str">
        <f>IFERROR(INDEX('Product Master'!$A$7:$A$1000,_xlfn.AGGREGATE(15,6,(ROW('Product Master'!$A$7:$A$1000)-ROW('Product Master'!$A$7)+1)/(('Product Master'!$A$7:$A$1000&lt;&gt;"")*('Product Master'!$P$7:$P$1000="Low Stock")),ROWS($A$12:A950))),"")</f>
        <v/>
      </c>
      <c r="B950" t="str">
        <f>IF($A950="","",INDEX('Product Master'!$B$7:$B$1000,MATCH($A950,'Product Master'!$A$7:$A$1000,0)))</f>
        <v/>
      </c>
      <c r="C950" t="str">
        <f>IF($A950="","",INDEX('Product Master'!$C$7:$C$1000,MATCH($A950,'Product Master'!$A$7:$A$1000,0)))</f>
        <v/>
      </c>
      <c r="D950" t="str">
        <f>IF($A950="","",INDEX('Product Master'!$M$7:$M$1000,MATCH($A950,'Product Master'!$A$7:$A$1000,0)))</f>
        <v/>
      </c>
      <c r="E950" t="str">
        <f>IF($A950="","",INDEX('Product Master'!$N$7:$N$1000,MATCH($A950,'Product Master'!$A$7:$A$1000,0)))</f>
        <v/>
      </c>
      <c r="F950" t="str">
        <f>IF($A950="","",INDEX('Product Master'!$P$7:$P$1000,MATCH($A950,'Product Master'!$A$7:$A$1000,0)))</f>
        <v/>
      </c>
      <c r="I950" t="str">
        <f>IFERROR(INDEX('Product Master'!$A$7:$A$1000,_xlfn.AGGREGATE(15,6,(ROW('Product Master'!$A$7:$A$1000)-ROW('Product Master'!$A$7)+1)/(('Product Master'!$A$7:$A$1000&lt;&gt;"")*('Product Master'!$P$7:$P$1000="Out of Stock")),ROWS($I$12:I950))),"")</f>
        <v/>
      </c>
      <c r="J950" t="str">
        <f>IF($I950="","",INDEX('Product Master'!$B$7:$B$1000,MATCH($I950,'Product Master'!$A$7:$A$1000,0)))</f>
        <v/>
      </c>
      <c r="K950" t="str">
        <f>IF($I950="","",INDEX('Product Master'!$C$7:$C$1000,MATCH($I950,'Product Master'!$A$7:$A$1000,0)))</f>
        <v/>
      </c>
      <c r="L950" t="str">
        <f>IF($I950="","",INDEX('Product Master'!$M$7:$M$1000,MATCH($I950,'Product Master'!$A$7:$A$1000,0)))</f>
        <v/>
      </c>
      <c r="M950" t="str">
        <f>IF($I950="","",INDEX('Product Master'!$N$7:$N$1000,MATCH($I950,'Product Master'!$A$7:$A$1000,0)))</f>
        <v/>
      </c>
    </row>
    <row r="951" spans="1:13" x14ac:dyDescent="0.3">
      <c r="A951" t="str">
        <f>IFERROR(INDEX('Product Master'!$A$7:$A$1000,_xlfn.AGGREGATE(15,6,(ROW('Product Master'!$A$7:$A$1000)-ROW('Product Master'!$A$7)+1)/(('Product Master'!$A$7:$A$1000&lt;&gt;"")*('Product Master'!$P$7:$P$1000="Low Stock")),ROWS($A$12:A951))),"")</f>
        <v/>
      </c>
      <c r="B951" t="str">
        <f>IF($A951="","",INDEX('Product Master'!$B$7:$B$1000,MATCH($A951,'Product Master'!$A$7:$A$1000,0)))</f>
        <v/>
      </c>
      <c r="C951" t="str">
        <f>IF($A951="","",INDEX('Product Master'!$C$7:$C$1000,MATCH($A951,'Product Master'!$A$7:$A$1000,0)))</f>
        <v/>
      </c>
      <c r="D951" t="str">
        <f>IF($A951="","",INDEX('Product Master'!$M$7:$M$1000,MATCH($A951,'Product Master'!$A$7:$A$1000,0)))</f>
        <v/>
      </c>
      <c r="E951" t="str">
        <f>IF($A951="","",INDEX('Product Master'!$N$7:$N$1000,MATCH($A951,'Product Master'!$A$7:$A$1000,0)))</f>
        <v/>
      </c>
      <c r="F951" t="str">
        <f>IF($A951="","",INDEX('Product Master'!$P$7:$P$1000,MATCH($A951,'Product Master'!$A$7:$A$1000,0)))</f>
        <v/>
      </c>
      <c r="I951" t="str">
        <f>IFERROR(INDEX('Product Master'!$A$7:$A$1000,_xlfn.AGGREGATE(15,6,(ROW('Product Master'!$A$7:$A$1000)-ROW('Product Master'!$A$7)+1)/(('Product Master'!$A$7:$A$1000&lt;&gt;"")*('Product Master'!$P$7:$P$1000="Out of Stock")),ROWS($I$12:I951))),"")</f>
        <v/>
      </c>
      <c r="J951" t="str">
        <f>IF($I951="","",INDEX('Product Master'!$B$7:$B$1000,MATCH($I951,'Product Master'!$A$7:$A$1000,0)))</f>
        <v/>
      </c>
      <c r="K951" t="str">
        <f>IF($I951="","",INDEX('Product Master'!$C$7:$C$1000,MATCH($I951,'Product Master'!$A$7:$A$1000,0)))</f>
        <v/>
      </c>
      <c r="L951" t="str">
        <f>IF($I951="","",INDEX('Product Master'!$M$7:$M$1000,MATCH($I951,'Product Master'!$A$7:$A$1000,0)))</f>
        <v/>
      </c>
      <c r="M951" t="str">
        <f>IF($I951="","",INDEX('Product Master'!$N$7:$N$1000,MATCH($I951,'Product Master'!$A$7:$A$1000,0)))</f>
        <v/>
      </c>
    </row>
    <row r="952" spans="1:13" x14ac:dyDescent="0.3">
      <c r="A952" t="str">
        <f>IFERROR(INDEX('Product Master'!$A$7:$A$1000,_xlfn.AGGREGATE(15,6,(ROW('Product Master'!$A$7:$A$1000)-ROW('Product Master'!$A$7)+1)/(('Product Master'!$A$7:$A$1000&lt;&gt;"")*('Product Master'!$P$7:$P$1000="Low Stock")),ROWS($A$12:A952))),"")</f>
        <v/>
      </c>
      <c r="B952" t="str">
        <f>IF($A952="","",INDEX('Product Master'!$B$7:$B$1000,MATCH($A952,'Product Master'!$A$7:$A$1000,0)))</f>
        <v/>
      </c>
      <c r="C952" t="str">
        <f>IF($A952="","",INDEX('Product Master'!$C$7:$C$1000,MATCH($A952,'Product Master'!$A$7:$A$1000,0)))</f>
        <v/>
      </c>
      <c r="D952" t="str">
        <f>IF($A952="","",INDEX('Product Master'!$M$7:$M$1000,MATCH($A952,'Product Master'!$A$7:$A$1000,0)))</f>
        <v/>
      </c>
      <c r="E952" t="str">
        <f>IF($A952="","",INDEX('Product Master'!$N$7:$N$1000,MATCH($A952,'Product Master'!$A$7:$A$1000,0)))</f>
        <v/>
      </c>
      <c r="F952" t="str">
        <f>IF($A952="","",INDEX('Product Master'!$P$7:$P$1000,MATCH($A952,'Product Master'!$A$7:$A$1000,0)))</f>
        <v/>
      </c>
      <c r="I952" t="str">
        <f>IFERROR(INDEX('Product Master'!$A$7:$A$1000,_xlfn.AGGREGATE(15,6,(ROW('Product Master'!$A$7:$A$1000)-ROW('Product Master'!$A$7)+1)/(('Product Master'!$A$7:$A$1000&lt;&gt;"")*('Product Master'!$P$7:$P$1000="Out of Stock")),ROWS($I$12:I952))),"")</f>
        <v/>
      </c>
      <c r="J952" t="str">
        <f>IF($I952="","",INDEX('Product Master'!$B$7:$B$1000,MATCH($I952,'Product Master'!$A$7:$A$1000,0)))</f>
        <v/>
      </c>
      <c r="K952" t="str">
        <f>IF($I952="","",INDEX('Product Master'!$C$7:$C$1000,MATCH($I952,'Product Master'!$A$7:$A$1000,0)))</f>
        <v/>
      </c>
      <c r="L952" t="str">
        <f>IF($I952="","",INDEX('Product Master'!$M$7:$M$1000,MATCH($I952,'Product Master'!$A$7:$A$1000,0)))</f>
        <v/>
      </c>
      <c r="M952" t="str">
        <f>IF($I952="","",INDEX('Product Master'!$N$7:$N$1000,MATCH($I952,'Product Master'!$A$7:$A$1000,0)))</f>
        <v/>
      </c>
    </row>
    <row r="953" spans="1:13" x14ac:dyDescent="0.3">
      <c r="A953" t="str">
        <f>IFERROR(INDEX('Product Master'!$A$7:$A$1000,_xlfn.AGGREGATE(15,6,(ROW('Product Master'!$A$7:$A$1000)-ROW('Product Master'!$A$7)+1)/(('Product Master'!$A$7:$A$1000&lt;&gt;"")*('Product Master'!$P$7:$P$1000="Low Stock")),ROWS($A$12:A953))),"")</f>
        <v/>
      </c>
      <c r="B953" t="str">
        <f>IF($A953="","",INDEX('Product Master'!$B$7:$B$1000,MATCH($A953,'Product Master'!$A$7:$A$1000,0)))</f>
        <v/>
      </c>
      <c r="C953" t="str">
        <f>IF($A953="","",INDEX('Product Master'!$C$7:$C$1000,MATCH($A953,'Product Master'!$A$7:$A$1000,0)))</f>
        <v/>
      </c>
      <c r="D953" t="str">
        <f>IF($A953="","",INDEX('Product Master'!$M$7:$M$1000,MATCH($A953,'Product Master'!$A$7:$A$1000,0)))</f>
        <v/>
      </c>
      <c r="E953" t="str">
        <f>IF($A953="","",INDEX('Product Master'!$N$7:$N$1000,MATCH($A953,'Product Master'!$A$7:$A$1000,0)))</f>
        <v/>
      </c>
      <c r="F953" t="str">
        <f>IF($A953="","",INDEX('Product Master'!$P$7:$P$1000,MATCH($A953,'Product Master'!$A$7:$A$1000,0)))</f>
        <v/>
      </c>
      <c r="I953" t="str">
        <f>IFERROR(INDEX('Product Master'!$A$7:$A$1000,_xlfn.AGGREGATE(15,6,(ROW('Product Master'!$A$7:$A$1000)-ROW('Product Master'!$A$7)+1)/(('Product Master'!$A$7:$A$1000&lt;&gt;"")*('Product Master'!$P$7:$P$1000="Out of Stock")),ROWS($I$12:I953))),"")</f>
        <v/>
      </c>
      <c r="J953" t="str">
        <f>IF($I953="","",INDEX('Product Master'!$B$7:$B$1000,MATCH($I953,'Product Master'!$A$7:$A$1000,0)))</f>
        <v/>
      </c>
      <c r="K953" t="str">
        <f>IF($I953="","",INDEX('Product Master'!$C$7:$C$1000,MATCH($I953,'Product Master'!$A$7:$A$1000,0)))</f>
        <v/>
      </c>
      <c r="L953" t="str">
        <f>IF($I953="","",INDEX('Product Master'!$M$7:$M$1000,MATCH($I953,'Product Master'!$A$7:$A$1000,0)))</f>
        <v/>
      </c>
      <c r="M953" t="str">
        <f>IF($I953="","",INDEX('Product Master'!$N$7:$N$1000,MATCH($I953,'Product Master'!$A$7:$A$1000,0)))</f>
        <v/>
      </c>
    </row>
    <row r="954" spans="1:13" x14ac:dyDescent="0.3">
      <c r="A954" t="str">
        <f>IFERROR(INDEX('Product Master'!$A$7:$A$1000,_xlfn.AGGREGATE(15,6,(ROW('Product Master'!$A$7:$A$1000)-ROW('Product Master'!$A$7)+1)/(('Product Master'!$A$7:$A$1000&lt;&gt;"")*('Product Master'!$P$7:$P$1000="Low Stock")),ROWS($A$12:A954))),"")</f>
        <v/>
      </c>
      <c r="B954" t="str">
        <f>IF($A954="","",INDEX('Product Master'!$B$7:$B$1000,MATCH($A954,'Product Master'!$A$7:$A$1000,0)))</f>
        <v/>
      </c>
      <c r="C954" t="str">
        <f>IF($A954="","",INDEX('Product Master'!$C$7:$C$1000,MATCH($A954,'Product Master'!$A$7:$A$1000,0)))</f>
        <v/>
      </c>
      <c r="D954" t="str">
        <f>IF($A954="","",INDEX('Product Master'!$M$7:$M$1000,MATCH($A954,'Product Master'!$A$7:$A$1000,0)))</f>
        <v/>
      </c>
      <c r="E954" t="str">
        <f>IF($A954="","",INDEX('Product Master'!$N$7:$N$1000,MATCH($A954,'Product Master'!$A$7:$A$1000,0)))</f>
        <v/>
      </c>
      <c r="F954" t="str">
        <f>IF($A954="","",INDEX('Product Master'!$P$7:$P$1000,MATCH($A954,'Product Master'!$A$7:$A$1000,0)))</f>
        <v/>
      </c>
      <c r="I954" t="str">
        <f>IFERROR(INDEX('Product Master'!$A$7:$A$1000,_xlfn.AGGREGATE(15,6,(ROW('Product Master'!$A$7:$A$1000)-ROW('Product Master'!$A$7)+1)/(('Product Master'!$A$7:$A$1000&lt;&gt;"")*('Product Master'!$P$7:$P$1000="Out of Stock")),ROWS($I$12:I954))),"")</f>
        <v/>
      </c>
      <c r="J954" t="str">
        <f>IF($I954="","",INDEX('Product Master'!$B$7:$B$1000,MATCH($I954,'Product Master'!$A$7:$A$1000,0)))</f>
        <v/>
      </c>
      <c r="K954" t="str">
        <f>IF($I954="","",INDEX('Product Master'!$C$7:$C$1000,MATCH($I954,'Product Master'!$A$7:$A$1000,0)))</f>
        <v/>
      </c>
      <c r="L954" t="str">
        <f>IF($I954="","",INDEX('Product Master'!$M$7:$M$1000,MATCH($I954,'Product Master'!$A$7:$A$1000,0)))</f>
        <v/>
      </c>
      <c r="M954" t="str">
        <f>IF($I954="","",INDEX('Product Master'!$N$7:$N$1000,MATCH($I954,'Product Master'!$A$7:$A$1000,0)))</f>
        <v/>
      </c>
    </row>
    <row r="955" spans="1:13" x14ac:dyDescent="0.3">
      <c r="A955" t="str">
        <f>IFERROR(INDEX('Product Master'!$A$7:$A$1000,_xlfn.AGGREGATE(15,6,(ROW('Product Master'!$A$7:$A$1000)-ROW('Product Master'!$A$7)+1)/(('Product Master'!$A$7:$A$1000&lt;&gt;"")*('Product Master'!$P$7:$P$1000="Low Stock")),ROWS($A$12:A955))),"")</f>
        <v/>
      </c>
      <c r="B955" t="str">
        <f>IF($A955="","",INDEX('Product Master'!$B$7:$B$1000,MATCH($A955,'Product Master'!$A$7:$A$1000,0)))</f>
        <v/>
      </c>
      <c r="C955" t="str">
        <f>IF($A955="","",INDEX('Product Master'!$C$7:$C$1000,MATCH($A955,'Product Master'!$A$7:$A$1000,0)))</f>
        <v/>
      </c>
      <c r="D955" t="str">
        <f>IF($A955="","",INDEX('Product Master'!$M$7:$M$1000,MATCH($A955,'Product Master'!$A$7:$A$1000,0)))</f>
        <v/>
      </c>
      <c r="E955" t="str">
        <f>IF($A955="","",INDEX('Product Master'!$N$7:$N$1000,MATCH($A955,'Product Master'!$A$7:$A$1000,0)))</f>
        <v/>
      </c>
      <c r="F955" t="str">
        <f>IF($A955="","",INDEX('Product Master'!$P$7:$P$1000,MATCH($A955,'Product Master'!$A$7:$A$1000,0)))</f>
        <v/>
      </c>
      <c r="I955" t="str">
        <f>IFERROR(INDEX('Product Master'!$A$7:$A$1000,_xlfn.AGGREGATE(15,6,(ROW('Product Master'!$A$7:$A$1000)-ROW('Product Master'!$A$7)+1)/(('Product Master'!$A$7:$A$1000&lt;&gt;"")*('Product Master'!$P$7:$P$1000="Out of Stock")),ROWS($I$12:I955))),"")</f>
        <v/>
      </c>
      <c r="J955" t="str">
        <f>IF($I955="","",INDEX('Product Master'!$B$7:$B$1000,MATCH($I955,'Product Master'!$A$7:$A$1000,0)))</f>
        <v/>
      </c>
      <c r="K955" t="str">
        <f>IF($I955="","",INDEX('Product Master'!$C$7:$C$1000,MATCH($I955,'Product Master'!$A$7:$A$1000,0)))</f>
        <v/>
      </c>
      <c r="L955" t="str">
        <f>IF($I955="","",INDEX('Product Master'!$M$7:$M$1000,MATCH($I955,'Product Master'!$A$7:$A$1000,0)))</f>
        <v/>
      </c>
      <c r="M955" t="str">
        <f>IF($I955="","",INDEX('Product Master'!$N$7:$N$1000,MATCH($I955,'Product Master'!$A$7:$A$1000,0)))</f>
        <v/>
      </c>
    </row>
    <row r="956" spans="1:13" x14ac:dyDescent="0.3">
      <c r="A956" t="str">
        <f>IFERROR(INDEX('Product Master'!$A$7:$A$1000,_xlfn.AGGREGATE(15,6,(ROW('Product Master'!$A$7:$A$1000)-ROW('Product Master'!$A$7)+1)/(('Product Master'!$A$7:$A$1000&lt;&gt;"")*('Product Master'!$P$7:$P$1000="Low Stock")),ROWS($A$12:A956))),"")</f>
        <v/>
      </c>
      <c r="B956" t="str">
        <f>IF($A956="","",INDEX('Product Master'!$B$7:$B$1000,MATCH($A956,'Product Master'!$A$7:$A$1000,0)))</f>
        <v/>
      </c>
      <c r="C956" t="str">
        <f>IF($A956="","",INDEX('Product Master'!$C$7:$C$1000,MATCH($A956,'Product Master'!$A$7:$A$1000,0)))</f>
        <v/>
      </c>
      <c r="D956" t="str">
        <f>IF($A956="","",INDEX('Product Master'!$M$7:$M$1000,MATCH($A956,'Product Master'!$A$7:$A$1000,0)))</f>
        <v/>
      </c>
      <c r="E956" t="str">
        <f>IF($A956="","",INDEX('Product Master'!$N$7:$N$1000,MATCH($A956,'Product Master'!$A$7:$A$1000,0)))</f>
        <v/>
      </c>
      <c r="F956" t="str">
        <f>IF($A956="","",INDEX('Product Master'!$P$7:$P$1000,MATCH($A956,'Product Master'!$A$7:$A$1000,0)))</f>
        <v/>
      </c>
      <c r="I956" t="str">
        <f>IFERROR(INDEX('Product Master'!$A$7:$A$1000,_xlfn.AGGREGATE(15,6,(ROW('Product Master'!$A$7:$A$1000)-ROW('Product Master'!$A$7)+1)/(('Product Master'!$A$7:$A$1000&lt;&gt;"")*('Product Master'!$P$7:$P$1000="Out of Stock")),ROWS($I$12:I956))),"")</f>
        <v/>
      </c>
      <c r="J956" t="str">
        <f>IF($I956="","",INDEX('Product Master'!$B$7:$B$1000,MATCH($I956,'Product Master'!$A$7:$A$1000,0)))</f>
        <v/>
      </c>
      <c r="K956" t="str">
        <f>IF($I956="","",INDEX('Product Master'!$C$7:$C$1000,MATCH($I956,'Product Master'!$A$7:$A$1000,0)))</f>
        <v/>
      </c>
      <c r="L956" t="str">
        <f>IF($I956="","",INDEX('Product Master'!$M$7:$M$1000,MATCH($I956,'Product Master'!$A$7:$A$1000,0)))</f>
        <v/>
      </c>
      <c r="M956" t="str">
        <f>IF($I956="","",INDEX('Product Master'!$N$7:$N$1000,MATCH($I956,'Product Master'!$A$7:$A$1000,0)))</f>
        <v/>
      </c>
    </row>
    <row r="957" spans="1:13" x14ac:dyDescent="0.3">
      <c r="A957" t="str">
        <f>IFERROR(INDEX('Product Master'!$A$7:$A$1000,_xlfn.AGGREGATE(15,6,(ROW('Product Master'!$A$7:$A$1000)-ROW('Product Master'!$A$7)+1)/(('Product Master'!$A$7:$A$1000&lt;&gt;"")*('Product Master'!$P$7:$P$1000="Low Stock")),ROWS($A$12:A957))),"")</f>
        <v/>
      </c>
      <c r="B957" t="str">
        <f>IF($A957="","",INDEX('Product Master'!$B$7:$B$1000,MATCH($A957,'Product Master'!$A$7:$A$1000,0)))</f>
        <v/>
      </c>
      <c r="C957" t="str">
        <f>IF($A957="","",INDEX('Product Master'!$C$7:$C$1000,MATCH($A957,'Product Master'!$A$7:$A$1000,0)))</f>
        <v/>
      </c>
      <c r="D957" t="str">
        <f>IF($A957="","",INDEX('Product Master'!$M$7:$M$1000,MATCH($A957,'Product Master'!$A$7:$A$1000,0)))</f>
        <v/>
      </c>
      <c r="E957" t="str">
        <f>IF($A957="","",INDEX('Product Master'!$N$7:$N$1000,MATCH($A957,'Product Master'!$A$7:$A$1000,0)))</f>
        <v/>
      </c>
      <c r="F957" t="str">
        <f>IF($A957="","",INDEX('Product Master'!$P$7:$P$1000,MATCH($A957,'Product Master'!$A$7:$A$1000,0)))</f>
        <v/>
      </c>
      <c r="I957" t="str">
        <f>IFERROR(INDEX('Product Master'!$A$7:$A$1000,_xlfn.AGGREGATE(15,6,(ROW('Product Master'!$A$7:$A$1000)-ROW('Product Master'!$A$7)+1)/(('Product Master'!$A$7:$A$1000&lt;&gt;"")*('Product Master'!$P$7:$P$1000="Out of Stock")),ROWS($I$12:I957))),"")</f>
        <v/>
      </c>
      <c r="J957" t="str">
        <f>IF($I957="","",INDEX('Product Master'!$B$7:$B$1000,MATCH($I957,'Product Master'!$A$7:$A$1000,0)))</f>
        <v/>
      </c>
      <c r="K957" t="str">
        <f>IF($I957="","",INDEX('Product Master'!$C$7:$C$1000,MATCH($I957,'Product Master'!$A$7:$A$1000,0)))</f>
        <v/>
      </c>
      <c r="L957" t="str">
        <f>IF($I957="","",INDEX('Product Master'!$M$7:$M$1000,MATCH($I957,'Product Master'!$A$7:$A$1000,0)))</f>
        <v/>
      </c>
      <c r="M957" t="str">
        <f>IF($I957="","",INDEX('Product Master'!$N$7:$N$1000,MATCH($I957,'Product Master'!$A$7:$A$1000,0)))</f>
        <v/>
      </c>
    </row>
    <row r="958" spans="1:13" x14ac:dyDescent="0.3">
      <c r="A958" t="str">
        <f>IFERROR(INDEX('Product Master'!$A$7:$A$1000,_xlfn.AGGREGATE(15,6,(ROW('Product Master'!$A$7:$A$1000)-ROW('Product Master'!$A$7)+1)/(('Product Master'!$A$7:$A$1000&lt;&gt;"")*('Product Master'!$P$7:$P$1000="Low Stock")),ROWS($A$12:A958))),"")</f>
        <v/>
      </c>
      <c r="B958" t="str">
        <f>IF($A958="","",INDEX('Product Master'!$B$7:$B$1000,MATCH($A958,'Product Master'!$A$7:$A$1000,0)))</f>
        <v/>
      </c>
      <c r="C958" t="str">
        <f>IF($A958="","",INDEX('Product Master'!$C$7:$C$1000,MATCH($A958,'Product Master'!$A$7:$A$1000,0)))</f>
        <v/>
      </c>
      <c r="D958" t="str">
        <f>IF($A958="","",INDEX('Product Master'!$M$7:$M$1000,MATCH($A958,'Product Master'!$A$7:$A$1000,0)))</f>
        <v/>
      </c>
      <c r="E958" t="str">
        <f>IF($A958="","",INDEX('Product Master'!$N$7:$N$1000,MATCH($A958,'Product Master'!$A$7:$A$1000,0)))</f>
        <v/>
      </c>
      <c r="F958" t="str">
        <f>IF($A958="","",INDEX('Product Master'!$P$7:$P$1000,MATCH($A958,'Product Master'!$A$7:$A$1000,0)))</f>
        <v/>
      </c>
      <c r="I958" t="str">
        <f>IFERROR(INDEX('Product Master'!$A$7:$A$1000,_xlfn.AGGREGATE(15,6,(ROW('Product Master'!$A$7:$A$1000)-ROW('Product Master'!$A$7)+1)/(('Product Master'!$A$7:$A$1000&lt;&gt;"")*('Product Master'!$P$7:$P$1000="Out of Stock")),ROWS($I$12:I958))),"")</f>
        <v/>
      </c>
      <c r="J958" t="str">
        <f>IF($I958="","",INDEX('Product Master'!$B$7:$B$1000,MATCH($I958,'Product Master'!$A$7:$A$1000,0)))</f>
        <v/>
      </c>
      <c r="K958" t="str">
        <f>IF($I958="","",INDEX('Product Master'!$C$7:$C$1000,MATCH($I958,'Product Master'!$A$7:$A$1000,0)))</f>
        <v/>
      </c>
      <c r="L958" t="str">
        <f>IF($I958="","",INDEX('Product Master'!$M$7:$M$1000,MATCH($I958,'Product Master'!$A$7:$A$1000,0)))</f>
        <v/>
      </c>
      <c r="M958" t="str">
        <f>IF($I958="","",INDEX('Product Master'!$N$7:$N$1000,MATCH($I958,'Product Master'!$A$7:$A$1000,0)))</f>
        <v/>
      </c>
    </row>
    <row r="959" spans="1:13" x14ac:dyDescent="0.3">
      <c r="A959" t="str">
        <f>IFERROR(INDEX('Product Master'!$A$7:$A$1000,_xlfn.AGGREGATE(15,6,(ROW('Product Master'!$A$7:$A$1000)-ROW('Product Master'!$A$7)+1)/(('Product Master'!$A$7:$A$1000&lt;&gt;"")*('Product Master'!$P$7:$P$1000="Low Stock")),ROWS($A$12:A959))),"")</f>
        <v/>
      </c>
      <c r="B959" t="str">
        <f>IF($A959="","",INDEX('Product Master'!$B$7:$B$1000,MATCH($A959,'Product Master'!$A$7:$A$1000,0)))</f>
        <v/>
      </c>
      <c r="C959" t="str">
        <f>IF($A959="","",INDEX('Product Master'!$C$7:$C$1000,MATCH($A959,'Product Master'!$A$7:$A$1000,0)))</f>
        <v/>
      </c>
      <c r="D959" t="str">
        <f>IF($A959="","",INDEX('Product Master'!$M$7:$M$1000,MATCH($A959,'Product Master'!$A$7:$A$1000,0)))</f>
        <v/>
      </c>
      <c r="E959" t="str">
        <f>IF($A959="","",INDEX('Product Master'!$N$7:$N$1000,MATCH($A959,'Product Master'!$A$7:$A$1000,0)))</f>
        <v/>
      </c>
      <c r="F959" t="str">
        <f>IF($A959="","",INDEX('Product Master'!$P$7:$P$1000,MATCH($A959,'Product Master'!$A$7:$A$1000,0)))</f>
        <v/>
      </c>
      <c r="I959" t="str">
        <f>IFERROR(INDEX('Product Master'!$A$7:$A$1000,_xlfn.AGGREGATE(15,6,(ROW('Product Master'!$A$7:$A$1000)-ROW('Product Master'!$A$7)+1)/(('Product Master'!$A$7:$A$1000&lt;&gt;"")*('Product Master'!$P$7:$P$1000="Out of Stock")),ROWS($I$12:I959))),"")</f>
        <v/>
      </c>
      <c r="J959" t="str">
        <f>IF($I959="","",INDEX('Product Master'!$B$7:$B$1000,MATCH($I959,'Product Master'!$A$7:$A$1000,0)))</f>
        <v/>
      </c>
      <c r="K959" t="str">
        <f>IF($I959="","",INDEX('Product Master'!$C$7:$C$1000,MATCH($I959,'Product Master'!$A$7:$A$1000,0)))</f>
        <v/>
      </c>
      <c r="L959" t="str">
        <f>IF($I959="","",INDEX('Product Master'!$M$7:$M$1000,MATCH($I959,'Product Master'!$A$7:$A$1000,0)))</f>
        <v/>
      </c>
      <c r="M959" t="str">
        <f>IF($I959="","",INDEX('Product Master'!$N$7:$N$1000,MATCH($I959,'Product Master'!$A$7:$A$1000,0)))</f>
        <v/>
      </c>
    </row>
    <row r="960" spans="1:13" x14ac:dyDescent="0.3">
      <c r="A960" t="str">
        <f>IFERROR(INDEX('Product Master'!$A$7:$A$1000,_xlfn.AGGREGATE(15,6,(ROW('Product Master'!$A$7:$A$1000)-ROW('Product Master'!$A$7)+1)/(('Product Master'!$A$7:$A$1000&lt;&gt;"")*('Product Master'!$P$7:$P$1000="Low Stock")),ROWS($A$12:A960))),"")</f>
        <v/>
      </c>
      <c r="B960" t="str">
        <f>IF($A960="","",INDEX('Product Master'!$B$7:$B$1000,MATCH($A960,'Product Master'!$A$7:$A$1000,0)))</f>
        <v/>
      </c>
      <c r="C960" t="str">
        <f>IF($A960="","",INDEX('Product Master'!$C$7:$C$1000,MATCH($A960,'Product Master'!$A$7:$A$1000,0)))</f>
        <v/>
      </c>
      <c r="D960" t="str">
        <f>IF($A960="","",INDEX('Product Master'!$M$7:$M$1000,MATCH($A960,'Product Master'!$A$7:$A$1000,0)))</f>
        <v/>
      </c>
      <c r="E960" t="str">
        <f>IF($A960="","",INDEX('Product Master'!$N$7:$N$1000,MATCH($A960,'Product Master'!$A$7:$A$1000,0)))</f>
        <v/>
      </c>
      <c r="F960" t="str">
        <f>IF($A960="","",INDEX('Product Master'!$P$7:$P$1000,MATCH($A960,'Product Master'!$A$7:$A$1000,0)))</f>
        <v/>
      </c>
      <c r="I960" t="str">
        <f>IFERROR(INDEX('Product Master'!$A$7:$A$1000,_xlfn.AGGREGATE(15,6,(ROW('Product Master'!$A$7:$A$1000)-ROW('Product Master'!$A$7)+1)/(('Product Master'!$A$7:$A$1000&lt;&gt;"")*('Product Master'!$P$7:$P$1000="Out of Stock")),ROWS($I$12:I960))),"")</f>
        <v/>
      </c>
      <c r="J960" t="str">
        <f>IF($I960="","",INDEX('Product Master'!$B$7:$B$1000,MATCH($I960,'Product Master'!$A$7:$A$1000,0)))</f>
        <v/>
      </c>
      <c r="K960" t="str">
        <f>IF($I960="","",INDEX('Product Master'!$C$7:$C$1000,MATCH($I960,'Product Master'!$A$7:$A$1000,0)))</f>
        <v/>
      </c>
      <c r="L960" t="str">
        <f>IF($I960="","",INDEX('Product Master'!$M$7:$M$1000,MATCH($I960,'Product Master'!$A$7:$A$1000,0)))</f>
        <v/>
      </c>
      <c r="M960" t="str">
        <f>IF($I960="","",INDEX('Product Master'!$N$7:$N$1000,MATCH($I960,'Product Master'!$A$7:$A$1000,0)))</f>
        <v/>
      </c>
    </row>
    <row r="961" spans="1:13" x14ac:dyDescent="0.3">
      <c r="A961" t="str">
        <f>IFERROR(INDEX('Product Master'!$A$7:$A$1000,_xlfn.AGGREGATE(15,6,(ROW('Product Master'!$A$7:$A$1000)-ROW('Product Master'!$A$7)+1)/(('Product Master'!$A$7:$A$1000&lt;&gt;"")*('Product Master'!$P$7:$P$1000="Low Stock")),ROWS($A$12:A961))),"")</f>
        <v/>
      </c>
      <c r="B961" t="str">
        <f>IF($A961="","",INDEX('Product Master'!$B$7:$B$1000,MATCH($A961,'Product Master'!$A$7:$A$1000,0)))</f>
        <v/>
      </c>
      <c r="C961" t="str">
        <f>IF($A961="","",INDEX('Product Master'!$C$7:$C$1000,MATCH($A961,'Product Master'!$A$7:$A$1000,0)))</f>
        <v/>
      </c>
      <c r="D961" t="str">
        <f>IF($A961="","",INDEX('Product Master'!$M$7:$M$1000,MATCH($A961,'Product Master'!$A$7:$A$1000,0)))</f>
        <v/>
      </c>
      <c r="E961" t="str">
        <f>IF($A961="","",INDEX('Product Master'!$N$7:$N$1000,MATCH($A961,'Product Master'!$A$7:$A$1000,0)))</f>
        <v/>
      </c>
      <c r="F961" t="str">
        <f>IF($A961="","",INDEX('Product Master'!$P$7:$P$1000,MATCH($A961,'Product Master'!$A$7:$A$1000,0)))</f>
        <v/>
      </c>
      <c r="I961" t="str">
        <f>IFERROR(INDEX('Product Master'!$A$7:$A$1000,_xlfn.AGGREGATE(15,6,(ROW('Product Master'!$A$7:$A$1000)-ROW('Product Master'!$A$7)+1)/(('Product Master'!$A$7:$A$1000&lt;&gt;"")*('Product Master'!$P$7:$P$1000="Out of Stock")),ROWS($I$12:I961))),"")</f>
        <v/>
      </c>
      <c r="J961" t="str">
        <f>IF($I961="","",INDEX('Product Master'!$B$7:$B$1000,MATCH($I961,'Product Master'!$A$7:$A$1000,0)))</f>
        <v/>
      </c>
      <c r="K961" t="str">
        <f>IF($I961="","",INDEX('Product Master'!$C$7:$C$1000,MATCH($I961,'Product Master'!$A$7:$A$1000,0)))</f>
        <v/>
      </c>
      <c r="L961" t="str">
        <f>IF($I961="","",INDEX('Product Master'!$M$7:$M$1000,MATCH($I961,'Product Master'!$A$7:$A$1000,0)))</f>
        <v/>
      </c>
      <c r="M961" t="str">
        <f>IF($I961="","",INDEX('Product Master'!$N$7:$N$1000,MATCH($I961,'Product Master'!$A$7:$A$1000,0)))</f>
        <v/>
      </c>
    </row>
    <row r="962" spans="1:13" x14ac:dyDescent="0.3">
      <c r="A962" t="str">
        <f>IFERROR(INDEX('Product Master'!$A$7:$A$1000,_xlfn.AGGREGATE(15,6,(ROW('Product Master'!$A$7:$A$1000)-ROW('Product Master'!$A$7)+1)/(('Product Master'!$A$7:$A$1000&lt;&gt;"")*('Product Master'!$P$7:$P$1000="Low Stock")),ROWS($A$12:A962))),"")</f>
        <v/>
      </c>
      <c r="B962" t="str">
        <f>IF($A962="","",INDEX('Product Master'!$B$7:$B$1000,MATCH($A962,'Product Master'!$A$7:$A$1000,0)))</f>
        <v/>
      </c>
      <c r="C962" t="str">
        <f>IF($A962="","",INDEX('Product Master'!$C$7:$C$1000,MATCH($A962,'Product Master'!$A$7:$A$1000,0)))</f>
        <v/>
      </c>
      <c r="D962" t="str">
        <f>IF($A962="","",INDEX('Product Master'!$M$7:$M$1000,MATCH($A962,'Product Master'!$A$7:$A$1000,0)))</f>
        <v/>
      </c>
      <c r="E962" t="str">
        <f>IF($A962="","",INDEX('Product Master'!$N$7:$N$1000,MATCH($A962,'Product Master'!$A$7:$A$1000,0)))</f>
        <v/>
      </c>
      <c r="F962" t="str">
        <f>IF($A962="","",INDEX('Product Master'!$P$7:$P$1000,MATCH($A962,'Product Master'!$A$7:$A$1000,0)))</f>
        <v/>
      </c>
      <c r="I962" t="str">
        <f>IFERROR(INDEX('Product Master'!$A$7:$A$1000,_xlfn.AGGREGATE(15,6,(ROW('Product Master'!$A$7:$A$1000)-ROW('Product Master'!$A$7)+1)/(('Product Master'!$A$7:$A$1000&lt;&gt;"")*('Product Master'!$P$7:$P$1000="Out of Stock")),ROWS($I$12:I962))),"")</f>
        <v/>
      </c>
      <c r="J962" t="str">
        <f>IF($I962="","",INDEX('Product Master'!$B$7:$B$1000,MATCH($I962,'Product Master'!$A$7:$A$1000,0)))</f>
        <v/>
      </c>
      <c r="K962" t="str">
        <f>IF($I962="","",INDEX('Product Master'!$C$7:$C$1000,MATCH($I962,'Product Master'!$A$7:$A$1000,0)))</f>
        <v/>
      </c>
      <c r="L962" t="str">
        <f>IF($I962="","",INDEX('Product Master'!$M$7:$M$1000,MATCH($I962,'Product Master'!$A$7:$A$1000,0)))</f>
        <v/>
      </c>
      <c r="M962" t="str">
        <f>IF($I962="","",INDEX('Product Master'!$N$7:$N$1000,MATCH($I962,'Product Master'!$A$7:$A$1000,0)))</f>
        <v/>
      </c>
    </row>
    <row r="963" spans="1:13" x14ac:dyDescent="0.3">
      <c r="A963" t="str">
        <f>IFERROR(INDEX('Product Master'!$A$7:$A$1000,_xlfn.AGGREGATE(15,6,(ROW('Product Master'!$A$7:$A$1000)-ROW('Product Master'!$A$7)+1)/(('Product Master'!$A$7:$A$1000&lt;&gt;"")*('Product Master'!$P$7:$P$1000="Low Stock")),ROWS($A$12:A963))),"")</f>
        <v/>
      </c>
      <c r="B963" t="str">
        <f>IF($A963="","",INDEX('Product Master'!$B$7:$B$1000,MATCH($A963,'Product Master'!$A$7:$A$1000,0)))</f>
        <v/>
      </c>
      <c r="C963" t="str">
        <f>IF($A963="","",INDEX('Product Master'!$C$7:$C$1000,MATCH($A963,'Product Master'!$A$7:$A$1000,0)))</f>
        <v/>
      </c>
      <c r="D963" t="str">
        <f>IF($A963="","",INDEX('Product Master'!$M$7:$M$1000,MATCH($A963,'Product Master'!$A$7:$A$1000,0)))</f>
        <v/>
      </c>
      <c r="E963" t="str">
        <f>IF($A963="","",INDEX('Product Master'!$N$7:$N$1000,MATCH($A963,'Product Master'!$A$7:$A$1000,0)))</f>
        <v/>
      </c>
      <c r="F963" t="str">
        <f>IF($A963="","",INDEX('Product Master'!$P$7:$P$1000,MATCH($A963,'Product Master'!$A$7:$A$1000,0)))</f>
        <v/>
      </c>
      <c r="I963" t="str">
        <f>IFERROR(INDEX('Product Master'!$A$7:$A$1000,_xlfn.AGGREGATE(15,6,(ROW('Product Master'!$A$7:$A$1000)-ROW('Product Master'!$A$7)+1)/(('Product Master'!$A$7:$A$1000&lt;&gt;"")*('Product Master'!$P$7:$P$1000="Out of Stock")),ROWS($I$12:I963))),"")</f>
        <v/>
      </c>
      <c r="J963" t="str">
        <f>IF($I963="","",INDEX('Product Master'!$B$7:$B$1000,MATCH($I963,'Product Master'!$A$7:$A$1000,0)))</f>
        <v/>
      </c>
      <c r="K963" t="str">
        <f>IF($I963="","",INDEX('Product Master'!$C$7:$C$1000,MATCH($I963,'Product Master'!$A$7:$A$1000,0)))</f>
        <v/>
      </c>
      <c r="L963" t="str">
        <f>IF($I963="","",INDEX('Product Master'!$M$7:$M$1000,MATCH($I963,'Product Master'!$A$7:$A$1000,0)))</f>
        <v/>
      </c>
      <c r="M963" t="str">
        <f>IF($I963="","",INDEX('Product Master'!$N$7:$N$1000,MATCH($I963,'Product Master'!$A$7:$A$1000,0)))</f>
        <v/>
      </c>
    </row>
    <row r="964" spans="1:13" x14ac:dyDescent="0.3">
      <c r="A964" t="str">
        <f>IFERROR(INDEX('Product Master'!$A$7:$A$1000,_xlfn.AGGREGATE(15,6,(ROW('Product Master'!$A$7:$A$1000)-ROW('Product Master'!$A$7)+1)/(('Product Master'!$A$7:$A$1000&lt;&gt;"")*('Product Master'!$P$7:$P$1000="Low Stock")),ROWS($A$12:A964))),"")</f>
        <v/>
      </c>
      <c r="B964" t="str">
        <f>IF($A964="","",INDEX('Product Master'!$B$7:$B$1000,MATCH($A964,'Product Master'!$A$7:$A$1000,0)))</f>
        <v/>
      </c>
      <c r="C964" t="str">
        <f>IF($A964="","",INDEX('Product Master'!$C$7:$C$1000,MATCH($A964,'Product Master'!$A$7:$A$1000,0)))</f>
        <v/>
      </c>
      <c r="D964" t="str">
        <f>IF($A964="","",INDEX('Product Master'!$M$7:$M$1000,MATCH($A964,'Product Master'!$A$7:$A$1000,0)))</f>
        <v/>
      </c>
      <c r="E964" t="str">
        <f>IF($A964="","",INDEX('Product Master'!$N$7:$N$1000,MATCH($A964,'Product Master'!$A$7:$A$1000,0)))</f>
        <v/>
      </c>
      <c r="F964" t="str">
        <f>IF($A964="","",INDEX('Product Master'!$P$7:$P$1000,MATCH($A964,'Product Master'!$A$7:$A$1000,0)))</f>
        <v/>
      </c>
      <c r="I964" t="str">
        <f>IFERROR(INDEX('Product Master'!$A$7:$A$1000,_xlfn.AGGREGATE(15,6,(ROW('Product Master'!$A$7:$A$1000)-ROW('Product Master'!$A$7)+1)/(('Product Master'!$A$7:$A$1000&lt;&gt;"")*('Product Master'!$P$7:$P$1000="Out of Stock")),ROWS($I$12:I964))),"")</f>
        <v/>
      </c>
      <c r="J964" t="str">
        <f>IF($I964="","",INDEX('Product Master'!$B$7:$B$1000,MATCH($I964,'Product Master'!$A$7:$A$1000,0)))</f>
        <v/>
      </c>
      <c r="K964" t="str">
        <f>IF($I964="","",INDEX('Product Master'!$C$7:$C$1000,MATCH($I964,'Product Master'!$A$7:$A$1000,0)))</f>
        <v/>
      </c>
      <c r="L964" t="str">
        <f>IF($I964="","",INDEX('Product Master'!$M$7:$M$1000,MATCH($I964,'Product Master'!$A$7:$A$1000,0)))</f>
        <v/>
      </c>
      <c r="M964" t="str">
        <f>IF($I964="","",INDEX('Product Master'!$N$7:$N$1000,MATCH($I964,'Product Master'!$A$7:$A$1000,0)))</f>
        <v/>
      </c>
    </row>
    <row r="965" spans="1:13" x14ac:dyDescent="0.3">
      <c r="A965" t="str">
        <f>IFERROR(INDEX('Product Master'!$A$7:$A$1000,_xlfn.AGGREGATE(15,6,(ROW('Product Master'!$A$7:$A$1000)-ROW('Product Master'!$A$7)+1)/(('Product Master'!$A$7:$A$1000&lt;&gt;"")*('Product Master'!$P$7:$P$1000="Low Stock")),ROWS($A$12:A965))),"")</f>
        <v/>
      </c>
      <c r="B965" t="str">
        <f>IF($A965="","",INDEX('Product Master'!$B$7:$B$1000,MATCH($A965,'Product Master'!$A$7:$A$1000,0)))</f>
        <v/>
      </c>
      <c r="C965" t="str">
        <f>IF($A965="","",INDEX('Product Master'!$C$7:$C$1000,MATCH($A965,'Product Master'!$A$7:$A$1000,0)))</f>
        <v/>
      </c>
      <c r="D965" t="str">
        <f>IF($A965="","",INDEX('Product Master'!$M$7:$M$1000,MATCH($A965,'Product Master'!$A$7:$A$1000,0)))</f>
        <v/>
      </c>
      <c r="E965" t="str">
        <f>IF($A965="","",INDEX('Product Master'!$N$7:$N$1000,MATCH($A965,'Product Master'!$A$7:$A$1000,0)))</f>
        <v/>
      </c>
      <c r="F965" t="str">
        <f>IF($A965="","",INDEX('Product Master'!$P$7:$P$1000,MATCH($A965,'Product Master'!$A$7:$A$1000,0)))</f>
        <v/>
      </c>
      <c r="I965" t="str">
        <f>IFERROR(INDEX('Product Master'!$A$7:$A$1000,_xlfn.AGGREGATE(15,6,(ROW('Product Master'!$A$7:$A$1000)-ROW('Product Master'!$A$7)+1)/(('Product Master'!$A$7:$A$1000&lt;&gt;"")*('Product Master'!$P$7:$P$1000="Out of Stock")),ROWS($I$12:I965))),"")</f>
        <v/>
      </c>
      <c r="J965" t="str">
        <f>IF($I965="","",INDEX('Product Master'!$B$7:$B$1000,MATCH($I965,'Product Master'!$A$7:$A$1000,0)))</f>
        <v/>
      </c>
      <c r="K965" t="str">
        <f>IF($I965="","",INDEX('Product Master'!$C$7:$C$1000,MATCH($I965,'Product Master'!$A$7:$A$1000,0)))</f>
        <v/>
      </c>
      <c r="L965" t="str">
        <f>IF($I965="","",INDEX('Product Master'!$M$7:$M$1000,MATCH($I965,'Product Master'!$A$7:$A$1000,0)))</f>
        <v/>
      </c>
      <c r="M965" t="str">
        <f>IF($I965="","",INDEX('Product Master'!$N$7:$N$1000,MATCH($I965,'Product Master'!$A$7:$A$1000,0)))</f>
        <v/>
      </c>
    </row>
    <row r="966" spans="1:13" x14ac:dyDescent="0.3">
      <c r="A966" t="str">
        <f>IFERROR(INDEX('Product Master'!$A$7:$A$1000,_xlfn.AGGREGATE(15,6,(ROW('Product Master'!$A$7:$A$1000)-ROW('Product Master'!$A$7)+1)/(('Product Master'!$A$7:$A$1000&lt;&gt;"")*('Product Master'!$P$7:$P$1000="Low Stock")),ROWS($A$12:A966))),"")</f>
        <v/>
      </c>
      <c r="B966" t="str">
        <f>IF($A966="","",INDEX('Product Master'!$B$7:$B$1000,MATCH($A966,'Product Master'!$A$7:$A$1000,0)))</f>
        <v/>
      </c>
      <c r="C966" t="str">
        <f>IF($A966="","",INDEX('Product Master'!$C$7:$C$1000,MATCH($A966,'Product Master'!$A$7:$A$1000,0)))</f>
        <v/>
      </c>
      <c r="D966" t="str">
        <f>IF($A966="","",INDEX('Product Master'!$M$7:$M$1000,MATCH($A966,'Product Master'!$A$7:$A$1000,0)))</f>
        <v/>
      </c>
      <c r="E966" t="str">
        <f>IF($A966="","",INDEX('Product Master'!$N$7:$N$1000,MATCH($A966,'Product Master'!$A$7:$A$1000,0)))</f>
        <v/>
      </c>
      <c r="F966" t="str">
        <f>IF($A966="","",INDEX('Product Master'!$P$7:$P$1000,MATCH($A966,'Product Master'!$A$7:$A$1000,0)))</f>
        <v/>
      </c>
      <c r="I966" t="str">
        <f>IFERROR(INDEX('Product Master'!$A$7:$A$1000,_xlfn.AGGREGATE(15,6,(ROW('Product Master'!$A$7:$A$1000)-ROW('Product Master'!$A$7)+1)/(('Product Master'!$A$7:$A$1000&lt;&gt;"")*('Product Master'!$P$7:$P$1000="Out of Stock")),ROWS($I$12:I966))),"")</f>
        <v/>
      </c>
      <c r="J966" t="str">
        <f>IF($I966="","",INDEX('Product Master'!$B$7:$B$1000,MATCH($I966,'Product Master'!$A$7:$A$1000,0)))</f>
        <v/>
      </c>
      <c r="K966" t="str">
        <f>IF($I966="","",INDEX('Product Master'!$C$7:$C$1000,MATCH($I966,'Product Master'!$A$7:$A$1000,0)))</f>
        <v/>
      </c>
      <c r="L966" t="str">
        <f>IF($I966="","",INDEX('Product Master'!$M$7:$M$1000,MATCH($I966,'Product Master'!$A$7:$A$1000,0)))</f>
        <v/>
      </c>
      <c r="M966" t="str">
        <f>IF($I966="","",INDEX('Product Master'!$N$7:$N$1000,MATCH($I966,'Product Master'!$A$7:$A$1000,0)))</f>
        <v/>
      </c>
    </row>
    <row r="967" spans="1:13" x14ac:dyDescent="0.3">
      <c r="A967" t="str">
        <f>IFERROR(INDEX('Product Master'!$A$7:$A$1000,_xlfn.AGGREGATE(15,6,(ROW('Product Master'!$A$7:$A$1000)-ROW('Product Master'!$A$7)+1)/(('Product Master'!$A$7:$A$1000&lt;&gt;"")*('Product Master'!$P$7:$P$1000="Low Stock")),ROWS($A$12:A967))),"")</f>
        <v/>
      </c>
      <c r="B967" t="str">
        <f>IF($A967="","",INDEX('Product Master'!$B$7:$B$1000,MATCH($A967,'Product Master'!$A$7:$A$1000,0)))</f>
        <v/>
      </c>
      <c r="C967" t="str">
        <f>IF($A967="","",INDEX('Product Master'!$C$7:$C$1000,MATCH($A967,'Product Master'!$A$7:$A$1000,0)))</f>
        <v/>
      </c>
      <c r="D967" t="str">
        <f>IF($A967="","",INDEX('Product Master'!$M$7:$M$1000,MATCH($A967,'Product Master'!$A$7:$A$1000,0)))</f>
        <v/>
      </c>
      <c r="E967" t="str">
        <f>IF($A967="","",INDEX('Product Master'!$N$7:$N$1000,MATCH($A967,'Product Master'!$A$7:$A$1000,0)))</f>
        <v/>
      </c>
      <c r="F967" t="str">
        <f>IF($A967="","",INDEX('Product Master'!$P$7:$P$1000,MATCH($A967,'Product Master'!$A$7:$A$1000,0)))</f>
        <v/>
      </c>
      <c r="I967" t="str">
        <f>IFERROR(INDEX('Product Master'!$A$7:$A$1000,_xlfn.AGGREGATE(15,6,(ROW('Product Master'!$A$7:$A$1000)-ROW('Product Master'!$A$7)+1)/(('Product Master'!$A$7:$A$1000&lt;&gt;"")*('Product Master'!$P$7:$P$1000="Out of Stock")),ROWS($I$12:I967))),"")</f>
        <v/>
      </c>
      <c r="J967" t="str">
        <f>IF($I967="","",INDEX('Product Master'!$B$7:$B$1000,MATCH($I967,'Product Master'!$A$7:$A$1000,0)))</f>
        <v/>
      </c>
      <c r="K967" t="str">
        <f>IF($I967="","",INDEX('Product Master'!$C$7:$C$1000,MATCH($I967,'Product Master'!$A$7:$A$1000,0)))</f>
        <v/>
      </c>
      <c r="L967" t="str">
        <f>IF($I967="","",INDEX('Product Master'!$M$7:$M$1000,MATCH($I967,'Product Master'!$A$7:$A$1000,0)))</f>
        <v/>
      </c>
      <c r="M967" t="str">
        <f>IF($I967="","",INDEX('Product Master'!$N$7:$N$1000,MATCH($I967,'Product Master'!$A$7:$A$1000,0)))</f>
        <v/>
      </c>
    </row>
    <row r="968" spans="1:13" x14ac:dyDescent="0.3">
      <c r="A968" t="str">
        <f>IFERROR(INDEX('Product Master'!$A$7:$A$1000,_xlfn.AGGREGATE(15,6,(ROW('Product Master'!$A$7:$A$1000)-ROW('Product Master'!$A$7)+1)/(('Product Master'!$A$7:$A$1000&lt;&gt;"")*('Product Master'!$P$7:$P$1000="Low Stock")),ROWS($A$12:A968))),"")</f>
        <v/>
      </c>
      <c r="B968" t="str">
        <f>IF($A968="","",INDEX('Product Master'!$B$7:$B$1000,MATCH($A968,'Product Master'!$A$7:$A$1000,0)))</f>
        <v/>
      </c>
      <c r="C968" t="str">
        <f>IF($A968="","",INDEX('Product Master'!$C$7:$C$1000,MATCH($A968,'Product Master'!$A$7:$A$1000,0)))</f>
        <v/>
      </c>
      <c r="D968" t="str">
        <f>IF($A968="","",INDEX('Product Master'!$M$7:$M$1000,MATCH($A968,'Product Master'!$A$7:$A$1000,0)))</f>
        <v/>
      </c>
      <c r="E968" t="str">
        <f>IF($A968="","",INDEX('Product Master'!$N$7:$N$1000,MATCH($A968,'Product Master'!$A$7:$A$1000,0)))</f>
        <v/>
      </c>
      <c r="F968" t="str">
        <f>IF($A968="","",INDEX('Product Master'!$P$7:$P$1000,MATCH($A968,'Product Master'!$A$7:$A$1000,0)))</f>
        <v/>
      </c>
      <c r="I968" t="str">
        <f>IFERROR(INDEX('Product Master'!$A$7:$A$1000,_xlfn.AGGREGATE(15,6,(ROW('Product Master'!$A$7:$A$1000)-ROW('Product Master'!$A$7)+1)/(('Product Master'!$A$7:$A$1000&lt;&gt;"")*('Product Master'!$P$7:$P$1000="Out of Stock")),ROWS($I$12:I968))),"")</f>
        <v/>
      </c>
      <c r="J968" t="str">
        <f>IF($I968="","",INDEX('Product Master'!$B$7:$B$1000,MATCH($I968,'Product Master'!$A$7:$A$1000,0)))</f>
        <v/>
      </c>
      <c r="K968" t="str">
        <f>IF($I968="","",INDEX('Product Master'!$C$7:$C$1000,MATCH($I968,'Product Master'!$A$7:$A$1000,0)))</f>
        <v/>
      </c>
      <c r="L968" t="str">
        <f>IF($I968="","",INDEX('Product Master'!$M$7:$M$1000,MATCH($I968,'Product Master'!$A$7:$A$1000,0)))</f>
        <v/>
      </c>
      <c r="M968" t="str">
        <f>IF($I968="","",INDEX('Product Master'!$N$7:$N$1000,MATCH($I968,'Product Master'!$A$7:$A$1000,0)))</f>
        <v/>
      </c>
    </row>
    <row r="969" spans="1:13" x14ac:dyDescent="0.3">
      <c r="A969" t="str">
        <f>IFERROR(INDEX('Product Master'!$A$7:$A$1000,_xlfn.AGGREGATE(15,6,(ROW('Product Master'!$A$7:$A$1000)-ROW('Product Master'!$A$7)+1)/(('Product Master'!$A$7:$A$1000&lt;&gt;"")*('Product Master'!$P$7:$P$1000="Low Stock")),ROWS($A$12:A969))),"")</f>
        <v/>
      </c>
      <c r="B969" t="str">
        <f>IF($A969="","",INDEX('Product Master'!$B$7:$B$1000,MATCH($A969,'Product Master'!$A$7:$A$1000,0)))</f>
        <v/>
      </c>
      <c r="C969" t="str">
        <f>IF($A969="","",INDEX('Product Master'!$C$7:$C$1000,MATCH($A969,'Product Master'!$A$7:$A$1000,0)))</f>
        <v/>
      </c>
      <c r="D969" t="str">
        <f>IF($A969="","",INDEX('Product Master'!$M$7:$M$1000,MATCH($A969,'Product Master'!$A$7:$A$1000,0)))</f>
        <v/>
      </c>
      <c r="E969" t="str">
        <f>IF($A969="","",INDEX('Product Master'!$N$7:$N$1000,MATCH($A969,'Product Master'!$A$7:$A$1000,0)))</f>
        <v/>
      </c>
      <c r="F969" t="str">
        <f>IF($A969="","",INDEX('Product Master'!$P$7:$P$1000,MATCH($A969,'Product Master'!$A$7:$A$1000,0)))</f>
        <v/>
      </c>
      <c r="I969" t="str">
        <f>IFERROR(INDEX('Product Master'!$A$7:$A$1000,_xlfn.AGGREGATE(15,6,(ROW('Product Master'!$A$7:$A$1000)-ROW('Product Master'!$A$7)+1)/(('Product Master'!$A$7:$A$1000&lt;&gt;"")*('Product Master'!$P$7:$P$1000="Out of Stock")),ROWS($I$12:I969))),"")</f>
        <v/>
      </c>
      <c r="J969" t="str">
        <f>IF($I969="","",INDEX('Product Master'!$B$7:$B$1000,MATCH($I969,'Product Master'!$A$7:$A$1000,0)))</f>
        <v/>
      </c>
      <c r="K969" t="str">
        <f>IF($I969="","",INDEX('Product Master'!$C$7:$C$1000,MATCH($I969,'Product Master'!$A$7:$A$1000,0)))</f>
        <v/>
      </c>
      <c r="L969" t="str">
        <f>IF($I969="","",INDEX('Product Master'!$M$7:$M$1000,MATCH($I969,'Product Master'!$A$7:$A$1000,0)))</f>
        <v/>
      </c>
      <c r="M969" t="str">
        <f>IF($I969="","",INDEX('Product Master'!$N$7:$N$1000,MATCH($I969,'Product Master'!$A$7:$A$1000,0)))</f>
        <v/>
      </c>
    </row>
    <row r="970" spans="1:13" x14ac:dyDescent="0.3">
      <c r="A970" t="str">
        <f>IFERROR(INDEX('Product Master'!$A$7:$A$1000,_xlfn.AGGREGATE(15,6,(ROW('Product Master'!$A$7:$A$1000)-ROW('Product Master'!$A$7)+1)/(('Product Master'!$A$7:$A$1000&lt;&gt;"")*('Product Master'!$P$7:$P$1000="Low Stock")),ROWS($A$12:A970))),"")</f>
        <v/>
      </c>
      <c r="B970" t="str">
        <f>IF($A970="","",INDEX('Product Master'!$B$7:$B$1000,MATCH($A970,'Product Master'!$A$7:$A$1000,0)))</f>
        <v/>
      </c>
      <c r="C970" t="str">
        <f>IF($A970="","",INDEX('Product Master'!$C$7:$C$1000,MATCH($A970,'Product Master'!$A$7:$A$1000,0)))</f>
        <v/>
      </c>
      <c r="D970" t="str">
        <f>IF($A970="","",INDEX('Product Master'!$M$7:$M$1000,MATCH($A970,'Product Master'!$A$7:$A$1000,0)))</f>
        <v/>
      </c>
      <c r="E970" t="str">
        <f>IF($A970="","",INDEX('Product Master'!$N$7:$N$1000,MATCH($A970,'Product Master'!$A$7:$A$1000,0)))</f>
        <v/>
      </c>
      <c r="F970" t="str">
        <f>IF($A970="","",INDEX('Product Master'!$P$7:$P$1000,MATCH($A970,'Product Master'!$A$7:$A$1000,0)))</f>
        <v/>
      </c>
      <c r="I970" t="str">
        <f>IFERROR(INDEX('Product Master'!$A$7:$A$1000,_xlfn.AGGREGATE(15,6,(ROW('Product Master'!$A$7:$A$1000)-ROW('Product Master'!$A$7)+1)/(('Product Master'!$A$7:$A$1000&lt;&gt;"")*('Product Master'!$P$7:$P$1000="Out of Stock")),ROWS($I$12:I970))),"")</f>
        <v/>
      </c>
      <c r="J970" t="str">
        <f>IF($I970="","",INDEX('Product Master'!$B$7:$B$1000,MATCH($I970,'Product Master'!$A$7:$A$1000,0)))</f>
        <v/>
      </c>
      <c r="K970" t="str">
        <f>IF($I970="","",INDEX('Product Master'!$C$7:$C$1000,MATCH($I970,'Product Master'!$A$7:$A$1000,0)))</f>
        <v/>
      </c>
      <c r="L970" t="str">
        <f>IF($I970="","",INDEX('Product Master'!$M$7:$M$1000,MATCH($I970,'Product Master'!$A$7:$A$1000,0)))</f>
        <v/>
      </c>
      <c r="M970" t="str">
        <f>IF($I970="","",INDEX('Product Master'!$N$7:$N$1000,MATCH($I970,'Product Master'!$A$7:$A$1000,0)))</f>
        <v/>
      </c>
    </row>
    <row r="971" spans="1:13" x14ac:dyDescent="0.3">
      <c r="A971" t="str">
        <f>IFERROR(INDEX('Product Master'!$A$7:$A$1000,_xlfn.AGGREGATE(15,6,(ROW('Product Master'!$A$7:$A$1000)-ROW('Product Master'!$A$7)+1)/(('Product Master'!$A$7:$A$1000&lt;&gt;"")*('Product Master'!$P$7:$P$1000="Low Stock")),ROWS($A$12:A971))),"")</f>
        <v/>
      </c>
      <c r="B971" t="str">
        <f>IF($A971="","",INDEX('Product Master'!$B$7:$B$1000,MATCH($A971,'Product Master'!$A$7:$A$1000,0)))</f>
        <v/>
      </c>
      <c r="C971" t="str">
        <f>IF($A971="","",INDEX('Product Master'!$C$7:$C$1000,MATCH($A971,'Product Master'!$A$7:$A$1000,0)))</f>
        <v/>
      </c>
      <c r="D971" t="str">
        <f>IF($A971="","",INDEX('Product Master'!$M$7:$M$1000,MATCH($A971,'Product Master'!$A$7:$A$1000,0)))</f>
        <v/>
      </c>
      <c r="E971" t="str">
        <f>IF($A971="","",INDEX('Product Master'!$N$7:$N$1000,MATCH($A971,'Product Master'!$A$7:$A$1000,0)))</f>
        <v/>
      </c>
      <c r="F971" t="str">
        <f>IF($A971="","",INDEX('Product Master'!$P$7:$P$1000,MATCH($A971,'Product Master'!$A$7:$A$1000,0)))</f>
        <v/>
      </c>
      <c r="I971" t="str">
        <f>IFERROR(INDEX('Product Master'!$A$7:$A$1000,_xlfn.AGGREGATE(15,6,(ROW('Product Master'!$A$7:$A$1000)-ROW('Product Master'!$A$7)+1)/(('Product Master'!$A$7:$A$1000&lt;&gt;"")*('Product Master'!$P$7:$P$1000="Out of Stock")),ROWS($I$12:I971))),"")</f>
        <v/>
      </c>
      <c r="J971" t="str">
        <f>IF($I971="","",INDEX('Product Master'!$B$7:$B$1000,MATCH($I971,'Product Master'!$A$7:$A$1000,0)))</f>
        <v/>
      </c>
      <c r="K971" t="str">
        <f>IF($I971="","",INDEX('Product Master'!$C$7:$C$1000,MATCH($I971,'Product Master'!$A$7:$A$1000,0)))</f>
        <v/>
      </c>
      <c r="L971" t="str">
        <f>IF($I971="","",INDEX('Product Master'!$M$7:$M$1000,MATCH($I971,'Product Master'!$A$7:$A$1000,0)))</f>
        <v/>
      </c>
      <c r="M971" t="str">
        <f>IF($I971="","",INDEX('Product Master'!$N$7:$N$1000,MATCH($I971,'Product Master'!$A$7:$A$1000,0)))</f>
        <v/>
      </c>
    </row>
    <row r="972" spans="1:13" x14ac:dyDescent="0.3">
      <c r="A972" t="str">
        <f>IFERROR(INDEX('Product Master'!$A$7:$A$1000,_xlfn.AGGREGATE(15,6,(ROW('Product Master'!$A$7:$A$1000)-ROW('Product Master'!$A$7)+1)/(('Product Master'!$A$7:$A$1000&lt;&gt;"")*('Product Master'!$P$7:$P$1000="Low Stock")),ROWS($A$12:A972))),"")</f>
        <v/>
      </c>
      <c r="B972" t="str">
        <f>IF($A972="","",INDEX('Product Master'!$B$7:$B$1000,MATCH($A972,'Product Master'!$A$7:$A$1000,0)))</f>
        <v/>
      </c>
      <c r="C972" t="str">
        <f>IF($A972="","",INDEX('Product Master'!$C$7:$C$1000,MATCH($A972,'Product Master'!$A$7:$A$1000,0)))</f>
        <v/>
      </c>
      <c r="D972" t="str">
        <f>IF($A972="","",INDEX('Product Master'!$M$7:$M$1000,MATCH($A972,'Product Master'!$A$7:$A$1000,0)))</f>
        <v/>
      </c>
      <c r="E972" t="str">
        <f>IF($A972="","",INDEX('Product Master'!$N$7:$N$1000,MATCH($A972,'Product Master'!$A$7:$A$1000,0)))</f>
        <v/>
      </c>
      <c r="F972" t="str">
        <f>IF($A972="","",INDEX('Product Master'!$P$7:$P$1000,MATCH($A972,'Product Master'!$A$7:$A$1000,0)))</f>
        <v/>
      </c>
      <c r="I972" t="str">
        <f>IFERROR(INDEX('Product Master'!$A$7:$A$1000,_xlfn.AGGREGATE(15,6,(ROW('Product Master'!$A$7:$A$1000)-ROW('Product Master'!$A$7)+1)/(('Product Master'!$A$7:$A$1000&lt;&gt;"")*('Product Master'!$P$7:$P$1000="Out of Stock")),ROWS($I$12:I972))),"")</f>
        <v/>
      </c>
      <c r="J972" t="str">
        <f>IF($I972="","",INDEX('Product Master'!$B$7:$B$1000,MATCH($I972,'Product Master'!$A$7:$A$1000,0)))</f>
        <v/>
      </c>
      <c r="K972" t="str">
        <f>IF($I972="","",INDEX('Product Master'!$C$7:$C$1000,MATCH($I972,'Product Master'!$A$7:$A$1000,0)))</f>
        <v/>
      </c>
      <c r="L972" t="str">
        <f>IF($I972="","",INDEX('Product Master'!$M$7:$M$1000,MATCH($I972,'Product Master'!$A$7:$A$1000,0)))</f>
        <v/>
      </c>
      <c r="M972" t="str">
        <f>IF($I972="","",INDEX('Product Master'!$N$7:$N$1000,MATCH($I972,'Product Master'!$A$7:$A$1000,0)))</f>
        <v/>
      </c>
    </row>
    <row r="973" spans="1:13" x14ac:dyDescent="0.3">
      <c r="A973" t="str">
        <f>IFERROR(INDEX('Product Master'!$A$7:$A$1000,_xlfn.AGGREGATE(15,6,(ROW('Product Master'!$A$7:$A$1000)-ROW('Product Master'!$A$7)+1)/(('Product Master'!$A$7:$A$1000&lt;&gt;"")*('Product Master'!$P$7:$P$1000="Low Stock")),ROWS($A$12:A973))),"")</f>
        <v/>
      </c>
      <c r="B973" t="str">
        <f>IF($A973="","",INDEX('Product Master'!$B$7:$B$1000,MATCH($A973,'Product Master'!$A$7:$A$1000,0)))</f>
        <v/>
      </c>
      <c r="C973" t="str">
        <f>IF($A973="","",INDEX('Product Master'!$C$7:$C$1000,MATCH($A973,'Product Master'!$A$7:$A$1000,0)))</f>
        <v/>
      </c>
      <c r="D973" t="str">
        <f>IF($A973="","",INDEX('Product Master'!$M$7:$M$1000,MATCH($A973,'Product Master'!$A$7:$A$1000,0)))</f>
        <v/>
      </c>
      <c r="E973" t="str">
        <f>IF($A973="","",INDEX('Product Master'!$N$7:$N$1000,MATCH($A973,'Product Master'!$A$7:$A$1000,0)))</f>
        <v/>
      </c>
      <c r="F973" t="str">
        <f>IF($A973="","",INDEX('Product Master'!$P$7:$P$1000,MATCH($A973,'Product Master'!$A$7:$A$1000,0)))</f>
        <v/>
      </c>
      <c r="I973" t="str">
        <f>IFERROR(INDEX('Product Master'!$A$7:$A$1000,_xlfn.AGGREGATE(15,6,(ROW('Product Master'!$A$7:$A$1000)-ROW('Product Master'!$A$7)+1)/(('Product Master'!$A$7:$A$1000&lt;&gt;"")*('Product Master'!$P$7:$P$1000="Out of Stock")),ROWS($I$12:I973))),"")</f>
        <v/>
      </c>
      <c r="J973" t="str">
        <f>IF($I973="","",INDEX('Product Master'!$B$7:$B$1000,MATCH($I973,'Product Master'!$A$7:$A$1000,0)))</f>
        <v/>
      </c>
      <c r="K973" t="str">
        <f>IF($I973="","",INDEX('Product Master'!$C$7:$C$1000,MATCH($I973,'Product Master'!$A$7:$A$1000,0)))</f>
        <v/>
      </c>
      <c r="L973" t="str">
        <f>IF($I973="","",INDEX('Product Master'!$M$7:$M$1000,MATCH($I973,'Product Master'!$A$7:$A$1000,0)))</f>
        <v/>
      </c>
      <c r="M973" t="str">
        <f>IF($I973="","",INDEX('Product Master'!$N$7:$N$1000,MATCH($I973,'Product Master'!$A$7:$A$1000,0)))</f>
        <v/>
      </c>
    </row>
    <row r="974" spans="1:13" x14ac:dyDescent="0.3">
      <c r="A974" t="str">
        <f>IFERROR(INDEX('Product Master'!$A$7:$A$1000,_xlfn.AGGREGATE(15,6,(ROW('Product Master'!$A$7:$A$1000)-ROW('Product Master'!$A$7)+1)/(('Product Master'!$A$7:$A$1000&lt;&gt;"")*('Product Master'!$P$7:$P$1000="Low Stock")),ROWS($A$12:A974))),"")</f>
        <v/>
      </c>
      <c r="B974" t="str">
        <f>IF($A974="","",INDEX('Product Master'!$B$7:$B$1000,MATCH($A974,'Product Master'!$A$7:$A$1000,0)))</f>
        <v/>
      </c>
      <c r="C974" t="str">
        <f>IF($A974="","",INDEX('Product Master'!$C$7:$C$1000,MATCH($A974,'Product Master'!$A$7:$A$1000,0)))</f>
        <v/>
      </c>
      <c r="D974" t="str">
        <f>IF($A974="","",INDEX('Product Master'!$M$7:$M$1000,MATCH($A974,'Product Master'!$A$7:$A$1000,0)))</f>
        <v/>
      </c>
      <c r="E974" t="str">
        <f>IF($A974="","",INDEX('Product Master'!$N$7:$N$1000,MATCH($A974,'Product Master'!$A$7:$A$1000,0)))</f>
        <v/>
      </c>
      <c r="F974" t="str">
        <f>IF($A974="","",INDEX('Product Master'!$P$7:$P$1000,MATCH($A974,'Product Master'!$A$7:$A$1000,0)))</f>
        <v/>
      </c>
      <c r="I974" t="str">
        <f>IFERROR(INDEX('Product Master'!$A$7:$A$1000,_xlfn.AGGREGATE(15,6,(ROW('Product Master'!$A$7:$A$1000)-ROW('Product Master'!$A$7)+1)/(('Product Master'!$A$7:$A$1000&lt;&gt;"")*('Product Master'!$P$7:$P$1000="Out of Stock")),ROWS($I$12:I974))),"")</f>
        <v/>
      </c>
      <c r="J974" t="str">
        <f>IF($I974="","",INDEX('Product Master'!$B$7:$B$1000,MATCH($I974,'Product Master'!$A$7:$A$1000,0)))</f>
        <v/>
      </c>
      <c r="K974" t="str">
        <f>IF($I974="","",INDEX('Product Master'!$C$7:$C$1000,MATCH($I974,'Product Master'!$A$7:$A$1000,0)))</f>
        <v/>
      </c>
      <c r="L974" t="str">
        <f>IF($I974="","",INDEX('Product Master'!$M$7:$M$1000,MATCH($I974,'Product Master'!$A$7:$A$1000,0)))</f>
        <v/>
      </c>
      <c r="M974" t="str">
        <f>IF($I974="","",INDEX('Product Master'!$N$7:$N$1000,MATCH($I974,'Product Master'!$A$7:$A$1000,0)))</f>
        <v/>
      </c>
    </row>
    <row r="975" spans="1:13" x14ac:dyDescent="0.3">
      <c r="A975" t="str">
        <f>IFERROR(INDEX('Product Master'!$A$7:$A$1000,_xlfn.AGGREGATE(15,6,(ROW('Product Master'!$A$7:$A$1000)-ROW('Product Master'!$A$7)+1)/(('Product Master'!$A$7:$A$1000&lt;&gt;"")*('Product Master'!$P$7:$P$1000="Low Stock")),ROWS($A$12:A975))),"")</f>
        <v/>
      </c>
      <c r="B975" t="str">
        <f>IF($A975="","",INDEX('Product Master'!$B$7:$B$1000,MATCH($A975,'Product Master'!$A$7:$A$1000,0)))</f>
        <v/>
      </c>
      <c r="C975" t="str">
        <f>IF($A975="","",INDEX('Product Master'!$C$7:$C$1000,MATCH($A975,'Product Master'!$A$7:$A$1000,0)))</f>
        <v/>
      </c>
      <c r="D975" t="str">
        <f>IF($A975="","",INDEX('Product Master'!$M$7:$M$1000,MATCH($A975,'Product Master'!$A$7:$A$1000,0)))</f>
        <v/>
      </c>
      <c r="E975" t="str">
        <f>IF($A975="","",INDEX('Product Master'!$N$7:$N$1000,MATCH($A975,'Product Master'!$A$7:$A$1000,0)))</f>
        <v/>
      </c>
      <c r="F975" t="str">
        <f>IF($A975="","",INDEX('Product Master'!$P$7:$P$1000,MATCH($A975,'Product Master'!$A$7:$A$1000,0)))</f>
        <v/>
      </c>
      <c r="I975" t="str">
        <f>IFERROR(INDEX('Product Master'!$A$7:$A$1000,_xlfn.AGGREGATE(15,6,(ROW('Product Master'!$A$7:$A$1000)-ROW('Product Master'!$A$7)+1)/(('Product Master'!$A$7:$A$1000&lt;&gt;"")*('Product Master'!$P$7:$P$1000="Out of Stock")),ROWS($I$12:I975))),"")</f>
        <v/>
      </c>
      <c r="J975" t="str">
        <f>IF($I975="","",INDEX('Product Master'!$B$7:$B$1000,MATCH($I975,'Product Master'!$A$7:$A$1000,0)))</f>
        <v/>
      </c>
      <c r="K975" t="str">
        <f>IF($I975="","",INDEX('Product Master'!$C$7:$C$1000,MATCH($I975,'Product Master'!$A$7:$A$1000,0)))</f>
        <v/>
      </c>
      <c r="L975" t="str">
        <f>IF($I975="","",INDEX('Product Master'!$M$7:$M$1000,MATCH($I975,'Product Master'!$A$7:$A$1000,0)))</f>
        <v/>
      </c>
      <c r="M975" t="str">
        <f>IF($I975="","",INDEX('Product Master'!$N$7:$N$1000,MATCH($I975,'Product Master'!$A$7:$A$1000,0)))</f>
        <v/>
      </c>
    </row>
    <row r="976" spans="1:13" x14ac:dyDescent="0.3">
      <c r="A976" t="str">
        <f>IFERROR(INDEX('Product Master'!$A$7:$A$1000,_xlfn.AGGREGATE(15,6,(ROW('Product Master'!$A$7:$A$1000)-ROW('Product Master'!$A$7)+1)/(('Product Master'!$A$7:$A$1000&lt;&gt;"")*('Product Master'!$P$7:$P$1000="Low Stock")),ROWS($A$12:A976))),"")</f>
        <v/>
      </c>
      <c r="B976" t="str">
        <f>IF($A976="","",INDEX('Product Master'!$B$7:$B$1000,MATCH($A976,'Product Master'!$A$7:$A$1000,0)))</f>
        <v/>
      </c>
      <c r="C976" t="str">
        <f>IF($A976="","",INDEX('Product Master'!$C$7:$C$1000,MATCH($A976,'Product Master'!$A$7:$A$1000,0)))</f>
        <v/>
      </c>
      <c r="D976" t="str">
        <f>IF($A976="","",INDEX('Product Master'!$M$7:$M$1000,MATCH($A976,'Product Master'!$A$7:$A$1000,0)))</f>
        <v/>
      </c>
      <c r="E976" t="str">
        <f>IF($A976="","",INDEX('Product Master'!$N$7:$N$1000,MATCH($A976,'Product Master'!$A$7:$A$1000,0)))</f>
        <v/>
      </c>
      <c r="F976" t="str">
        <f>IF($A976="","",INDEX('Product Master'!$P$7:$P$1000,MATCH($A976,'Product Master'!$A$7:$A$1000,0)))</f>
        <v/>
      </c>
      <c r="I976" t="str">
        <f>IFERROR(INDEX('Product Master'!$A$7:$A$1000,_xlfn.AGGREGATE(15,6,(ROW('Product Master'!$A$7:$A$1000)-ROW('Product Master'!$A$7)+1)/(('Product Master'!$A$7:$A$1000&lt;&gt;"")*('Product Master'!$P$7:$P$1000="Out of Stock")),ROWS($I$12:I976))),"")</f>
        <v/>
      </c>
      <c r="J976" t="str">
        <f>IF($I976="","",INDEX('Product Master'!$B$7:$B$1000,MATCH($I976,'Product Master'!$A$7:$A$1000,0)))</f>
        <v/>
      </c>
      <c r="K976" t="str">
        <f>IF($I976="","",INDEX('Product Master'!$C$7:$C$1000,MATCH($I976,'Product Master'!$A$7:$A$1000,0)))</f>
        <v/>
      </c>
      <c r="L976" t="str">
        <f>IF($I976="","",INDEX('Product Master'!$M$7:$M$1000,MATCH($I976,'Product Master'!$A$7:$A$1000,0)))</f>
        <v/>
      </c>
      <c r="M976" t="str">
        <f>IF($I976="","",INDEX('Product Master'!$N$7:$N$1000,MATCH($I976,'Product Master'!$A$7:$A$1000,0)))</f>
        <v/>
      </c>
    </row>
    <row r="977" spans="1:13" x14ac:dyDescent="0.3">
      <c r="A977" t="str">
        <f>IFERROR(INDEX('Product Master'!$A$7:$A$1000,_xlfn.AGGREGATE(15,6,(ROW('Product Master'!$A$7:$A$1000)-ROW('Product Master'!$A$7)+1)/(('Product Master'!$A$7:$A$1000&lt;&gt;"")*('Product Master'!$P$7:$P$1000="Low Stock")),ROWS($A$12:A977))),"")</f>
        <v/>
      </c>
      <c r="B977" t="str">
        <f>IF($A977="","",INDEX('Product Master'!$B$7:$B$1000,MATCH($A977,'Product Master'!$A$7:$A$1000,0)))</f>
        <v/>
      </c>
      <c r="C977" t="str">
        <f>IF($A977="","",INDEX('Product Master'!$C$7:$C$1000,MATCH($A977,'Product Master'!$A$7:$A$1000,0)))</f>
        <v/>
      </c>
      <c r="D977" t="str">
        <f>IF($A977="","",INDEX('Product Master'!$M$7:$M$1000,MATCH($A977,'Product Master'!$A$7:$A$1000,0)))</f>
        <v/>
      </c>
      <c r="E977" t="str">
        <f>IF($A977="","",INDEX('Product Master'!$N$7:$N$1000,MATCH($A977,'Product Master'!$A$7:$A$1000,0)))</f>
        <v/>
      </c>
      <c r="F977" t="str">
        <f>IF($A977="","",INDEX('Product Master'!$P$7:$P$1000,MATCH($A977,'Product Master'!$A$7:$A$1000,0)))</f>
        <v/>
      </c>
      <c r="I977" t="str">
        <f>IFERROR(INDEX('Product Master'!$A$7:$A$1000,_xlfn.AGGREGATE(15,6,(ROW('Product Master'!$A$7:$A$1000)-ROW('Product Master'!$A$7)+1)/(('Product Master'!$A$7:$A$1000&lt;&gt;"")*('Product Master'!$P$7:$P$1000="Out of Stock")),ROWS($I$12:I977))),"")</f>
        <v/>
      </c>
      <c r="J977" t="str">
        <f>IF($I977="","",INDEX('Product Master'!$B$7:$B$1000,MATCH($I977,'Product Master'!$A$7:$A$1000,0)))</f>
        <v/>
      </c>
      <c r="K977" t="str">
        <f>IF($I977="","",INDEX('Product Master'!$C$7:$C$1000,MATCH($I977,'Product Master'!$A$7:$A$1000,0)))</f>
        <v/>
      </c>
      <c r="L977" t="str">
        <f>IF($I977="","",INDEX('Product Master'!$M$7:$M$1000,MATCH($I977,'Product Master'!$A$7:$A$1000,0)))</f>
        <v/>
      </c>
      <c r="M977" t="str">
        <f>IF($I977="","",INDEX('Product Master'!$N$7:$N$1000,MATCH($I977,'Product Master'!$A$7:$A$1000,0)))</f>
        <v/>
      </c>
    </row>
    <row r="978" spans="1:13" x14ac:dyDescent="0.3">
      <c r="A978" t="str">
        <f>IFERROR(INDEX('Product Master'!$A$7:$A$1000,_xlfn.AGGREGATE(15,6,(ROW('Product Master'!$A$7:$A$1000)-ROW('Product Master'!$A$7)+1)/(('Product Master'!$A$7:$A$1000&lt;&gt;"")*('Product Master'!$P$7:$P$1000="Low Stock")),ROWS($A$12:A978))),"")</f>
        <v/>
      </c>
      <c r="B978" t="str">
        <f>IF($A978="","",INDEX('Product Master'!$B$7:$B$1000,MATCH($A978,'Product Master'!$A$7:$A$1000,0)))</f>
        <v/>
      </c>
      <c r="C978" t="str">
        <f>IF($A978="","",INDEX('Product Master'!$C$7:$C$1000,MATCH($A978,'Product Master'!$A$7:$A$1000,0)))</f>
        <v/>
      </c>
      <c r="D978" t="str">
        <f>IF($A978="","",INDEX('Product Master'!$M$7:$M$1000,MATCH($A978,'Product Master'!$A$7:$A$1000,0)))</f>
        <v/>
      </c>
      <c r="E978" t="str">
        <f>IF($A978="","",INDEX('Product Master'!$N$7:$N$1000,MATCH($A978,'Product Master'!$A$7:$A$1000,0)))</f>
        <v/>
      </c>
      <c r="F978" t="str">
        <f>IF($A978="","",INDEX('Product Master'!$P$7:$P$1000,MATCH($A978,'Product Master'!$A$7:$A$1000,0)))</f>
        <v/>
      </c>
      <c r="I978" t="str">
        <f>IFERROR(INDEX('Product Master'!$A$7:$A$1000,_xlfn.AGGREGATE(15,6,(ROW('Product Master'!$A$7:$A$1000)-ROW('Product Master'!$A$7)+1)/(('Product Master'!$A$7:$A$1000&lt;&gt;"")*('Product Master'!$P$7:$P$1000="Out of Stock")),ROWS($I$12:I978))),"")</f>
        <v/>
      </c>
      <c r="J978" t="str">
        <f>IF($I978="","",INDEX('Product Master'!$B$7:$B$1000,MATCH($I978,'Product Master'!$A$7:$A$1000,0)))</f>
        <v/>
      </c>
      <c r="K978" t="str">
        <f>IF($I978="","",INDEX('Product Master'!$C$7:$C$1000,MATCH($I978,'Product Master'!$A$7:$A$1000,0)))</f>
        <v/>
      </c>
      <c r="L978" t="str">
        <f>IF($I978="","",INDEX('Product Master'!$M$7:$M$1000,MATCH($I978,'Product Master'!$A$7:$A$1000,0)))</f>
        <v/>
      </c>
      <c r="M978" t="str">
        <f>IF($I978="","",INDEX('Product Master'!$N$7:$N$1000,MATCH($I978,'Product Master'!$A$7:$A$1000,0)))</f>
        <v/>
      </c>
    </row>
    <row r="979" spans="1:13" x14ac:dyDescent="0.3">
      <c r="A979" t="str">
        <f>IFERROR(INDEX('Product Master'!$A$7:$A$1000,_xlfn.AGGREGATE(15,6,(ROW('Product Master'!$A$7:$A$1000)-ROW('Product Master'!$A$7)+1)/(('Product Master'!$A$7:$A$1000&lt;&gt;"")*('Product Master'!$P$7:$P$1000="Low Stock")),ROWS($A$12:A979))),"")</f>
        <v/>
      </c>
      <c r="B979" t="str">
        <f>IF($A979="","",INDEX('Product Master'!$B$7:$B$1000,MATCH($A979,'Product Master'!$A$7:$A$1000,0)))</f>
        <v/>
      </c>
      <c r="C979" t="str">
        <f>IF($A979="","",INDEX('Product Master'!$C$7:$C$1000,MATCH($A979,'Product Master'!$A$7:$A$1000,0)))</f>
        <v/>
      </c>
      <c r="D979" t="str">
        <f>IF($A979="","",INDEX('Product Master'!$M$7:$M$1000,MATCH($A979,'Product Master'!$A$7:$A$1000,0)))</f>
        <v/>
      </c>
      <c r="E979" t="str">
        <f>IF($A979="","",INDEX('Product Master'!$N$7:$N$1000,MATCH($A979,'Product Master'!$A$7:$A$1000,0)))</f>
        <v/>
      </c>
      <c r="F979" t="str">
        <f>IF($A979="","",INDEX('Product Master'!$P$7:$P$1000,MATCH($A979,'Product Master'!$A$7:$A$1000,0)))</f>
        <v/>
      </c>
      <c r="I979" t="str">
        <f>IFERROR(INDEX('Product Master'!$A$7:$A$1000,_xlfn.AGGREGATE(15,6,(ROW('Product Master'!$A$7:$A$1000)-ROW('Product Master'!$A$7)+1)/(('Product Master'!$A$7:$A$1000&lt;&gt;"")*('Product Master'!$P$7:$P$1000="Out of Stock")),ROWS($I$12:I979))),"")</f>
        <v/>
      </c>
      <c r="J979" t="str">
        <f>IF($I979="","",INDEX('Product Master'!$B$7:$B$1000,MATCH($I979,'Product Master'!$A$7:$A$1000,0)))</f>
        <v/>
      </c>
      <c r="K979" t="str">
        <f>IF($I979="","",INDEX('Product Master'!$C$7:$C$1000,MATCH($I979,'Product Master'!$A$7:$A$1000,0)))</f>
        <v/>
      </c>
      <c r="L979" t="str">
        <f>IF($I979="","",INDEX('Product Master'!$M$7:$M$1000,MATCH($I979,'Product Master'!$A$7:$A$1000,0)))</f>
        <v/>
      </c>
      <c r="M979" t="str">
        <f>IF($I979="","",INDEX('Product Master'!$N$7:$N$1000,MATCH($I979,'Product Master'!$A$7:$A$1000,0)))</f>
        <v/>
      </c>
    </row>
    <row r="980" spans="1:13" x14ac:dyDescent="0.3">
      <c r="A980" t="str">
        <f>IFERROR(INDEX('Product Master'!$A$7:$A$1000,_xlfn.AGGREGATE(15,6,(ROW('Product Master'!$A$7:$A$1000)-ROW('Product Master'!$A$7)+1)/(('Product Master'!$A$7:$A$1000&lt;&gt;"")*('Product Master'!$P$7:$P$1000="Low Stock")),ROWS($A$12:A980))),"")</f>
        <v/>
      </c>
      <c r="B980" t="str">
        <f>IF($A980="","",INDEX('Product Master'!$B$7:$B$1000,MATCH($A980,'Product Master'!$A$7:$A$1000,0)))</f>
        <v/>
      </c>
      <c r="C980" t="str">
        <f>IF($A980="","",INDEX('Product Master'!$C$7:$C$1000,MATCH($A980,'Product Master'!$A$7:$A$1000,0)))</f>
        <v/>
      </c>
      <c r="D980" t="str">
        <f>IF($A980="","",INDEX('Product Master'!$M$7:$M$1000,MATCH($A980,'Product Master'!$A$7:$A$1000,0)))</f>
        <v/>
      </c>
      <c r="E980" t="str">
        <f>IF($A980="","",INDEX('Product Master'!$N$7:$N$1000,MATCH($A980,'Product Master'!$A$7:$A$1000,0)))</f>
        <v/>
      </c>
      <c r="F980" t="str">
        <f>IF($A980="","",INDEX('Product Master'!$P$7:$P$1000,MATCH($A980,'Product Master'!$A$7:$A$1000,0)))</f>
        <v/>
      </c>
      <c r="I980" t="str">
        <f>IFERROR(INDEX('Product Master'!$A$7:$A$1000,_xlfn.AGGREGATE(15,6,(ROW('Product Master'!$A$7:$A$1000)-ROW('Product Master'!$A$7)+1)/(('Product Master'!$A$7:$A$1000&lt;&gt;"")*('Product Master'!$P$7:$P$1000="Out of Stock")),ROWS($I$12:I980))),"")</f>
        <v/>
      </c>
      <c r="J980" t="str">
        <f>IF($I980="","",INDEX('Product Master'!$B$7:$B$1000,MATCH($I980,'Product Master'!$A$7:$A$1000,0)))</f>
        <v/>
      </c>
      <c r="K980" t="str">
        <f>IF($I980="","",INDEX('Product Master'!$C$7:$C$1000,MATCH($I980,'Product Master'!$A$7:$A$1000,0)))</f>
        <v/>
      </c>
      <c r="L980" t="str">
        <f>IF($I980="","",INDEX('Product Master'!$M$7:$M$1000,MATCH($I980,'Product Master'!$A$7:$A$1000,0)))</f>
        <v/>
      </c>
      <c r="M980" t="str">
        <f>IF($I980="","",INDEX('Product Master'!$N$7:$N$1000,MATCH($I980,'Product Master'!$A$7:$A$1000,0)))</f>
        <v/>
      </c>
    </row>
    <row r="981" spans="1:13" x14ac:dyDescent="0.3">
      <c r="A981" t="str">
        <f>IFERROR(INDEX('Product Master'!$A$7:$A$1000,_xlfn.AGGREGATE(15,6,(ROW('Product Master'!$A$7:$A$1000)-ROW('Product Master'!$A$7)+1)/(('Product Master'!$A$7:$A$1000&lt;&gt;"")*('Product Master'!$P$7:$P$1000="Low Stock")),ROWS($A$12:A981))),"")</f>
        <v/>
      </c>
      <c r="B981" t="str">
        <f>IF($A981="","",INDEX('Product Master'!$B$7:$B$1000,MATCH($A981,'Product Master'!$A$7:$A$1000,0)))</f>
        <v/>
      </c>
      <c r="C981" t="str">
        <f>IF($A981="","",INDEX('Product Master'!$C$7:$C$1000,MATCH($A981,'Product Master'!$A$7:$A$1000,0)))</f>
        <v/>
      </c>
      <c r="D981" t="str">
        <f>IF($A981="","",INDEX('Product Master'!$M$7:$M$1000,MATCH($A981,'Product Master'!$A$7:$A$1000,0)))</f>
        <v/>
      </c>
      <c r="E981" t="str">
        <f>IF($A981="","",INDEX('Product Master'!$N$7:$N$1000,MATCH($A981,'Product Master'!$A$7:$A$1000,0)))</f>
        <v/>
      </c>
      <c r="F981" t="str">
        <f>IF($A981="","",INDEX('Product Master'!$P$7:$P$1000,MATCH($A981,'Product Master'!$A$7:$A$1000,0)))</f>
        <v/>
      </c>
      <c r="I981" t="str">
        <f>IFERROR(INDEX('Product Master'!$A$7:$A$1000,_xlfn.AGGREGATE(15,6,(ROW('Product Master'!$A$7:$A$1000)-ROW('Product Master'!$A$7)+1)/(('Product Master'!$A$7:$A$1000&lt;&gt;"")*('Product Master'!$P$7:$P$1000="Out of Stock")),ROWS($I$12:I981))),"")</f>
        <v/>
      </c>
      <c r="J981" t="str">
        <f>IF($I981="","",INDEX('Product Master'!$B$7:$B$1000,MATCH($I981,'Product Master'!$A$7:$A$1000,0)))</f>
        <v/>
      </c>
      <c r="K981" t="str">
        <f>IF($I981="","",INDEX('Product Master'!$C$7:$C$1000,MATCH($I981,'Product Master'!$A$7:$A$1000,0)))</f>
        <v/>
      </c>
      <c r="L981" t="str">
        <f>IF($I981="","",INDEX('Product Master'!$M$7:$M$1000,MATCH($I981,'Product Master'!$A$7:$A$1000,0)))</f>
        <v/>
      </c>
      <c r="M981" t="str">
        <f>IF($I981="","",INDEX('Product Master'!$N$7:$N$1000,MATCH($I981,'Product Master'!$A$7:$A$1000,0)))</f>
        <v/>
      </c>
    </row>
    <row r="982" spans="1:13" x14ac:dyDescent="0.3">
      <c r="A982" t="str">
        <f>IFERROR(INDEX('Product Master'!$A$7:$A$1000,_xlfn.AGGREGATE(15,6,(ROW('Product Master'!$A$7:$A$1000)-ROW('Product Master'!$A$7)+1)/(('Product Master'!$A$7:$A$1000&lt;&gt;"")*('Product Master'!$P$7:$P$1000="Low Stock")),ROWS($A$12:A982))),"")</f>
        <v/>
      </c>
      <c r="B982" t="str">
        <f>IF($A982="","",INDEX('Product Master'!$B$7:$B$1000,MATCH($A982,'Product Master'!$A$7:$A$1000,0)))</f>
        <v/>
      </c>
      <c r="C982" t="str">
        <f>IF($A982="","",INDEX('Product Master'!$C$7:$C$1000,MATCH($A982,'Product Master'!$A$7:$A$1000,0)))</f>
        <v/>
      </c>
      <c r="D982" t="str">
        <f>IF($A982="","",INDEX('Product Master'!$M$7:$M$1000,MATCH($A982,'Product Master'!$A$7:$A$1000,0)))</f>
        <v/>
      </c>
      <c r="E982" t="str">
        <f>IF($A982="","",INDEX('Product Master'!$N$7:$N$1000,MATCH($A982,'Product Master'!$A$7:$A$1000,0)))</f>
        <v/>
      </c>
      <c r="F982" t="str">
        <f>IF($A982="","",INDEX('Product Master'!$P$7:$P$1000,MATCH($A982,'Product Master'!$A$7:$A$1000,0)))</f>
        <v/>
      </c>
      <c r="I982" t="str">
        <f>IFERROR(INDEX('Product Master'!$A$7:$A$1000,_xlfn.AGGREGATE(15,6,(ROW('Product Master'!$A$7:$A$1000)-ROW('Product Master'!$A$7)+1)/(('Product Master'!$A$7:$A$1000&lt;&gt;"")*('Product Master'!$P$7:$P$1000="Out of Stock")),ROWS($I$12:I982))),"")</f>
        <v/>
      </c>
      <c r="J982" t="str">
        <f>IF($I982="","",INDEX('Product Master'!$B$7:$B$1000,MATCH($I982,'Product Master'!$A$7:$A$1000,0)))</f>
        <v/>
      </c>
      <c r="K982" t="str">
        <f>IF($I982="","",INDEX('Product Master'!$C$7:$C$1000,MATCH($I982,'Product Master'!$A$7:$A$1000,0)))</f>
        <v/>
      </c>
      <c r="L982" t="str">
        <f>IF($I982="","",INDEX('Product Master'!$M$7:$M$1000,MATCH($I982,'Product Master'!$A$7:$A$1000,0)))</f>
        <v/>
      </c>
      <c r="M982" t="str">
        <f>IF($I982="","",INDEX('Product Master'!$N$7:$N$1000,MATCH($I982,'Product Master'!$A$7:$A$1000,0)))</f>
        <v/>
      </c>
    </row>
    <row r="983" spans="1:13" x14ac:dyDescent="0.3">
      <c r="A983" t="str">
        <f>IFERROR(INDEX('Product Master'!$A$7:$A$1000,_xlfn.AGGREGATE(15,6,(ROW('Product Master'!$A$7:$A$1000)-ROW('Product Master'!$A$7)+1)/(('Product Master'!$A$7:$A$1000&lt;&gt;"")*('Product Master'!$P$7:$P$1000="Low Stock")),ROWS($A$12:A983))),"")</f>
        <v/>
      </c>
      <c r="B983" t="str">
        <f>IF($A983="","",INDEX('Product Master'!$B$7:$B$1000,MATCH($A983,'Product Master'!$A$7:$A$1000,0)))</f>
        <v/>
      </c>
      <c r="C983" t="str">
        <f>IF($A983="","",INDEX('Product Master'!$C$7:$C$1000,MATCH($A983,'Product Master'!$A$7:$A$1000,0)))</f>
        <v/>
      </c>
      <c r="D983" t="str">
        <f>IF($A983="","",INDEX('Product Master'!$M$7:$M$1000,MATCH($A983,'Product Master'!$A$7:$A$1000,0)))</f>
        <v/>
      </c>
      <c r="E983" t="str">
        <f>IF($A983="","",INDEX('Product Master'!$N$7:$N$1000,MATCH($A983,'Product Master'!$A$7:$A$1000,0)))</f>
        <v/>
      </c>
      <c r="F983" t="str">
        <f>IF($A983="","",INDEX('Product Master'!$P$7:$P$1000,MATCH($A983,'Product Master'!$A$7:$A$1000,0)))</f>
        <v/>
      </c>
      <c r="I983" t="str">
        <f>IFERROR(INDEX('Product Master'!$A$7:$A$1000,_xlfn.AGGREGATE(15,6,(ROW('Product Master'!$A$7:$A$1000)-ROW('Product Master'!$A$7)+1)/(('Product Master'!$A$7:$A$1000&lt;&gt;"")*('Product Master'!$P$7:$P$1000="Out of Stock")),ROWS($I$12:I983))),"")</f>
        <v/>
      </c>
      <c r="J983" t="str">
        <f>IF($I983="","",INDEX('Product Master'!$B$7:$B$1000,MATCH($I983,'Product Master'!$A$7:$A$1000,0)))</f>
        <v/>
      </c>
      <c r="K983" t="str">
        <f>IF($I983="","",INDEX('Product Master'!$C$7:$C$1000,MATCH($I983,'Product Master'!$A$7:$A$1000,0)))</f>
        <v/>
      </c>
      <c r="L983" t="str">
        <f>IF($I983="","",INDEX('Product Master'!$M$7:$M$1000,MATCH($I983,'Product Master'!$A$7:$A$1000,0)))</f>
        <v/>
      </c>
      <c r="M983" t="str">
        <f>IF($I983="","",INDEX('Product Master'!$N$7:$N$1000,MATCH($I983,'Product Master'!$A$7:$A$1000,0)))</f>
        <v/>
      </c>
    </row>
    <row r="984" spans="1:13" x14ac:dyDescent="0.3">
      <c r="A984" t="str">
        <f>IFERROR(INDEX('Product Master'!$A$7:$A$1000,_xlfn.AGGREGATE(15,6,(ROW('Product Master'!$A$7:$A$1000)-ROW('Product Master'!$A$7)+1)/(('Product Master'!$A$7:$A$1000&lt;&gt;"")*('Product Master'!$P$7:$P$1000="Low Stock")),ROWS($A$12:A984))),"")</f>
        <v/>
      </c>
      <c r="B984" t="str">
        <f>IF($A984="","",INDEX('Product Master'!$B$7:$B$1000,MATCH($A984,'Product Master'!$A$7:$A$1000,0)))</f>
        <v/>
      </c>
      <c r="C984" t="str">
        <f>IF($A984="","",INDEX('Product Master'!$C$7:$C$1000,MATCH($A984,'Product Master'!$A$7:$A$1000,0)))</f>
        <v/>
      </c>
      <c r="D984" t="str">
        <f>IF($A984="","",INDEX('Product Master'!$M$7:$M$1000,MATCH($A984,'Product Master'!$A$7:$A$1000,0)))</f>
        <v/>
      </c>
      <c r="E984" t="str">
        <f>IF($A984="","",INDEX('Product Master'!$N$7:$N$1000,MATCH($A984,'Product Master'!$A$7:$A$1000,0)))</f>
        <v/>
      </c>
      <c r="F984" t="str">
        <f>IF($A984="","",INDEX('Product Master'!$P$7:$P$1000,MATCH($A984,'Product Master'!$A$7:$A$1000,0)))</f>
        <v/>
      </c>
      <c r="I984" t="str">
        <f>IFERROR(INDEX('Product Master'!$A$7:$A$1000,_xlfn.AGGREGATE(15,6,(ROW('Product Master'!$A$7:$A$1000)-ROW('Product Master'!$A$7)+1)/(('Product Master'!$A$7:$A$1000&lt;&gt;"")*('Product Master'!$P$7:$P$1000="Out of Stock")),ROWS($I$12:I984))),"")</f>
        <v/>
      </c>
      <c r="J984" t="str">
        <f>IF($I984="","",INDEX('Product Master'!$B$7:$B$1000,MATCH($I984,'Product Master'!$A$7:$A$1000,0)))</f>
        <v/>
      </c>
      <c r="K984" t="str">
        <f>IF($I984="","",INDEX('Product Master'!$C$7:$C$1000,MATCH($I984,'Product Master'!$A$7:$A$1000,0)))</f>
        <v/>
      </c>
      <c r="L984" t="str">
        <f>IF($I984="","",INDEX('Product Master'!$M$7:$M$1000,MATCH($I984,'Product Master'!$A$7:$A$1000,0)))</f>
        <v/>
      </c>
      <c r="M984" t="str">
        <f>IF($I984="","",INDEX('Product Master'!$N$7:$N$1000,MATCH($I984,'Product Master'!$A$7:$A$1000,0)))</f>
        <v/>
      </c>
    </row>
    <row r="985" spans="1:13" x14ac:dyDescent="0.3">
      <c r="A985" t="str">
        <f>IFERROR(INDEX('Product Master'!$A$7:$A$1000,_xlfn.AGGREGATE(15,6,(ROW('Product Master'!$A$7:$A$1000)-ROW('Product Master'!$A$7)+1)/(('Product Master'!$A$7:$A$1000&lt;&gt;"")*('Product Master'!$P$7:$P$1000="Low Stock")),ROWS($A$12:A985))),"")</f>
        <v/>
      </c>
      <c r="B985" t="str">
        <f>IF($A985="","",INDEX('Product Master'!$B$7:$B$1000,MATCH($A985,'Product Master'!$A$7:$A$1000,0)))</f>
        <v/>
      </c>
      <c r="C985" t="str">
        <f>IF($A985="","",INDEX('Product Master'!$C$7:$C$1000,MATCH($A985,'Product Master'!$A$7:$A$1000,0)))</f>
        <v/>
      </c>
      <c r="D985" t="str">
        <f>IF($A985="","",INDEX('Product Master'!$M$7:$M$1000,MATCH($A985,'Product Master'!$A$7:$A$1000,0)))</f>
        <v/>
      </c>
      <c r="E985" t="str">
        <f>IF($A985="","",INDEX('Product Master'!$N$7:$N$1000,MATCH($A985,'Product Master'!$A$7:$A$1000,0)))</f>
        <v/>
      </c>
      <c r="F985" t="str">
        <f>IF($A985="","",INDEX('Product Master'!$P$7:$P$1000,MATCH($A985,'Product Master'!$A$7:$A$1000,0)))</f>
        <v/>
      </c>
      <c r="I985" t="str">
        <f>IFERROR(INDEX('Product Master'!$A$7:$A$1000,_xlfn.AGGREGATE(15,6,(ROW('Product Master'!$A$7:$A$1000)-ROW('Product Master'!$A$7)+1)/(('Product Master'!$A$7:$A$1000&lt;&gt;"")*('Product Master'!$P$7:$P$1000="Out of Stock")),ROWS($I$12:I985))),"")</f>
        <v/>
      </c>
      <c r="J985" t="str">
        <f>IF($I985="","",INDEX('Product Master'!$B$7:$B$1000,MATCH($I985,'Product Master'!$A$7:$A$1000,0)))</f>
        <v/>
      </c>
      <c r="K985" t="str">
        <f>IF($I985="","",INDEX('Product Master'!$C$7:$C$1000,MATCH($I985,'Product Master'!$A$7:$A$1000,0)))</f>
        <v/>
      </c>
      <c r="L985" t="str">
        <f>IF($I985="","",INDEX('Product Master'!$M$7:$M$1000,MATCH($I985,'Product Master'!$A$7:$A$1000,0)))</f>
        <v/>
      </c>
      <c r="M985" t="str">
        <f>IF($I985="","",INDEX('Product Master'!$N$7:$N$1000,MATCH($I985,'Product Master'!$A$7:$A$1000,0)))</f>
        <v/>
      </c>
    </row>
    <row r="986" spans="1:13" x14ac:dyDescent="0.3">
      <c r="A986" t="str">
        <f>IFERROR(INDEX('Product Master'!$A$7:$A$1000,_xlfn.AGGREGATE(15,6,(ROW('Product Master'!$A$7:$A$1000)-ROW('Product Master'!$A$7)+1)/(('Product Master'!$A$7:$A$1000&lt;&gt;"")*('Product Master'!$P$7:$P$1000="Low Stock")),ROWS($A$12:A986))),"")</f>
        <v/>
      </c>
      <c r="B986" t="str">
        <f>IF($A986="","",INDEX('Product Master'!$B$7:$B$1000,MATCH($A986,'Product Master'!$A$7:$A$1000,0)))</f>
        <v/>
      </c>
      <c r="C986" t="str">
        <f>IF($A986="","",INDEX('Product Master'!$C$7:$C$1000,MATCH($A986,'Product Master'!$A$7:$A$1000,0)))</f>
        <v/>
      </c>
      <c r="D986" t="str">
        <f>IF($A986="","",INDEX('Product Master'!$M$7:$M$1000,MATCH($A986,'Product Master'!$A$7:$A$1000,0)))</f>
        <v/>
      </c>
      <c r="E986" t="str">
        <f>IF($A986="","",INDEX('Product Master'!$N$7:$N$1000,MATCH($A986,'Product Master'!$A$7:$A$1000,0)))</f>
        <v/>
      </c>
      <c r="F986" t="str">
        <f>IF($A986="","",INDEX('Product Master'!$P$7:$P$1000,MATCH($A986,'Product Master'!$A$7:$A$1000,0)))</f>
        <v/>
      </c>
      <c r="I986" t="str">
        <f>IFERROR(INDEX('Product Master'!$A$7:$A$1000,_xlfn.AGGREGATE(15,6,(ROW('Product Master'!$A$7:$A$1000)-ROW('Product Master'!$A$7)+1)/(('Product Master'!$A$7:$A$1000&lt;&gt;"")*('Product Master'!$P$7:$P$1000="Out of Stock")),ROWS($I$12:I986))),"")</f>
        <v/>
      </c>
      <c r="J986" t="str">
        <f>IF($I986="","",INDEX('Product Master'!$B$7:$B$1000,MATCH($I986,'Product Master'!$A$7:$A$1000,0)))</f>
        <v/>
      </c>
      <c r="K986" t="str">
        <f>IF($I986="","",INDEX('Product Master'!$C$7:$C$1000,MATCH($I986,'Product Master'!$A$7:$A$1000,0)))</f>
        <v/>
      </c>
      <c r="L986" t="str">
        <f>IF($I986="","",INDEX('Product Master'!$M$7:$M$1000,MATCH($I986,'Product Master'!$A$7:$A$1000,0)))</f>
        <v/>
      </c>
      <c r="M986" t="str">
        <f>IF($I986="","",INDEX('Product Master'!$N$7:$N$1000,MATCH($I986,'Product Master'!$A$7:$A$1000,0)))</f>
        <v/>
      </c>
    </row>
    <row r="987" spans="1:13" x14ac:dyDescent="0.3">
      <c r="A987" t="str">
        <f>IFERROR(INDEX('Product Master'!$A$7:$A$1000,_xlfn.AGGREGATE(15,6,(ROW('Product Master'!$A$7:$A$1000)-ROW('Product Master'!$A$7)+1)/(('Product Master'!$A$7:$A$1000&lt;&gt;"")*('Product Master'!$P$7:$P$1000="Low Stock")),ROWS($A$12:A987))),"")</f>
        <v/>
      </c>
      <c r="B987" t="str">
        <f>IF($A987="","",INDEX('Product Master'!$B$7:$B$1000,MATCH($A987,'Product Master'!$A$7:$A$1000,0)))</f>
        <v/>
      </c>
      <c r="C987" t="str">
        <f>IF($A987="","",INDEX('Product Master'!$C$7:$C$1000,MATCH($A987,'Product Master'!$A$7:$A$1000,0)))</f>
        <v/>
      </c>
      <c r="D987" t="str">
        <f>IF($A987="","",INDEX('Product Master'!$M$7:$M$1000,MATCH($A987,'Product Master'!$A$7:$A$1000,0)))</f>
        <v/>
      </c>
      <c r="E987" t="str">
        <f>IF($A987="","",INDEX('Product Master'!$N$7:$N$1000,MATCH($A987,'Product Master'!$A$7:$A$1000,0)))</f>
        <v/>
      </c>
      <c r="F987" t="str">
        <f>IF($A987="","",INDEX('Product Master'!$P$7:$P$1000,MATCH($A987,'Product Master'!$A$7:$A$1000,0)))</f>
        <v/>
      </c>
      <c r="I987" t="str">
        <f>IFERROR(INDEX('Product Master'!$A$7:$A$1000,_xlfn.AGGREGATE(15,6,(ROW('Product Master'!$A$7:$A$1000)-ROW('Product Master'!$A$7)+1)/(('Product Master'!$A$7:$A$1000&lt;&gt;"")*('Product Master'!$P$7:$P$1000="Out of Stock")),ROWS($I$12:I987))),"")</f>
        <v/>
      </c>
      <c r="J987" t="str">
        <f>IF($I987="","",INDEX('Product Master'!$B$7:$B$1000,MATCH($I987,'Product Master'!$A$7:$A$1000,0)))</f>
        <v/>
      </c>
      <c r="K987" t="str">
        <f>IF($I987="","",INDEX('Product Master'!$C$7:$C$1000,MATCH($I987,'Product Master'!$A$7:$A$1000,0)))</f>
        <v/>
      </c>
      <c r="L987" t="str">
        <f>IF($I987="","",INDEX('Product Master'!$M$7:$M$1000,MATCH($I987,'Product Master'!$A$7:$A$1000,0)))</f>
        <v/>
      </c>
      <c r="M987" t="str">
        <f>IF($I987="","",INDEX('Product Master'!$N$7:$N$1000,MATCH($I987,'Product Master'!$A$7:$A$1000,0)))</f>
        <v/>
      </c>
    </row>
    <row r="988" spans="1:13" x14ac:dyDescent="0.3">
      <c r="A988" t="str">
        <f>IFERROR(INDEX('Product Master'!$A$7:$A$1000,_xlfn.AGGREGATE(15,6,(ROW('Product Master'!$A$7:$A$1000)-ROW('Product Master'!$A$7)+1)/(('Product Master'!$A$7:$A$1000&lt;&gt;"")*('Product Master'!$P$7:$P$1000="Low Stock")),ROWS($A$12:A988))),"")</f>
        <v/>
      </c>
      <c r="B988" t="str">
        <f>IF($A988="","",INDEX('Product Master'!$B$7:$B$1000,MATCH($A988,'Product Master'!$A$7:$A$1000,0)))</f>
        <v/>
      </c>
      <c r="C988" t="str">
        <f>IF($A988="","",INDEX('Product Master'!$C$7:$C$1000,MATCH($A988,'Product Master'!$A$7:$A$1000,0)))</f>
        <v/>
      </c>
      <c r="D988" t="str">
        <f>IF($A988="","",INDEX('Product Master'!$M$7:$M$1000,MATCH($A988,'Product Master'!$A$7:$A$1000,0)))</f>
        <v/>
      </c>
      <c r="E988" t="str">
        <f>IF($A988="","",INDEX('Product Master'!$N$7:$N$1000,MATCH($A988,'Product Master'!$A$7:$A$1000,0)))</f>
        <v/>
      </c>
      <c r="F988" t="str">
        <f>IF($A988="","",INDEX('Product Master'!$P$7:$P$1000,MATCH($A988,'Product Master'!$A$7:$A$1000,0)))</f>
        <v/>
      </c>
      <c r="I988" t="str">
        <f>IFERROR(INDEX('Product Master'!$A$7:$A$1000,_xlfn.AGGREGATE(15,6,(ROW('Product Master'!$A$7:$A$1000)-ROW('Product Master'!$A$7)+1)/(('Product Master'!$A$7:$A$1000&lt;&gt;"")*('Product Master'!$P$7:$P$1000="Out of Stock")),ROWS($I$12:I988))),"")</f>
        <v/>
      </c>
      <c r="J988" t="str">
        <f>IF($I988="","",INDEX('Product Master'!$B$7:$B$1000,MATCH($I988,'Product Master'!$A$7:$A$1000,0)))</f>
        <v/>
      </c>
      <c r="K988" t="str">
        <f>IF($I988="","",INDEX('Product Master'!$C$7:$C$1000,MATCH($I988,'Product Master'!$A$7:$A$1000,0)))</f>
        <v/>
      </c>
      <c r="L988" t="str">
        <f>IF($I988="","",INDEX('Product Master'!$M$7:$M$1000,MATCH($I988,'Product Master'!$A$7:$A$1000,0)))</f>
        <v/>
      </c>
      <c r="M988" t="str">
        <f>IF($I988="","",INDEX('Product Master'!$N$7:$N$1000,MATCH($I988,'Product Master'!$A$7:$A$1000,0)))</f>
        <v/>
      </c>
    </row>
    <row r="989" spans="1:13" x14ac:dyDescent="0.3">
      <c r="A989" t="str">
        <f>IFERROR(INDEX('Product Master'!$A$7:$A$1000,_xlfn.AGGREGATE(15,6,(ROW('Product Master'!$A$7:$A$1000)-ROW('Product Master'!$A$7)+1)/(('Product Master'!$A$7:$A$1000&lt;&gt;"")*('Product Master'!$P$7:$P$1000="Low Stock")),ROWS($A$12:A989))),"")</f>
        <v/>
      </c>
      <c r="B989" t="str">
        <f>IF($A989="","",INDEX('Product Master'!$B$7:$B$1000,MATCH($A989,'Product Master'!$A$7:$A$1000,0)))</f>
        <v/>
      </c>
      <c r="C989" t="str">
        <f>IF($A989="","",INDEX('Product Master'!$C$7:$C$1000,MATCH($A989,'Product Master'!$A$7:$A$1000,0)))</f>
        <v/>
      </c>
      <c r="D989" t="str">
        <f>IF($A989="","",INDEX('Product Master'!$M$7:$M$1000,MATCH($A989,'Product Master'!$A$7:$A$1000,0)))</f>
        <v/>
      </c>
      <c r="E989" t="str">
        <f>IF($A989="","",INDEX('Product Master'!$N$7:$N$1000,MATCH($A989,'Product Master'!$A$7:$A$1000,0)))</f>
        <v/>
      </c>
      <c r="F989" t="str">
        <f>IF($A989="","",INDEX('Product Master'!$P$7:$P$1000,MATCH($A989,'Product Master'!$A$7:$A$1000,0)))</f>
        <v/>
      </c>
      <c r="I989" t="str">
        <f>IFERROR(INDEX('Product Master'!$A$7:$A$1000,_xlfn.AGGREGATE(15,6,(ROW('Product Master'!$A$7:$A$1000)-ROW('Product Master'!$A$7)+1)/(('Product Master'!$A$7:$A$1000&lt;&gt;"")*('Product Master'!$P$7:$P$1000="Out of Stock")),ROWS($I$12:I989))),"")</f>
        <v/>
      </c>
      <c r="J989" t="str">
        <f>IF($I989="","",INDEX('Product Master'!$B$7:$B$1000,MATCH($I989,'Product Master'!$A$7:$A$1000,0)))</f>
        <v/>
      </c>
      <c r="K989" t="str">
        <f>IF($I989="","",INDEX('Product Master'!$C$7:$C$1000,MATCH($I989,'Product Master'!$A$7:$A$1000,0)))</f>
        <v/>
      </c>
      <c r="L989" t="str">
        <f>IF($I989="","",INDEX('Product Master'!$M$7:$M$1000,MATCH($I989,'Product Master'!$A$7:$A$1000,0)))</f>
        <v/>
      </c>
      <c r="M989" t="str">
        <f>IF($I989="","",INDEX('Product Master'!$N$7:$N$1000,MATCH($I989,'Product Master'!$A$7:$A$1000,0)))</f>
        <v/>
      </c>
    </row>
    <row r="990" spans="1:13" x14ac:dyDescent="0.3">
      <c r="A990" t="str">
        <f>IFERROR(INDEX('Product Master'!$A$7:$A$1000,_xlfn.AGGREGATE(15,6,(ROW('Product Master'!$A$7:$A$1000)-ROW('Product Master'!$A$7)+1)/(('Product Master'!$A$7:$A$1000&lt;&gt;"")*('Product Master'!$P$7:$P$1000="Low Stock")),ROWS($A$12:A990))),"")</f>
        <v/>
      </c>
      <c r="B990" t="str">
        <f>IF($A990="","",INDEX('Product Master'!$B$7:$B$1000,MATCH($A990,'Product Master'!$A$7:$A$1000,0)))</f>
        <v/>
      </c>
      <c r="C990" t="str">
        <f>IF($A990="","",INDEX('Product Master'!$C$7:$C$1000,MATCH($A990,'Product Master'!$A$7:$A$1000,0)))</f>
        <v/>
      </c>
      <c r="D990" t="str">
        <f>IF($A990="","",INDEX('Product Master'!$M$7:$M$1000,MATCH($A990,'Product Master'!$A$7:$A$1000,0)))</f>
        <v/>
      </c>
      <c r="E990" t="str">
        <f>IF($A990="","",INDEX('Product Master'!$N$7:$N$1000,MATCH($A990,'Product Master'!$A$7:$A$1000,0)))</f>
        <v/>
      </c>
      <c r="F990" t="str">
        <f>IF($A990="","",INDEX('Product Master'!$P$7:$P$1000,MATCH($A990,'Product Master'!$A$7:$A$1000,0)))</f>
        <v/>
      </c>
      <c r="I990" t="str">
        <f>IFERROR(INDEX('Product Master'!$A$7:$A$1000,_xlfn.AGGREGATE(15,6,(ROW('Product Master'!$A$7:$A$1000)-ROW('Product Master'!$A$7)+1)/(('Product Master'!$A$7:$A$1000&lt;&gt;"")*('Product Master'!$P$7:$P$1000="Out of Stock")),ROWS($I$12:I990))),"")</f>
        <v/>
      </c>
      <c r="J990" t="str">
        <f>IF($I990="","",INDEX('Product Master'!$B$7:$B$1000,MATCH($I990,'Product Master'!$A$7:$A$1000,0)))</f>
        <v/>
      </c>
      <c r="K990" t="str">
        <f>IF($I990="","",INDEX('Product Master'!$C$7:$C$1000,MATCH($I990,'Product Master'!$A$7:$A$1000,0)))</f>
        <v/>
      </c>
      <c r="L990" t="str">
        <f>IF($I990="","",INDEX('Product Master'!$M$7:$M$1000,MATCH($I990,'Product Master'!$A$7:$A$1000,0)))</f>
        <v/>
      </c>
      <c r="M990" t="str">
        <f>IF($I990="","",INDEX('Product Master'!$N$7:$N$1000,MATCH($I990,'Product Master'!$A$7:$A$1000,0)))</f>
        <v/>
      </c>
    </row>
    <row r="991" spans="1:13" x14ac:dyDescent="0.3">
      <c r="A991" t="str">
        <f>IFERROR(INDEX('Product Master'!$A$7:$A$1000,_xlfn.AGGREGATE(15,6,(ROW('Product Master'!$A$7:$A$1000)-ROW('Product Master'!$A$7)+1)/(('Product Master'!$A$7:$A$1000&lt;&gt;"")*('Product Master'!$P$7:$P$1000="Low Stock")),ROWS($A$12:A991))),"")</f>
        <v/>
      </c>
      <c r="B991" t="str">
        <f>IF($A991="","",INDEX('Product Master'!$B$7:$B$1000,MATCH($A991,'Product Master'!$A$7:$A$1000,0)))</f>
        <v/>
      </c>
      <c r="C991" t="str">
        <f>IF($A991="","",INDEX('Product Master'!$C$7:$C$1000,MATCH($A991,'Product Master'!$A$7:$A$1000,0)))</f>
        <v/>
      </c>
      <c r="D991" t="str">
        <f>IF($A991="","",INDEX('Product Master'!$M$7:$M$1000,MATCH($A991,'Product Master'!$A$7:$A$1000,0)))</f>
        <v/>
      </c>
      <c r="E991" t="str">
        <f>IF($A991="","",INDEX('Product Master'!$N$7:$N$1000,MATCH($A991,'Product Master'!$A$7:$A$1000,0)))</f>
        <v/>
      </c>
      <c r="F991" t="str">
        <f>IF($A991="","",INDEX('Product Master'!$P$7:$P$1000,MATCH($A991,'Product Master'!$A$7:$A$1000,0)))</f>
        <v/>
      </c>
      <c r="I991" t="str">
        <f>IFERROR(INDEX('Product Master'!$A$7:$A$1000,_xlfn.AGGREGATE(15,6,(ROW('Product Master'!$A$7:$A$1000)-ROW('Product Master'!$A$7)+1)/(('Product Master'!$A$7:$A$1000&lt;&gt;"")*('Product Master'!$P$7:$P$1000="Out of Stock")),ROWS($I$12:I991))),"")</f>
        <v/>
      </c>
      <c r="J991" t="str">
        <f>IF($I991="","",INDEX('Product Master'!$B$7:$B$1000,MATCH($I991,'Product Master'!$A$7:$A$1000,0)))</f>
        <v/>
      </c>
      <c r="K991" t="str">
        <f>IF($I991="","",INDEX('Product Master'!$C$7:$C$1000,MATCH($I991,'Product Master'!$A$7:$A$1000,0)))</f>
        <v/>
      </c>
      <c r="L991" t="str">
        <f>IF($I991="","",INDEX('Product Master'!$M$7:$M$1000,MATCH($I991,'Product Master'!$A$7:$A$1000,0)))</f>
        <v/>
      </c>
      <c r="M991" t="str">
        <f>IF($I991="","",INDEX('Product Master'!$N$7:$N$1000,MATCH($I991,'Product Master'!$A$7:$A$1000,0)))</f>
        <v/>
      </c>
    </row>
    <row r="992" spans="1:13" x14ac:dyDescent="0.3">
      <c r="A992" t="str">
        <f>IFERROR(INDEX('Product Master'!$A$7:$A$1000,_xlfn.AGGREGATE(15,6,(ROW('Product Master'!$A$7:$A$1000)-ROW('Product Master'!$A$7)+1)/(('Product Master'!$A$7:$A$1000&lt;&gt;"")*('Product Master'!$P$7:$P$1000="Low Stock")),ROWS($A$12:A992))),"")</f>
        <v/>
      </c>
      <c r="B992" t="str">
        <f>IF($A992="","",INDEX('Product Master'!$B$7:$B$1000,MATCH($A992,'Product Master'!$A$7:$A$1000,0)))</f>
        <v/>
      </c>
      <c r="C992" t="str">
        <f>IF($A992="","",INDEX('Product Master'!$C$7:$C$1000,MATCH($A992,'Product Master'!$A$7:$A$1000,0)))</f>
        <v/>
      </c>
      <c r="D992" t="str">
        <f>IF($A992="","",INDEX('Product Master'!$M$7:$M$1000,MATCH($A992,'Product Master'!$A$7:$A$1000,0)))</f>
        <v/>
      </c>
      <c r="E992" t="str">
        <f>IF($A992="","",INDEX('Product Master'!$N$7:$N$1000,MATCH($A992,'Product Master'!$A$7:$A$1000,0)))</f>
        <v/>
      </c>
      <c r="F992" t="str">
        <f>IF($A992="","",INDEX('Product Master'!$P$7:$P$1000,MATCH($A992,'Product Master'!$A$7:$A$1000,0)))</f>
        <v/>
      </c>
      <c r="I992" t="str">
        <f>IFERROR(INDEX('Product Master'!$A$7:$A$1000,_xlfn.AGGREGATE(15,6,(ROW('Product Master'!$A$7:$A$1000)-ROW('Product Master'!$A$7)+1)/(('Product Master'!$A$7:$A$1000&lt;&gt;"")*('Product Master'!$P$7:$P$1000="Out of Stock")),ROWS($I$12:I992))),"")</f>
        <v/>
      </c>
      <c r="J992" t="str">
        <f>IF($I992="","",INDEX('Product Master'!$B$7:$B$1000,MATCH($I992,'Product Master'!$A$7:$A$1000,0)))</f>
        <v/>
      </c>
      <c r="K992" t="str">
        <f>IF($I992="","",INDEX('Product Master'!$C$7:$C$1000,MATCH($I992,'Product Master'!$A$7:$A$1000,0)))</f>
        <v/>
      </c>
      <c r="L992" t="str">
        <f>IF($I992="","",INDEX('Product Master'!$M$7:$M$1000,MATCH($I992,'Product Master'!$A$7:$A$1000,0)))</f>
        <v/>
      </c>
      <c r="M992" t="str">
        <f>IF($I992="","",INDEX('Product Master'!$N$7:$N$1000,MATCH($I992,'Product Master'!$A$7:$A$1000,0)))</f>
        <v/>
      </c>
    </row>
    <row r="993" spans="1:13" x14ac:dyDescent="0.3">
      <c r="A993" t="str">
        <f>IFERROR(INDEX('Product Master'!$A$7:$A$1000,_xlfn.AGGREGATE(15,6,(ROW('Product Master'!$A$7:$A$1000)-ROW('Product Master'!$A$7)+1)/(('Product Master'!$A$7:$A$1000&lt;&gt;"")*('Product Master'!$P$7:$P$1000="Low Stock")),ROWS($A$12:A993))),"")</f>
        <v/>
      </c>
      <c r="B993" t="str">
        <f>IF($A993="","",INDEX('Product Master'!$B$7:$B$1000,MATCH($A993,'Product Master'!$A$7:$A$1000,0)))</f>
        <v/>
      </c>
      <c r="C993" t="str">
        <f>IF($A993="","",INDEX('Product Master'!$C$7:$C$1000,MATCH($A993,'Product Master'!$A$7:$A$1000,0)))</f>
        <v/>
      </c>
      <c r="D993" t="str">
        <f>IF($A993="","",INDEX('Product Master'!$M$7:$M$1000,MATCH($A993,'Product Master'!$A$7:$A$1000,0)))</f>
        <v/>
      </c>
      <c r="E993" t="str">
        <f>IF($A993="","",INDEX('Product Master'!$N$7:$N$1000,MATCH($A993,'Product Master'!$A$7:$A$1000,0)))</f>
        <v/>
      </c>
      <c r="F993" t="str">
        <f>IF($A993="","",INDEX('Product Master'!$P$7:$P$1000,MATCH($A993,'Product Master'!$A$7:$A$1000,0)))</f>
        <v/>
      </c>
      <c r="I993" t="str">
        <f>IFERROR(INDEX('Product Master'!$A$7:$A$1000,_xlfn.AGGREGATE(15,6,(ROW('Product Master'!$A$7:$A$1000)-ROW('Product Master'!$A$7)+1)/(('Product Master'!$A$7:$A$1000&lt;&gt;"")*('Product Master'!$P$7:$P$1000="Out of Stock")),ROWS($I$12:I993))),"")</f>
        <v/>
      </c>
      <c r="J993" t="str">
        <f>IF($I993="","",INDEX('Product Master'!$B$7:$B$1000,MATCH($I993,'Product Master'!$A$7:$A$1000,0)))</f>
        <v/>
      </c>
      <c r="K993" t="str">
        <f>IF($I993="","",INDEX('Product Master'!$C$7:$C$1000,MATCH($I993,'Product Master'!$A$7:$A$1000,0)))</f>
        <v/>
      </c>
      <c r="L993" t="str">
        <f>IF($I993="","",INDEX('Product Master'!$M$7:$M$1000,MATCH($I993,'Product Master'!$A$7:$A$1000,0)))</f>
        <v/>
      </c>
      <c r="M993" t="str">
        <f>IF($I993="","",INDEX('Product Master'!$N$7:$N$1000,MATCH($I993,'Product Master'!$A$7:$A$1000,0)))</f>
        <v/>
      </c>
    </row>
    <row r="994" spans="1:13" x14ac:dyDescent="0.3">
      <c r="A994" t="str">
        <f>IFERROR(INDEX('Product Master'!$A$7:$A$1000,_xlfn.AGGREGATE(15,6,(ROW('Product Master'!$A$7:$A$1000)-ROW('Product Master'!$A$7)+1)/(('Product Master'!$A$7:$A$1000&lt;&gt;"")*('Product Master'!$P$7:$P$1000="Low Stock")),ROWS($A$12:A994))),"")</f>
        <v/>
      </c>
      <c r="B994" t="str">
        <f>IF($A994="","",INDEX('Product Master'!$B$7:$B$1000,MATCH($A994,'Product Master'!$A$7:$A$1000,0)))</f>
        <v/>
      </c>
      <c r="C994" t="str">
        <f>IF($A994="","",INDEX('Product Master'!$C$7:$C$1000,MATCH($A994,'Product Master'!$A$7:$A$1000,0)))</f>
        <v/>
      </c>
      <c r="D994" t="str">
        <f>IF($A994="","",INDEX('Product Master'!$M$7:$M$1000,MATCH($A994,'Product Master'!$A$7:$A$1000,0)))</f>
        <v/>
      </c>
      <c r="E994" t="str">
        <f>IF($A994="","",INDEX('Product Master'!$N$7:$N$1000,MATCH($A994,'Product Master'!$A$7:$A$1000,0)))</f>
        <v/>
      </c>
      <c r="F994" t="str">
        <f>IF($A994="","",INDEX('Product Master'!$P$7:$P$1000,MATCH($A994,'Product Master'!$A$7:$A$1000,0)))</f>
        <v/>
      </c>
      <c r="I994" t="str">
        <f>IFERROR(INDEX('Product Master'!$A$7:$A$1000,_xlfn.AGGREGATE(15,6,(ROW('Product Master'!$A$7:$A$1000)-ROW('Product Master'!$A$7)+1)/(('Product Master'!$A$7:$A$1000&lt;&gt;"")*('Product Master'!$P$7:$P$1000="Out of Stock")),ROWS($I$12:I994))),"")</f>
        <v/>
      </c>
      <c r="J994" t="str">
        <f>IF($I994="","",INDEX('Product Master'!$B$7:$B$1000,MATCH($I994,'Product Master'!$A$7:$A$1000,0)))</f>
        <v/>
      </c>
      <c r="K994" t="str">
        <f>IF($I994="","",INDEX('Product Master'!$C$7:$C$1000,MATCH($I994,'Product Master'!$A$7:$A$1000,0)))</f>
        <v/>
      </c>
      <c r="L994" t="str">
        <f>IF($I994="","",INDEX('Product Master'!$M$7:$M$1000,MATCH($I994,'Product Master'!$A$7:$A$1000,0)))</f>
        <v/>
      </c>
      <c r="M994" t="str">
        <f>IF($I994="","",INDEX('Product Master'!$N$7:$N$1000,MATCH($I994,'Product Master'!$A$7:$A$1000,0)))</f>
        <v/>
      </c>
    </row>
    <row r="995" spans="1:13" x14ac:dyDescent="0.3">
      <c r="A995" t="str">
        <f>IFERROR(INDEX('Product Master'!$A$7:$A$1000,_xlfn.AGGREGATE(15,6,(ROW('Product Master'!$A$7:$A$1000)-ROW('Product Master'!$A$7)+1)/(('Product Master'!$A$7:$A$1000&lt;&gt;"")*('Product Master'!$P$7:$P$1000="Low Stock")),ROWS($A$12:A995))),"")</f>
        <v/>
      </c>
      <c r="B995" t="str">
        <f>IF($A995="","",INDEX('Product Master'!$B$7:$B$1000,MATCH($A995,'Product Master'!$A$7:$A$1000,0)))</f>
        <v/>
      </c>
      <c r="C995" t="str">
        <f>IF($A995="","",INDEX('Product Master'!$C$7:$C$1000,MATCH($A995,'Product Master'!$A$7:$A$1000,0)))</f>
        <v/>
      </c>
      <c r="D995" t="str">
        <f>IF($A995="","",INDEX('Product Master'!$M$7:$M$1000,MATCH($A995,'Product Master'!$A$7:$A$1000,0)))</f>
        <v/>
      </c>
      <c r="E995" t="str">
        <f>IF($A995="","",INDEX('Product Master'!$N$7:$N$1000,MATCH($A995,'Product Master'!$A$7:$A$1000,0)))</f>
        <v/>
      </c>
      <c r="F995" t="str">
        <f>IF($A995="","",INDEX('Product Master'!$P$7:$P$1000,MATCH($A995,'Product Master'!$A$7:$A$1000,0)))</f>
        <v/>
      </c>
      <c r="I995" t="str">
        <f>IFERROR(INDEX('Product Master'!$A$7:$A$1000,_xlfn.AGGREGATE(15,6,(ROW('Product Master'!$A$7:$A$1000)-ROW('Product Master'!$A$7)+1)/(('Product Master'!$A$7:$A$1000&lt;&gt;"")*('Product Master'!$P$7:$P$1000="Out of Stock")),ROWS($I$12:I995))),"")</f>
        <v/>
      </c>
      <c r="J995" t="str">
        <f>IF($I995="","",INDEX('Product Master'!$B$7:$B$1000,MATCH($I995,'Product Master'!$A$7:$A$1000,0)))</f>
        <v/>
      </c>
      <c r="K995" t="str">
        <f>IF($I995="","",INDEX('Product Master'!$C$7:$C$1000,MATCH($I995,'Product Master'!$A$7:$A$1000,0)))</f>
        <v/>
      </c>
      <c r="L995" t="str">
        <f>IF($I995="","",INDEX('Product Master'!$M$7:$M$1000,MATCH($I995,'Product Master'!$A$7:$A$1000,0)))</f>
        <v/>
      </c>
      <c r="M995" t="str">
        <f>IF($I995="","",INDEX('Product Master'!$N$7:$N$1000,MATCH($I995,'Product Master'!$A$7:$A$1000,0)))</f>
        <v/>
      </c>
    </row>
    <row r="996" spans="1:13" x14ac:dyDescent="0.3">
      <c r="A996" t="str">
        <f>IFERROR(INDEX('Product Master'!$A$7:$A$1000,_xlfn.AGGREGATE(15,6,(ROW('Product Master'!$A$7:$A$1000)-ROW('Product Master'!$A$7)+1)/(('Product Master'!$A$7:$A$1000&lt;&gt;"")*('Product Master'!$P$7:$P$1000="Low Stock")),ROWS($A$12:A996))),"")</f>
        <v/>
      </c>
      <c r="B996" t="str">
        <f>IF($A996="","",INDEX('Product Master'!$B$7:$B$1000,MATCH($A996,'Product Master'!$A$7:$A$1000,0)))</f>
        <v/>
      </c>
      <c r="C996" t="str">
        <f>IF($A996="","",INDEX('Product Master'!$C$7:$C$1000,MATCH($A996,'Product Master'!$A$7:$A$1000,0)))</f>
        <v/>
      </c>
      <c r="D996" t="str">
        <f>IF($A996="","",INDEX('Product Master'!$M$7:$M$1000,MATCH($A996,'Product Master'!$A$7:$A$1000,0)))</f>
        <v/>
      </c>
      <c r="E996" t="str">
        <f>IF($A996="","",INDEX('Product Master'!$N$7:$N$1000,MATCH($A996,'Product Master'!$A$7:$A$1000,0)))</f>
        <v/>
      </c>
      <c r="F996" t="str">
        <f>IF($A996="","",INDEX('Product Master'!$P$7:$P$1000,MATCH($A996,'Product Master'!$A$7:$A$1000,0)))</f>
        <v/>
      </c>
      <c r="I996" t="str">
        <f>IFERROR(INDEX('Product Master'!$A$7:$A$1000,_xlfn.AGGREGATE(15,6,(ROW('Product Master'!$A$7:$A$1000)-ROW('Product Master'!$A$7)+1)/(('Product Master'!$A$7:$A$1000&lt;&gt;"")*('Product Master'!$P$7:$P$1000="Out of Stock")),ROWS($I$12:I996))),"")</f>
        <v/>
      </c>
      <c r="J996" t="str">
        <f>IF($I996="","",INDEX('Product Master'!$B$7:$B$1000,MATCH($I996,'Product Master'!$A$7:$A$1000,0)))</f>
        <v/>
      </c>
      <c r="K996" t="str">
        <f>IF($I996="","",INDEX('Product Master'!$C$7:$C$1000,MATCH($I996,'Product Master'!$A$7:$A$1000,0)))</f>
        <v/>
      </c>
      <c r="L996" t="str">
        <f>IF($I996="","",INDEX('Product Master'!$M$7:$M$1000,MATCH($I996,'Product Master'!$A$7:$A$1000,0)))</f>
        <v/>
      </c>
      <c r="M996" t="str">
        <f>IF($I996="","",INDEX('Product Master'!$N$7:$N$1000,MATCH($I996,'Product Master'!$A$7:$A$1000,0)))</f>
        <v/>
      </c>
    </row>
    <row r="997" spans="1:13" x14ac:dyDescent="0.3">
      <c r="A997" t="str">
        <f>IFERROR(INDEX('Product Master'!$A$7:$A$1000,_xlfn.AGGREGATE(15,6,(ROW('Product Master'!$A$7:$A$1000)-ROW('Product Master'!$A$7)+1)/(('Product Master'!$A$7:$A$1000&lt;&gt;"")*('Product Master'!$P$7:$P$1000="Low Stock")),ROWS($A$12:A997))),"")</f>
        <v/>
      </c>
      <c r="B997" t="str">
        <f>IF($A997="","",INDEX('Product Master'!$B$7:$B$1000,MATCH($A997,'Product Master'!$A$7:$A$1000,0)))</f>
        <v/>
      </c>
      <c r="C997" t="str">
        <f>IF($A997="","",INDEX('Product Master'!$C$7:$C$1000,MATCH($A997,'Product Master'!$A$7:$A$1000,0)))</f>
        <v/>
      </c>
      <c r="D997" t="str">
        <f>IF($A997="","",INDEX('Product Master'!$M$7:$M$1000,MATCH($A997,'Product Master'!$A$7:$A$1000,0)))</f>
        <v/>
      </c>
      <c r="E997" t="str">
        <f>IF($A997="","",INDEX('Product Master'!$N$7:$N$1000,MATCH($A997,'Product Master'!$A$7:$A$1000,0)))</f>
        <v/>
      </c>
      <c r="F997" t="str">
        <f>IF($A997="","",INDEX('Product Master'!$P$7:$P$1000,MATCH($A997,'Product Master'!$A$7:$A$1000,0)))</f>
        <v/>
      </c>
      <c r="I997" t="str">
        <f>IFERROR(INDEX('Product Master'!$A$7:$A$1000,_xlfn.AGGREGATE(15,6,(ROW('Product Master'!$A$7:$A$1000)-ROW('Product Master'!$A$7)+1)/(('Product Master'!$A$7:$A$1000&lt;&gt;"")*('Product Master'!$P$7:$P$1000="Out of Stock")),ROWS($I$12:I997))),"")</f>
        <v/>
      </c>
      <c r="J997" t="str">
        <f>IF($I997="","",INDEX('Product Master'!$B$7:$B$1000,MATCH($I997,'Product Master'!$A$7:$A$1000,0)))</f>
        <v/>
      </c>
      <c r="K997" t="str">
        <f>IF($I997="","",INDEX('Product Master'!$C$7:$C$1000,MATCH($I997,'Product Master'!$A$7:$A$1000,0)))</f>
        <v/>
      </c>
      <c r="L997" t="str">
        <f>IF($I997="","",INDEX('Product Master'!$M$7:$M$1000,MATCH($I997,'Product Master'!$A$7:$A$1000,0)))</f>
        <v/>
      </c>
      <c r="M997" t="str">
        <f>IF($I997="","",INDEX('Product Master'!$N$7:$N$1000,MATCH($I997,'Product Master'!$A$7:$A$1000,0)))</f>
        <v/>
      </c>
    </row>
    <row r="998" spans="1:13" x14ac:dyDescent="0.3">
      <c r="A998" t="str">
        <f>IFERROR(INDEX('Product Master'!$A$7:$A$1000,_xlfn.AGGREGATE(15,6,(ROW('Product Master'!$A$7:$A$1000)-ROW('Product Master'!$A$7)+1)/(('Product Master'!$A$7:$A$1000&lt;&gt;"")*('Product Master'!$P$7:$P$1000="Low Stock")),ROWS($A$12:A998))),"")</f>
        <v/>
      </c>
      <c r="B998" t="str">
        <f>IF($A998="","",INDEX('Product Master'!$B$7:$B$1000,MATCH($A998,'Product Master'!$A$7:$A$1000,0)))</f>
        <v/>
      </c>
      <c r="C998" t="str">
        <f>IF($A998="","",INDEX('Product Master'!$C$7:$C$1000,MATCH($A998,'Product Master'!$A$7:$A$1000,0)))</f>
        <v/>
      </c>
      <c r="D998" t="str">
        <f>IF($A998="","",INDEX('Product Master'!$M$7:$M$1000,MATCH($A998,'Product Master'!$A$7:$A$1000,0)))</f>
        <v/>
      </c>
      <c r="E998" t="str">
        <f>IF($A998="","",INDEX('Product Master'!$N$7:$N$1000,MATCH($A998,'Product Master'!$A$7:$A$1000,0)))</f>
        <v/>
      </c>
      <c r="F998" t="str">
        <f>IF($A998="","",INDEX('Product Master'!$P$7:$P$1000,MATCH($A998,'Product Master'!$A$7:$A$1000,0)))</f>
        <v/>
      </c>
      <c r="I998" t="str">
        <f>IFERROR(INDEX('Product Master'!$A$7:$A$1000,_xlfn.AGGREGATE(15,6,(ROW('Product Master'!$A$7:$A$1000)-ROW('Product Master'!$A$7)+1)/(('Product Master'!$A$7:$A$1000&lt;&gt;"")*('Product Master'!$P$7:$P$1000="Out of Stock")),ROWS($I$12:I998))),"")</f>
        <v/>
      </c>
      <c r="J998" t="str">
        <f>IF($I998="","",INDEX('Product Master'!$B$7:$B$1000,MATCH($I998,'Product Master'!$A$7:$A$1000,0)))</f>
        <v/>
      </c>
      <c r="K998" t="str">
        <f>IF($I998="","",INDEX('Product Master'!$C$7:$C$1000,MATCH($I998,'Product Master'!$A$7:$A$1000,0)))</f>
        <v/>
      </c>
      <c r="L998" t="str">
        <f>IF($I998="","",INDEX('Product Master'!$M$7:$M$1000,MATCH($I998,'Product Master'!$A$7:$A$1000,0)))</f>
        <v/>
      </c>
      <c r="M998" t="str">
        <f>IF($I998="","",INDEX('Product Master'!$N$7:$N$1000,MATCH($I998,'Product Master'!$A$7:$A$1000,0)))</f>
        <v/>
      </c>
    </row>
    <row r="999" spans="1:13" x14ac:dyDescent="0.3">
      <c r="A999" t="str">
        <f>IFERROR(INDEX('Product Master'!$A$7:$A$1000,_xlfn.AGGREGATE(15,6,(ROW('Product Master'!$A$7:$A$1000)-ROW('Product Master'!$A$7)+1)/(('Product Master'!$A$7:$A$1000&lt;&gt;"")*('Product Master'!$P$7:$P$1000="Low Stock")),ROWS($A$12:A999))),"")</f>
        <v/>
      </c>
      <c r="B999" t="str">
        <f>IF($A999="","",INDEX('Product Master'!$B$7:$B$1000,MATCH($A999,'Product Master'!$A$7:$A$1000,0)))</f>
        <v/>
      </c>
      <c r="C999" t="str">
        <f>IF($A999="","",INDEX('Product Master'!$C$7:$C$1000,MATCH($A999,'Product Master'!$A$7:$A$1000,0)))</f>
        <v/>
      </c>
      <c r="D999" t="str">
        <f>IF($A999="","",INDEX('Product Master'!$M$7:$M$1000,MATCH($A999,'Product Master'!$A$7:$A$1000,0)))</f>
        <v/>
      </c>
      <c r="E999" t="str">
        <f>IF($A999="","",INDEX('Product Master'!$N$7:$N$1000,MATCH($A999,'Product Master'!$A$7:$A$1000,0)))</f>
        <v/>
      </c>
      <c r="F999" t="str">
        <f>IF($A999="","",INDEX('Product Master'!$P$7:$P$1000,MATCH($A999,'Product Master'!$A$7:$A$1000,0)))</f>
        <v/>
      </c>
      <c r="I999" t="str">
        <f>IFERROR(INDEX('Product Master'!$A$7:$A$1000,_xlfn.AGGREGATE(15,6,(ROW('Product Master'!$A$7:$A$1000)-ROW('Product Master'!$A$7)+1)/(('Product Master'!$A$7:$A$1000&lt;&gt;"")*('Product Master'!$P$7:$P$1000="Out of Stock")),ROWS($I$12:I999))),"")</f>
        <v/>
      </c>
      <c r="J999" t="str">
        <f>IF($I999="","",INDEX('Product Master'!$B$7:$B$1000,MATCH($I999,'Product Master'!$A$7:$A$1000,0)))</f>
        <v/>
      </c>
      <c r="K999" t="str">
        <f>IF($I999="","",INDEX('Product Master'!$C$7:$C$1000,MATCH($I999,'Product Master'!$A$7:$A$1000,0)))</f>
        <v/>
      </c>
      <c r="L999" t="str">
        <f>IF($I999="","",INDEX('Product Master'!$M$7:$M$1000,MATCH($I999,'Product Master'!$A$7:$A$1000,0)))</f>
        <v/>
      </c>
      <c r="M999" t="str">
        <f>IF($I999="","",INDEX('Product Master'!$N$7:$N$1000,MATCH($I999,'Product Master'!$A$7:$A$1000,0)))</f>
        <v/>
      </c>
    </row>
    <row r="1000" spans="1:13" x14ac:dyDescent="0.3">
      <c r="A1000" t="str">
        <f>IFERROR(INDEX('Product Master'!$A$7:$A$1000,_xlfn.AGGREGATE(15,6,(ROW('Product Master'!$A$7:$A$1000)-ROW('Product Master'!$A$7)+1)/(('Product Master'!$A$7:$A$1000&lt;&gt;"")*('Product Master'!$P$7:$P$1000="Low Stock")),ROWS($A$12:A1000))),"")</f>
        <v/>
      </c>
      <c r="B1000" t="str">
        <f>IF($A1000="","",INDEX('Product Master'!$B$7:$B$1000,MATCH($A1000,'Product Master'!$A$7:$A$1000,0)))</f>
        <v/>
      </c>
      <c r="C1000" t="str">
        <f>IF($A1000="","",INDEX('Product Master'!$C$7:$C$1000,MATCH($A1000,'Product Master'!$A$7:$A$1000,0)))</f>
        <v/>
      </c>
      <c r="D1000" t="str">
        <f>IF($A1000="","",INDEX('Product Master'!$M$7:$M$1000,MATCH($A1000,'Product Master'!$A$7:$A$1000,0)))</f>
        <v/>
      </c>
      <c r="E1000" t="str">
        <f>IF($A1000="","",INDEX('Product Master'!$N$7:$N$1000,MATCH($A1000,'Product Master'!$A$7:$A$1000,0)))</f>
        <v/>
      </c>
      <c r="F1000" t="str">
        <f>IF($A1000="","",INDEX('Product Master'!$P$7:$P$1000,MATCH($A1000,'Product Master'!$A$7:$A$1000,0)))</f>
        <v/>
      </c>
      <c r="I1000" t="str">
        <f>IFERROR(INDEX('Product Master'!$A$7:$A$1000,_xlfn.AGGREGATE(15,6,(ROW('Product Master'!$A$7:$A$1000)-ROW('Product Master'!$A$7)+1)/(('Product Master'!$A$7:$A$1000&lt;&gt;"")*('Product Master'!$P$7:$P$1000="Out of Stock")),ROWS($I$12:I1000))),"")</f>
        <v/>
      </c>
      <c r="J1000" t="str">
        <f>IF($I1000="","",INDEX('Product Master'!$B$7:$B$1000,MATCH($I1000,'Product Master'!$A$7:$A$1000,0)))</f>
        <v/>
      </c>
      <c r="K1000" t="str">
        <f>IF($I1000="","",INDEX('Product Master'!$C$7:$C$1000,MATCH($I1000,'Product Master'!$A$7:$A$1000,0)))</f>
        <v/>
      </c>
      <c r="L1000" t="str">
        <f>IF($I1000="","",INDEX('Product Master'!$M$7:$M$1000,MATCH($I1000,'Product Master'!$A$7:$A$1000,0)))</f>
        <v/>
      </c>
      <c r="M1000" t="str">
        <f>IF($I1000="","",INDEX('Product Master'!$N$7:$N$1000,MATCH($I1000,'Product Master'!$A$7:$A$1000,0)))</f>
        <v/>
      </c>
    </row>
  </sheetData>
  <mergeCells count="9">
    <mergeCell ref="K6:N6"/>
    <mergeCell ref="A1:W2"/>
    <mergeCell ref="A6:D6"/>
    <mergeCell ref="F7:I7"/>
    <mergeCell ref="A7:D7"/>
    <mergeCell ref="P7:S7"/>
    <mergeCell ref="K7:N7"/>
    <mergeCell ref="P6:S6"/>
    <mergeCell ref="F6:I6"/>
  </mergeCells>
  <conditionalFormatting sqref="F12:F30">
    <cfRule type="cellIs" dxfId="5" priority="1" stopIfTrue="1" operator="equal">
      <formula>"In Stock"</formula>
    </cfRule>
    <cfRule type="cellIs" dxfId="4" priority="2" stopIfTrue="1" operator="equal">
      <formula>"Low Stock"</formula>
    </cfRule>
    <cfRule type="cellIs" dxfId="3" priority="3" stopIfTrue="1" operator="equal">
      <formula>"Out of Stock"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6"/>
  <sheetViews>
    <sheetView topLeftCell="H1" zoomScale="67" workbookViewId="0">
      <pane ySplit="6" topLeftCell="A7" activePane="bottomLeft" state="frozen"/>
      <selection pane="bottomLeft" activeCell="U4" sqref="U4"/>
    </sheetView>
  </sheetViews>
  <sheetFormatPr defaultRowHeight="14.4" x14ac:dyDescent="0.3"/>
  <cols>
    <col min="1" max="1" width="26" customWidth="1"/>
    <col min="2" max="2" width="37" customWidth="1"/>
    <col min="3" max="4" width="17" customWidth="1"/>
    <col min="5" max="5" width="21" customWidth="1"/>
    <col min="6" max="6" width="18" customWidth="1"/>
    <col min="7" max="8" width="13" customWidth="1"/>
    <col min="9" max="11" width="16" customWidth="1"/>
    <col min="12" max="12" width="15" customWidth="1"/>
    <col min="13" max="14" width="16" customWidth="1"/>
    <col min="15" max="15" width="19" customWidth="1"/>
    <col min="16" max="16" width="13" customWidth="1"/>
    <col min="17" max="17" width="18" customWidth="1"/>
    <col min="18" max="18" width="19" customWidth="1"/>
    <col min="19" max="19" width="13" customWidth="1"/>
    <col min="20" max="20" width="14" customWidth="1"/>
    <col min="21" max="21" width="20" customWidth="1"/>
    <col min="22" max="22" width="13" customWidth="1"/>
  </cols>
  <sheetData>
    <row r="1" spans="1:22" ht="19.95" customHeight="1" x14ac:dyDescent="0.3">
      <c r="A1" s="17" t="s">
        <v>28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9.95" customHeight="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2" ht="10.050000000000001" customHeight="1" x14ac:dyDescent="0.3"/>
    <row r="4" spans="1:22" ht="25.05" customHeight="1" x14ac:dyDescent="0.3">
      <c r="A4" s="1" t="str">
        <f>HYPERLINK("#'Dashboard'!A1", "📊 Dashboard")</f>
        <v>📊 Dashboard</v>
      </c>
      <c r="B4" s="2"/>
      <c r="C4" s="2"/>
      <c r="D4" s="1" t="str">
        <f>HYPERLINK("#'Product Master'!A1", "📦 Product Master")</f>
        <v>📦 Product Master</v>
      </c>
      <c r="E4" s="2"/>
      <c r="F4" s="2"/>
      <c r="G4" s="2"/>
      <c r="H4" s="1" t="str">
        <f>HYPERLINK("#'Purchase Entry'!A1", "📥 Purchase Entry")</f>
        <v>📥 Purchase Entry</v>
      </c>
      <c r="I4" s="2"/>
      <c r="J4" s="2"/>
      <c r="K4" s="2"/>
      <c r="L4" s="1" t="str">
        <f>HYPERLINK("#'Sales Entry'!A1", "📤 Sales Entry")</f>
        <v>📤 Sales Entry</v>
      </c>
      <c r="M4" s="2"/>
      <c r="N4" s="2"/>
      <c r="O4" s="1" t="str">
        <f>HYPERLINK("#'Supplier Management'!A1", "🤝 Suppliers")</f>
        <v>🤝 Suppliers</v>
      </c>
      <c r="P4" s="2"/>
      <c r="Q4" s="2"/>
      <c r="R4" s="1" t="str">
        <f>HYPERLINK("#'Reports'!A1", "📈 Reports")</f>
        <v>📈 Reports</v>
      </c>
      <c r="S4" s="2"/>
      <c r="T4" s="2"/>
      <c r="U4" s="1"/>
      <c r="V4" s="2"/>
    </row>
    <row r="5" spans="1:22" ht="15" customHeight="1" x14ac:dyDescent="0.3"/>
    <row r="6" spans="1:22" ht="15" x14ac:dyDescent="0.3">
      <c r="A6" s="4" t="s">
        <v>22</v>
      </c>
      <c r="B6" s="4" t="s">
        <v>23</v>
      </c>
      <c r="C6" s="4" t="s">
        <v>6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  <c r="J6" s="4" t="s">
        <v>35</v>
      </c>
      <c r="K6" s="4" t="s">
        <v>36</v>
      </c>
      <c r="L6" s="4" t="s">
        <v>37</v>
      </c>
      <c r="M6" s="4" t="s">
        <v>24</v>
      </c>
      <c r="N6" s="4" t="s">
        <v>25</v>
      </c>
      <c r="O6" s="4" t="s">
        <v>38</v>
      </c>
      <c r="P6" s="4" t="s">
        <v>26</v>
      </c>
      <c r="Q6" s="4" t="s">
        <v>39</v>
      </c>
      <c r="R6" s="4" t="s">
        <v>40</v>
      </c>
      <c r="S6" s="4" t="s">
        <v>41</v>
      </c>
      <c r="T6" s="4" t="s">
        <v>7</v>
      </c>
      <c r="U6" s="4" t="s">
        <v>42</v>
      </c>
      <c r="V6" s="4" t="s">
        <v>27</v>
      </c>
    </row>
    <row r="7" spans="1:22" ht="15" x14ac:dyDescent="0.35">
      <c r="A7" s="5" t="str">
        <f t="shared" ref="A7:A38" si="0">IF(ISBLANK(B7), "", "PRD-" &amp; TEXT(ROW()-6, "00000"))</f>
        <v>PRD-00001</v>
      </c>
      <c r="B7" s="6" t="s">
        <v>43</v>
      </c>
      <c r="C7" s="5" t="s">
        <v>10</v>
      </c>
      <c r="D7" s="6" t="s">
        <v>44</v>
      </c>
      <c r="E7" s="6" t="s">
        <v>45</v>
      </c>
      <c r="F7" s="5" t="s">
        <v>46</v>
      </c>
      <c r="G7" s="8">
        <v>250</v>
      </c>
      <c r="H7" s="8">
        <v>180</v>
      </c>
      <c r="I7" s="8">
        <f t="shared" ref="I7:I38" si="1">G7 * R7</f>
        <v>250</v>
      </c>
      <c r="J7" s="7">
        <v>15</v>
      </c>
      <c r="K7" s="7">
        <f>SUMIF('Purchase Entry'!$C:$C, $A7, 'Purchase Entry'!$F:$F)</f>
        <v>25</v>
      </c>
      <c r="L7" s="7">
        <f>SUMIF('Sales Entry'!$C:$C, $A7, 'Sales Entry'!$E:$E)</f>
        <v>20</v>
      </c>
      <c r="M7" s="7">
        <f t="shared" ref="M7:M38" si="2">J7 + K7 - L7</f>
        <v>20</v>
      </c>
      <c r="N7" s="7">
        <v>5</v>
      </c>
      <c r="O7" s="5" t="s">
        <v>47</v>
      </c>
      <c r="P7" s="5" t="str">
        <f t="shared" ref="P7:P38" si="3">IF(M7&lt;=0, "Out of Stock", IF(M7&lt;=N7, "Low Stock", "In Stock"))</f>
        <v>In Stock</v>
      </c>
      <c r="Q7" s="5" t="s">
        <v>48</v>
      </c>
      <c r="R7" s="7">
        <v>1</v>
      </c>
      <c r="S7" s="8">
        <f t="shared" ref="S7:S38" si="4">IF(R7&gt;1, I7 * 0.95, I7)</f>
        <v>250</v>
      </c>
      <c r="T7" s="8">
        <f t="shared" ref="T7:T38" si="5">M7 * H7</f>
        <v>3600</v>
      </c>
      <c r="U7" s="8">
        <f t="shared" ref="U7:U38" si="6">L7 * I7</f>
        <v>5000</v>
      </c>
      <c r="V7" s="9">
        <f t="shared" ref="V7:V38" si="7">IF(U7&gt;0, (U7 - (L7*H7)) / U7, 0)</f>
        <v>0.28000000000000003</v>
      </c>
    </row>
    <row r="8" spans="1:22" ht="15" x14ac:dyDescent="0.35">
      <c r="A8" s="10" t="str">
        <f t="shared" si="0"/>
        <v>PRD-00002</v>
      </c>
      <c r="B8" s="11" t="s">
        <v>49</v>
      </c>
      <c r="C8" s="10" t="s">
        <v>10</v>
      </c>
      <c r="D8" s="11" t="s">
        <v>50</v>
      </c>
      <c r="E8" s="11" t="s">
        <v>45</v>
      </c>
      <c r="F8" s="10" t="s">
        <v>46</v>
      </c>
      <c r="G8" s="12">
        <v>180</v>
      </c>
      <c r="H8" s="12">
        <v>120</v>
      </c>
      <c r="I8" s="12">
        <f t="shared" si="1"/>
        <v>180</v>
      </c>
      <c r="J8" s="13">
        <v>10</v>
      </c>
      <c r="K8" s="7">
        <f>SUMIF('Purchase Entry'!$C:$C, $A8, 'Purchase Entry'!$F:$F)</f>
        <v>25</v>
      </c>
      <c r="L8" s="7">
        <f>SUMIF('Sales Entry'!$C:$C, $A8, 'Sales Entry'!$E:$E)</f>
        <v>6</v>
      </c>
      <c r="M8" s="13">
        <f t="shared" si="2"/>
        <v>29</v>
      </c>
      <c r="N8" s="13">
        <v>3</v>
      </c>
      <c r="O8" s="10" t="s">
        <v>47</v>
      </c>
      <c r="P8" s="10" t="str">
        <f t="shared" si="3"/>
        <v>In Stock</v>
      </c>
      <c r="Q8" s="10" t="s">
        <v>51</v>
      </c>
      <c r="R8" s="13">
        <v>1</v>
      </c>
      <c r="S8" s="12">
        <f t="shared" si="4"/>
        <v>180</v>
      </c>
      <c r="T8" s="12">
        <f t="shared" si="5"/>
        <v>3480</v>
      </c>
      <c r="U8" s="12">
        <f t="shared" si="6"/>
        <v>1080</v>
      </c>
      <c r="V8" s="14">
        <f t="shared" si="7"/>
        <v>0.33333333333333331</v>
      </c>
    </row>
    <row r="9" spans="1:22" ht="15" x14ac:dyDescent="0.35">
      <c r="A9" s="5" t="str">
        <f t="shared" si="0"/>
        <v>PRD-00003</v>
      </c>
      <c r="B9" s="6" t="s">
        <v>52</v>
      </c>
      <c r="C9" s="5" t="s">
        <v>10</v>
      </c>
      <c r="D9" s="6" t="s">
        <v>53</v>
      </c>
      <c r="E9" s="6" t="s">
        <v>54</v>
      </c>
      <c r="F9" s="5" t="s">
        <v>46</v>
      </c>
      <c r="G9" s="8">
        <v>549</v>
      </c>
      <c r="H9" s="8">
        <v>420</v>
      </c>
      <c r="I9" s="8">
        <f t="shared" si="1"/>
        <v>549</v>
      </c>
      <c r="J9" s="7">
        <v>8</v>
      </c>
      <c r="K9" s="7">
        <f>SUMIF('Purchase Entry'!$C:$C, $A9, 'Purchase Entry'!$F:$F)</f>
        <v>15</v>
      </c>
      <c r="L9" s="7">
        <f>SUMIF('Sales Entry'!$C:$C, $A9, 'Sales Entry'!$E:$E)</f>
        <v>6</v>
      </c>
      <c r="M9" s="7">
        <f t="shared" si="2"/>
        <v>17</v>
      </c>
      <c r="N9" s="7">
        <v>20</v>
      </c>
      <c r="O9" s="5" t="s">
        <v>47</v>
      </c>
      <c r="P9" s="5" t="str">
        <f t="shared" si="3"/>
        <v>Low Stock</v>
      </c>
      <c r="Q9" s="5" t="s">
        <v>48</v>
      </c>
      <c r="R9" s="7">
        <v>1</v>
      </c>
      <c r="S9" s="8">
        <f t="shared" si="4"/>
        <v>549</v>
      </c>
      <c r="T9" s="8">
        <f t="shared" si="5"/>
        <v>7140</v>
      </c>
      <c r="U9" s="8">
        <f t="shared" si="6"/>
        <v>3294</v>
      </c>
      <c r="V9" s="9">
        <f t="shared" si="7"/>
        <v>0.23497267759562843</v>
      </c>
    </row>
    <row r="10" spans="1:22" ht="15" x14ac:dyDescent="0.35">
      <c r="A10" s="10" t="str">
        <f t="shared" si="0"/>
        <v>PRD-00004</v>
      </c>
      <c r="B10" s="11" t="s">
        <v>55</v>
      </c>
      <c r="C10" s="10" t="s">
        <v>10</v>
      </c>
      <c r="D10" s="11" t="s">
        <v>56</v>
      </c>
      <c r="E10" s="11" t="s">
        <v>45</v>
      </c>
      <c r="F10" s="10" t="s">
        <v>46</v>
      </c>
      <c r="G10" s="12">
        <v>45</v>
      </c>
      <c r="H10" s="12">
        <v>25</v>
      </c>
      <c r="I10" s="12">
        <f t="shared" si="1"/>
        <v>45</v>
      </c>
      <c r="J10" s="13">
        <v>25</v>
      </c>
      <c r="K10" s="7">
        <f>SUMIF('Purchase Entry'!$C:$C, $A10, 'Purchase Entry'!$F:$F)</f>
        <v>0</v>
      </c>
      <c r="L10" s="7">
        <f>SUMIF('Sales Entry'!$C:$C, $A10, 'Sales Entry'!$E:$E)</f>
        <v>0</v>
      </c>
      <c r="M10" s="13">
        <f t="shared" si="2"/>
        <v>25</v>
      </c>
      <c r="N10" s="7">
        <v>20</v>
      </c>
      <c r="O10" s="10" t="s">
        <v>47</v>
      </c>
      <c r="P10" s="10" t="str">
        <f t="shared" si="3"/>
        <v>In Stock</v>
      </c>
      <c r="Q10" s="10" t="s">
        <v>48</v>
      </c>
      <c r="R10" s="13">
        <v>1</v>
      </c>
      <c r="S10" s="12">
        <f t="shared" si="4"/>
        <v>45</v>
      </c>
      <c r="T10" s="12">
        <f t="shared" si="5"/>
        <v>625</v>
      </c>
      <c r="U10" s="12">
        <f t="shared" si="6"/>
        <v>0</v>
      </c>
      <c r="V10" s="14">
        <f t="shared" si="7"/>
        <v>0</v>
      </c>
    </row>
    <row r="11" spans="1:22" ht="15" x14ac:dyDescent="0.35">
      <c r="A11" s="5" t="str">
        <f t="shared" si="0"/>
        <v>PRD-00005</v>
      </c>
      <c r="B11" s="6" t="s">
        <v>57</v>
      </c>
      <c r="C11" s="5" t="s">
        <v>10</v>
      </c>
      <c r="D11" s="6" t="s">
        <v>58</v>
      </c>
      <c r="E11" s="6" t="s">
        <v>45</v>
      </c>
      <c r="F11" s="5" t="s">
        <v>46</v>
      </c>
      <c r="G11" s="8">
        <v>79</v>
      </c>
      <c r="H11" s="8">
        <v>45</v>
      </c>
      <c r="I11" s="8">
        <f t="shared" si="1"/>
        <v>79</v>
      </c>
      <c r="J11" s="7">
        <v>12</v>
      </c>
      <c r="K11" s="7">
        <f>SUMIF('Purchase Entry'!$C:$C, $A11, 'Purchase Entry'!$F:$F)</f>
        <v>0</v>
      </c>
      <c r="L11" s="7">
        <f>SUMIF('Sales Entry'!$C:$C, $A11, 'Sales Entry'!$E:$E)</f>
        <v>0</v>
      </c>
      <c r="M11" s="7">
        <f t="shared" si="2"/>
        <v>12</v>
      </c>
      <c r="N11" s="7">
        <v>20</v>
      </c>
      <c r="O11" s="5" t="s">
        <v>47</v>
      </c>
      <c r="P11" s="5" t="str">
        <f t="shared" si="3"/>
        <v>Low Stock</v>
      </c>
      <c r="Q11" s="5" t="s">
        <v>48</v>
      </c>
      <c r="R11" s="7">
        <v>1</v>
      </c>
      <c r="S11" s="8">
        <f t="shared" si="4"/>
        <v>79</v>
      </c>
      <c r="T11" s="8">
        <f t="shared" si="5"/>
        <v>540</v>
      </c>
      <c r="U11" s="8">
        <f t="shared" si="6"/>
        <v>0</v>
      </c>
      <c r="V11" s="9">
        <f t="shared" si="7"/>
        <v>0</v>
      </c>
    </row>
    <row r="12" spans="1:22" ht="15" x14ac:dyDescent="0.35">
      <c r="A12" s="10" t="str">
        <f t="shared" si="0"/>
        <v>PRD-00006</v>
      </c>
      <c r="B12" s="11" t="s">
        <v>59</v>
      </c>
      <c r="C12" s="10" t="s">
        <v>10</v>
      </c>
      <c r="D12" s="11" t="s">
        <v>60</v>
      </c>
      <c r="E12" s="11" t="s">
        <v>61</v>
      </c>
      <c r="F12" s="10" t="s">
        <v>46</v>
      </c>
      <c r="G12" s="12">
        <v>29.99</v>
      </c>
      <c r="H12" s="12">
        <v>15</v>
      </c>
      <c r="I12" s="12">
        <f t="shared" si="1"/>
        <v>29.99</v>
      </c>
      <c r="J12" s="13">
        <v>40</v>
      </c>
      <c r="K12" s="7">
        <f>SUMIF('Purchase Entry'!$C:$C, $A12, 'Purchase Entry'!$F:$F)</f>
        <v>35</v>
      </c>
      <c r="L12" s="7">
        <f>SUMIF('Sales Entry'!$C:$C, $A12, 'Sales Entry'!$E:$E)</f>
        <v>11</v>
      </c>
      <c r="M12" s="13">
        <f t="shared" si="2"/>
        <v>64</v>
      </c>
      <c r="N12" s="7">
        <v>20</v>
      </c>
      <c r="O12" s="10" t="s">
        <v>47</v>
      </c>
      <c r="P12" s="10" t="str">
        <f t="shared" si="3"/>
        <v>In Stock</v>
      </c>
      <c r="Q12" s="10" t="s">
        <v>62</v>
      </c>
      <c r="R12" s="13">
        <v>1</v>
      </c>
      <c r="S12" s="12">
        <f t="shared" si="4"/>
        <v>29.99</v>
      </c>
      <c r="T12" s="12">
        <f t="shared" si="5"/>
        <v>960</v>
      </c>
      <c r="U12" s="12">
        <f t="shared" si="6"/>
        <v>329.89</v>
      </c>
      <c r="V12" s="14">
        <f t="shared" si="7"/>
        <v>0.49983327775925307</v>
      </c>
    </row>
    <row r="13" spans="1:22" ht="15" x14ac:dyDescent="0.35">
      <c r="A13" s="5" t="str">
        <f t="shared" si="0"/>
        <v>PRD-00007</v>
      </c>
      <c r="B13" s="6" t="s">
        <v>63</v>
      </c>
      <c r="C13" s="5" t="s">
        <v>10</v>
      </c>
      <c r="D13" s="6" t="s">
        <v>64</v>
      </c>
      <c r="E13" s="6" t="s">
        <v>61</v>
      </c>
      <c r="F13" s="5" t="s">
        <v>46</v>
      </c>
      <c r="G13" s="8">
        <v>59.99</v>
      </c>
      <c r="H13" s="8">
        <v>35</v>
      </c>
      <c r="I13" s="8">
        <f t="shared" si="1"/>
        <v>59.99</v>
      </c>
      <c r="J13" s="7">
        <v>18</v>
      </c>
      <c r="K13" s="7">
        <f>SUMIF('Purchase Entry'!$C:$C, $A13, 'Purchase Entry'!$F:$F)</f>
        <v>0</v>
      </c>
      <c r="L13" s="7">
        <f>SUMIF('Sales Entry'!$C:$C, $A13, 'Sales Entry'!$E:$E)</f>
        <v>0</v>
      </c>
      <c r="M13" s="7">
        <f t="shared" si="2"/>
        <v>18</v>
      </c>
      <c r="N13" s="7">
        <v>20</v>
      </c>
      <c r="O13" s="5" t="s">
        <v>47</v>
      </c>
      <c r="P13" s="5" t="str">
        <f t="shared" si="3"/>
        <v>Low Stock</v>
      </c>
      <c r="Q13" s="5" t="s">
        <v>65</v>
      </c>
      <c r="R13" s="7">
        <v>1</v>
      </c>
      <c r="S13" s="8">
        <f t="shared" si="4"/>
        <v>59.99</v>
      </c>
      <c r="T13" s="8">
        <f t="shared" si="5"/>
        <v>630</v>
      </c>
      <c r="U13" s="8">
        <f t="shared" si="6"/>
        <v>0</v>
      </c>
      <c r="V13" s="9">
        <f t="shared" si="7"/>
        <v>0</v>
      </c>
    </row>
    <row r="14" spans="1:22" ht="15" x14ac:dyDescent="0.35">
      <c r="A14" s="10" t="str">
        <f t="shared" si="0"/>
        <v>PRD-00008</v>
      </c>
      <c r="B14" s="11" t="s">
        <v>66</v>
      </c>
      <c r="C14" s="10" t="s">
        <v>10</v>
      </c>
      <c r="D14" s="11" t="s">
        <v>67</v>
      </c>
      <c r="E14" s="11" t="s">
        <v>68</v>
      </c>
      <c r="F14" s="10" t="s">
        <v>46</v>
      </c>
      <c r="G14" s="12">
        <v>229</v>
      </c>
      <c r="H14" s="12">
        <v>150</v>
      </c>
      <c r="I14" s="12">
        <f t="shared" si="1"/>
        <v>229</v>
      </c>
      <c r="J14" s="13">
        <v>6</v>
      </c>
      <c r="K14" s="7">
        <f>SUMIF('Purchase Entry'!$C:$C, $A14, 'Purchase Entry'!$F:$F)</f>
        <v>0</v>
      </c>
      <c r="L14" s="7">
        <f>SUMIF('Sales Entry'!$C:$C, $A14, 'Sales Entry'!$E:$E)</f>
        <v>0</v>
      </c>
      <c r="M14" s="13">
        <f t="shared" si="2"/>
        <v>6</v>
      </c>
      <c r="N14" s="7">
        <v>20</v>
      </c>
      <c r="O14" s="10" t="s">
        <v>69</v>
      </c>
      <c r="P14" s="10" t="str">
        <f t="shared" si="3"/>
        <v>Low Stock</v>
      </c>
      <c r="Q14" s="10" t="s">
        <v>48</v>
      </c>
      <c r="R14" s="13">
        <v>1</v>
      </c>
      <c r="S14" s="12">
        <f t="shared" si="4"/>
        <v>229</v>
      </c>
      <c r="T14" s="12">
        <f t="shared" si="5"/>
        <v>900</v>
      </c>
      <c r="U14" s="12">
        <f t="shared" si="6"/>
        <v>0</v>
      </c>
      <c r="V14" s="14">
        <f t="shared" si="7"/>
        <v>0</v>
      </c>
    </row>
    <row r="15" spans="1:22" ht="15" x14ac:dyDescent="0.35">
      <c r="A15" s="5" t="str">
        <f t="shared" si="0"/>
        <v>PRD-00009</v>
      </c>
      <c r="B15" s="6" t="s">
        <v>70</v>
      </c>
      <c r="C15" s="5" t="s">
        <v>10</v>
      </c>
      <c r="D15" s="6" t="s">
        <v>71</v>
      </c>
      <c r="E15" s="6" t="s">
        <v>54</v>
      </c>
      <c r="F15" s="5" t="s">
        <v>46</v>
      </c>
      <c r="G15" s="8">
        <v>899.99</v>
      </c>
      <c r="H15" s="8">
        <v>650</v>
      </c>
      <c r="I15" s="8">
        <f t="shared" si="1"/>
        <v>899.99</v>
      </c>
      <c r="J15" s="7">
        <v>5</v>
      </c>
      <c r="K15" s="7">
        <f>SUMIF('Purchase Entry'!$C:$C, $A15, 'Purchase Entry'!$F:$F)</f>
        <v>0</v>
      </c>
      <c r="L15" s="7">
        <f>SUMIF('Sales Entry'!$C:$C, $A15, 'Sales Entry'!$E:$E)</f>
        <v>0</v>
      </c>
      <c r="M15" s="7">
        <f t="shared" si="2"/>
        <v>5</v>
      </c>
      <c r="N15" s="7">
        <v>20</v>
      </c>
      <c r="O15" s="5" t="s">
        <v>47</v>
      </c>
      <c r="P15" s="5" t="str">
        <f t="shared" si="3"/>
        <v>Low Stock</v>
      </c>
      <c r="Q15" s="5" t="s">
        <v>48</v>
      </c>
      <c r="R15" s="7">
        <v>1</v>
      </c>
      <c r="S15" s="8">
        <f t="shared" si="4"/>
        <v>899.99</v>
      </c>
      <c r="T15" s="8">
        <f t="shared" si="5"/>
        <v>3250</v>
      </c>
      <c r="U15" s="8">
        <f t="shared" si="6"/>
        <v>0</v>
      </c>
      <c r="V15" s="9">
        <f t="shared" si="7"/>
        <v>0</v>
      </c>
    </row>
    <row r="16" spans="1:22" ht="15" x14ac:dyDescent="0.35">
      <c r="A16" s="10" t="str">
        <f t="shared" si="0"/>
        <v>PRD-00010</v>
      </c>
      <c r="B16" s="11" t="s">
        <v>72</v>
      </c>
      <c r="C16" s="10" t="s">
        <v>10</v>
      </c>
      <c r="D16" s="11" t="s">
        <v>73</v>
      </c>
      <c r="E16" s="11" t="s">
        <v>61</v>
      </c>
      <c r="F16" s="10" t="s">
        <v>46</v>
      </c>
      <c r="G16" s="12">
        <v>24.99</v>
      </c>
      <c r="H16" s="12">
        <v>12</v>
      </c>
      <c r="I16" s="12">
        <f t="shared" si="1"/>
        <v>24.99</v>
      </c>
      <c r="J16" s="13">
        <v>30</v>
      </c>
      <c r="K16" s="7">
        <f>SUMIF('Purchase Entry'!$C:$C, $A16, 'Purchase Entry'!$F:$F)</f>
        <v>0</v>
      </c>
      <c r="L16" s="7">
        <f>SUMIF('Sales Entry'!$C:$C, $A16, 'Sales Entry'!$E:$E)</f>
        <v>0</v>
      </c>
      <c r="M16" s="13">
        <f t="shared" si="2"/>
        <v>30</v>
      </c>
      <c r="N16" s="7">
        <v>20</v>
      </c>
      <c r="O16" s="10" t="s">
        <v>47</v>
      </c>
      <c r="P16" s="10" t="str">
        <f t="shared" si="3"/>
        <v>In Stock</v>
      </c>
      <c r="Q16" s="10" t="s">
        <v>74</v>
      </c>
      <c r="R16" s="13">
        <v>1</v>
      </c>
      <c r="S16" s="12">
        <f t="shared" si="4"/>
        <v>24.99</v>
      </c>
      <c r="T16" s="12">
        <f t="shared" si="5"/>
        <v>360</v>
      </c>
      <c r="U16" s="12">
        <f t="shared" si="6"/>
        <v>0</v>
      </c>
      <c r="V16" s="14">
        <f t="shared" si="7"/>
        <v>0</v>
      </c>
    </row>
    <row r="17" spans="1:22" ht="15" x14ac:dyDescent="0.35">
      <c r="A17" s="5" t="str">
        <f t="shared" si="0"/>
        <v>PRD-00011</v>
      </c>
      <c r="B17" s="6" t="s">
        <v>75</v>
      </c>
      <c r="C17" s="5" t="s">
        <v>12</v>
      </c>
      <c r="D17" s="6" t="s">
        <v>76</v>
      </c>
      <c r="E17" s="6" t="s">
        <v>61</v>
      </c>
      <c r="F17" s="5" t="s">
        <v>46</v>
      </c>
      <c r="G17" s="8">
        <v>120</v>
      </c>
      <c r="H17" s="8">
        <v>70</v>
      </c>
      <c r="I17" s="8">
        <f t="shared" si="1"/>
        <v>120</v>
      </c>
      <c r="J17" s="7">
        <v>20</v>
      </c>
      <c r="K17" s="7">
        <f>SUMIF('Purchase Entry'!$C:$C, $A17, 'Purchase Entry'!$F:$F)</f>
        <v>25</v>
      </c>
      <c r="L17" s="7">
        <f>SUMIF('Sales Entry'!$C:$C, $A17, 'Sales Entry'!$E:$E)</f>
        <v>12</v>
      </c>
      <c r="M17" s="7">
        <f t="shared" si="2"/>
        <v>33</v>
      </c>
      <c r="N17" s="7">
        <v>20</v>
      </c>
      <c r="O17" s="5" t="s">
        <v>77</v>
      </c>
      <c r="P17" s="5" t="str">
        <f t="shared" si="3"/>
        <v>In Stock</v>
      </c>
      <c r="Q17" s="5" t="s">
        <v>78</v>
      </c>
      <c r="R17" s="7">
        <v>1</v>
      </c>
      <c r="S17" s="8">
        <f t="shared" si="4"/>
        <v>120</v>
      </c>
      <c r="T17" s="8">
        <f t="shared" si="5"/>
        <v>2310</v>
      </c>
      <c r="U17" s="8">
        <f t="shared" si="6"/>
        <v>1440</v>
      </c>
      <c r="V17" s="9">
        <f t="shared" si="7"/>
        <v>0.41666666666666669</v>
      </c>
    </row>
    <row r="18" spans="1:22" ht="15" x14ac:dyDescent="0.35">
      <c r="A18" s="10" t="str">
        <f t="shared" si="0"/>
        <v>PRD-00012</v>
      </c>
      <c r="B18" s="11" t="s">
        <v>79</v>
      </c>
      <c r="C18" s="10" t="s">
        <v>12</v>
      </c>
      <c r="D18" s="11" t="s">
        <v>80</v>
      </c>
      <c r="E18" s="11" t="s">
        <v>61</v>
      </c>
      <c r="F18" s="10" t="s">
        <v>46</v>
      </c>
      <c r="G18" s="12">
        <v>50</v>
      </c>
      <c r="H18" s="12">
        <v>25</v>
      </c>
      <c r="I18" s="12">
        <f t="shared" si="1"/>
        <v>50</v>
      </c>
      <c r="J18" s="13">
        <v>30</v>
      </c>
      <c r="K18" s="7">
        <f>SUMIF('Purchase Entry'!$C:$C, $A18, 'Purchase Entry'!$F:$F)</f>
        <v>0</v>
      </c>
      <c r="L18" s="7">
        <f>SUMIF('Sales Entry'!$C:$C, $A18, 'Sales Entry'!$E:$E)</f>
        <v>0</v>
      </c>
      <c r="M18" s="13">
        <f t="shared" si="2"/>
        <v>30</v>
      </c>
      <c r="N18" s="7">
        <v>20</v>
      </c>
      <c r="O18" s="10" t="s">
        <v>77</v>
      </c>
      <c r="P18" s="10" t="str">
        <f t="shared" si="3"/>
        <v>In Stock</v>
      </c>
      <c r="Q18" s="10" t="s">
        <v>78</v>
      </c>
      <c r="R18" s="13">
        <v>1</v>
      </c>
      <c r="S18" s="12">
        <f t="shared" si="4"/>
        <v>50</v>
      </c>
      <c r="T18" s="12">
        <f t="shared" si="5"/>
        <v>750</v>
      </c>
      <c r="U18" s="12">
        <f t="shared" si="6"/>
        <v>0</v>
      </c>
      <c r="V18" s="14">
        <f t="shared" si="7"/>
        <v>0</v>
      </c>
    </row>
    <row r="19" spans="1:22" ht="15" x14ac:dyDescent="0.35">
      <c r="A19" s="5" t="str">
        <f t="shared" si="0"/>
        <v>PRD-00013</v>
      </c>
      <c r="B19" s="6" t="s">
        <v>81</v>
      </c>
      <c r="C19" s="5" t="s">
        <v>12</v>
      </c>
      <c r="D19" s="6" t="s">
        <v>82</v>
      </c>
      <c r="E19" s="6" t="s">
        <v>61</v>
      </c>
      <c r="F19" s="5" t="s">
        <v>46</v>
      </c>
      <c r="G19" s="8">
        <v>68</v>
      </c>
      <c r="H19" s="8">
        <v>32</v>
      </c>
      <c r="I19" s="8">
        <f t="shared" si="1"/>
        <v>68</v>
      </c>
      <c r="J19" s="7">
        <v>25</v>
      </c>
      <c r="K19" s="7">
        <f>SUMIF('Purchase Entry'!$C:$C, $A19, 'Purchase Entry'!$F:$F)</f>
        <v>0</v>
      </c>
      <c r="L19" s="7">
        <f>SUMIF('Sales Entry'!$C:$C, $A19, 'Sales Entry'!$E:$E)</f>
        <v>0</v>
      </c>
      <c r="M19" s="7">
        <f t="shared" si="2"/>
        <v>25</v>
      </c>
      <c r="N19" s="7">
        <v>20</v>
      </c>
      <c r="O19" s="5" t="s">
        <v>77</v>
      </c>
      <c r="P19" s="5" t="str">
        <f t="shared" si="3"/>
        <v>In Stock</v>
      </c>
      <c r="Q19" s="5" t="s">
        <v>78</v>
      </c>
      <c r="R19" s="7">
        <v>1</v>
      </c>
      <c r="S19" s="8">
        <f t="shared" si="4"/>
        <v>68</v>
      </c>
      <c r="T19" s="8">
        <f t="shared" si="5"/>
        <v>800</v>
      </c>
      <c r="U19" s="8">
        <f t="shared" si="6"/>
        <v>0</v>
      </c>
      <c r="V19" s="9">
        <f t="shared" si="7"/>
        <v>0</v>
      </c>
    </row>
    <row r="20" spans="1:22" ht="15" x14ac:dyDescent="0.35">
      <c r="A20" s="10" t="str">
        <f t="shared" si="0"/>
        <v>PRD-00014</v>
      </c>
      <c r="B20" s="11" t="s">
        <v>83</v>
      </c>
      <c r="C20" s="10" t="s">
        <v>12</v>
      </c>
      <c r="D20" s="11" t="s">
        <v>84</v>
      </c>
      <c r="E20" s="11" t="s">
        <v>54</v>
      </c>
      <c r="F20" s="10" t="s">
        <v>46</v>
      </c>
      <c r="G20" s="12">
        <v>119</v>
      </c>
      <c r="H20" s="12">
        <v>55</v>
      </c>
      <c r="I20" s="12">
        <f t="shared" si="1"/>
        <v>119</v>
      </c>
      <c r="J20" s="13">
        <v>10</v>
      </c>
      <c r="K20" s="7">
        <f>SUMIF('Purchase Entry'!$C:$C, $A20, 'Purchase Entry'!$F:$F)</f>
        <v>0</v>
      </c>
      <c r="L20" s="7">
        <f>SUMIF('Sales Entry'!$C:$C, $A20, 'Sales Entry'!$E:$E)</f>
        <v>0</v>
      </c>
      <c r="M20" s="13">
        <f t="shared" si="2"/>
        <v>10</v>
      </c>
      <c r="N20" s="7">
        <v>20</v>
      </c>
      <c r="O20" s="10" t="s">
        <v>77</v>
      </c>
      <c r="P20" s="10" t="str">
        <f t="shared" si="3"/>
        <v>Low Stock</v>
      </c>
      <c r="Q20" s="10" t="s">
        <v>78</v>
      </c>
      <c r="R20" s="13">
        <v>1</v>
      </c>
      <c r="S20" s="12">
        <f t="shared" si="4"/>
        <v>119</v>
      </c>
      <c r="T20" s="12">
        <f t="shared" si="5"/>
        <v>550</v>
      </c>
      <c r="U20" s="12">
        <f t="shared" si="6"/>
        <v>0</v>
      </c>
      <c r="V20" s="14">
        <f t="shared" si="7"/>
        <v>0</v>
      </c>
    </row>
    <row r="21" spans="1:22" ht="15" x14ac:dyDescent="0.35">
      <c r="A21" s="5" t="str">
        <f t="shared" si="0"/>
        <v>PRD-00015</v>
      </c>
      <c r="B21" s="6" t="s">
        <v>85</v>
      </c>
      <c r="C21" s="5" t="s">
        <v>12</v>
      </c>
      <c r="D21" s="6" t="s">
        <v>86</v>
      </c>
      <c r="E21" s="6" t="s">
        <v>61</v>
      </c>
      <c r="F21" s="5" t="s">
        <v>87</v>
      </c>
      <c r="G21" s="8">
        <v>6</v>
      </c>
      <c r="H21" s="8">
        <v>8</v>
      </c>
      <c r="I21" s="8">
        <f t="shared" si="1"/>
        <v>18</v>
      </c>
      <c r="J21" s="7">
        <v>50</v>
      </c>
      <c r="K21" s="7">
        <f>SUMIF('Purchase Entry'!$C:$C, $A21, 'Purchase Entry'!$F:$F)</f>
        <v>70</v>
      </c>
      <c r="L21" s="7">
        <f>SUMIF('Sales Entry'!$C:$C, $A21, 'Sales Entry'!$E:$E)</f>
        <v>25</v>
      </c>
      <c r="M21" s="7">
        <f t="shared" si="2"/>
        <v>95</v>
      </c>
      <c r="N21" s="7">
        <v>20</v>
      </c>
      <c r="O21" s="5" t="s">
        <v>77</v>
      </c>
      <c r="P21" s="5" t="str">
        <f t="shared" si="3"/>
        <v>In Stock</v>
      </c>
      <c r="Q21" s="5" t="s">
        <v>78</v>
      </c>
      <c r="R21" s="7">
        <v>3</v>
      </c>
      <c r="S21" s="8">
        <f t="shared" si="4"/>
        <v>17.099999999999998</v>
      </c>
      <c r="T21" s="8">
        <f t="shared" si="5"/>
        <v>760</v>
      </c>
      <c r="U21" s="8">
        <f t="shared" si="6"/>
        <v>450</v>
      </c>
      <c r="V21" s="9">
        <f t="shared" si="7"/>
        <v>0.55555555555555558</v>
      </c>
    </row>
    <row r="22" spans="1:22" ht="15" x14ac:dyDescent="0.35">
      <c r="A22" s="10" t="str">
        <f t="shared" si="0"/>
        <v>PRD-00016</v>
      </c>
      <c r="B22" s="11" t="s">
        <v>88</v>
      </c>
      <c r="C22" s="10" t="s">
        <v>12</v>
      </c>
      <c r="D22" s="11" t="s">
        <v>89</v>
      </c>
      <c r="E22" s="11" t="s">
        <v>61</v>
      </c>
      <c r="F22" s="10" t="s">
        <v>46</v>
      </c>
      <c r="G22" s="12">
        <v>65</v>
      </c>
      <c r="H22" s="12">
        <v>30</v>
      </c>
      <c r="I22" s="12">
        <f t="shared" si="1"/>
        <v>65</v>
      </c>
      <c r="J22" s="13">
        <v>15</v>
      </c>
      <c r="K22" s="7">
        <f>SUMIF('Purchase Entry'!$C:$C, $A22, 'Purchase Entry'!$F:$F)</f>
        <v>0</v>
      </c>
      <c r="L22" s="7">
        <f>SUMIF('Sales Entry'!$C:$C, $A22, 'Sales Entry'!$E:$E)</f>
        <v>0</v>
      </c>
      <c r="M22" s="13">
        <f t="shared" si="2"/>
        <v>15</v>
      </c>
      <c r="N22" s="7">
        <v>20</v>
      </c>
      <c r="O22" s="10" t="s">
        <v>77</v>
      </c>
      <c r="P22" s="10" t="str">
        <f t="shared" si="3"/>
        <v>Low Stock</v>
      </c>
      <c r="Q22" s="10" t="s">
        <v>78</v>
      </c>
      <c r="R22" s="13">
        <v>1</v>
      </c>
      <c r="S22" s="12">
        <f t="shared" si="4"/>
        <v>65</v>
      </c>
      <c r="T22" s="12">
        <f t="shared" si="5"/>
        <v>450</v>
      </c>
      <c r="U22" s="12">
        <f t="shared" si="6"/>
        <v>0</v>
      </c>
      <c r="V22" s="14">
        <f t="shared" si="7"/>
        <v>0</v>
      </c>
    </row>
    <row r="23" spans="1:22" ht="15" x14ac:dyDescent="0.35">
      <c r="A23" s="5" t="str">
        <f t="shared" si="0"/>
        <v>PRD-00017</v>
      </c>
      <c r="B23" s="6" t="s">
        <v>90</v>
      </c>
      <c r="C23" s="5" t="s">
        <v>12</v>
      </c>
      <c r="D23" s="6" t="s">
        <v>91</v>
      </c>
      <c r="E23" s="6" t="s">
        <v>68</v>
      </c>
      <c r="F23" s="5" t="s">
        <v>46</v>
      </c>
      <c r="G23" s="8">
        <v>39.99</v>
      </c>
      <c r="H23" s="8">
        <v>18</v>
      </c>
      <c r="I23" s="8">
        <f t="shared" si="1"/>
        <v>39.99</v>
      </c>
      <c r="J23" s="7">
        <v>28</v>
      </c>
      <c r="K23" s="7">
        <f>SUMIF('Purchase Entry'!$C:$C, $A23, 'Purchase Entry'!$F:$F)</f>
        <v>0</v>
      </c>
      <c r="L23" s="7">
        <f>SUMIF('Sales Entry'!$C:$C, $A23, 'Sales Entry'!$E:$E)</f>
        <v>0</v>
      </c>
      <c r="M23" s="7">
        <f t="shared" si="2"/>
        <v>28</v>
      </c>
      <c r="N23" s="7">
        <v>20</v>
      </c>
      <c r="O23" s="5" t="s">
        <v>77</v>
      </c>
      <c r="P23" s="5" t="str">
        <f t="shared" si="3"/>
        <v>In Stock</v>
      </c>
      <c r="Q23" s="5" t="s">
        <v>78</v>
      </c>
      <c r="R23" s="7">
        <v>1</v>
      </c>
      <c r="S23" s="8">
        <f t="shared" si="4"/>
        <v>39.99</v>
      </c>
      <c r="T23" s="8">
        <f t="shared" si="5"/>
        <v>504</v>
      </c>
      <c r="U23" s="8">
        <f t="shared" si="6"/>
        <v>0</v>
      </c>
      <c r="V23" s="9">
        <f t="shared" si="7"/>
        <v>0</v>
      </c>
    </row>
    <row r="24" spans="1:22" ht="15" x14ac:dyDescent="0.35">
      <c r="A24" s="10" t="str">
        <f t="shared" si="0"/>
        <v>PRD-00018</v>
      </c>
      <c r="B24" s="11" t="s">
        <v>92</v>
      </c>
      <c r="C24" s="10" t="s">
        <v>12</v>
      </c>
      <c r="D24" s="11" t="s">
        <v>93</v>
      </c>
      <c r="E24" s="11" t="s">
        <v>61</v>
      </c>
      <c r="F24" s="10" t="s">
        <v>46</v>
      </c>
      <c r="G24" s="12">
        <v>48</v>
      </c>
      <c r="H24" s="12">
        <v>22</v>
      </c>
      <c r="I24" s="12">
        <f t="shared" si="1"/>
        <v>48</v>
      </c>
      <c r="J24" s="13">
        <v>22</v>
      </c>
      <c r="K24" s="7">
        <f>SUMIF('Purchase Entry'!$C:$C, $A24, 'Purchase Entry'!$F:$F)</f>
        <v>0</v>
      </c>
      <c r="L24" s="7">
        <f>SUMIF('Sales Entry'!$C:$C, $A24, 'Sales Entry'!$E:$E)</f>
        <v>0</v>
      </c>
      <c r="M24" s="13">
        <f t="shared" si="2"/>
        <v>22</v>
      </c>
      <c r="N24" s="7">
        <v>20</v>
      </c>
      <c r="O24" s="10" t="s">
        <v>77</v>
      </c>
      <c r="P24" s="10" t="str">
        <f t="shared" si="3"/>
        <v>In Stock</v>
      </c>
      <c r="Q24" s="10" t="s">
        <v>78</v>
      </c>
      <c r="R24" s="13">
        <v>1</v>
      </c>
      <c r="S24" s="12">
        <f t="shared" si="4"/>
        <v>48</v>
      </c>
      <c r="T24" s="12">
        <f t="shared" si="5"/>
        <v>484</v>
      </c>
      <c r="U24" s="12">
        <f t="shared" si="6"/>
        <v>0</v>
      </c>
      <c r="V24" s="14">
        <f t="shared" si="7"/>
        <v>0</v>
      </c>
    </row>
    <row r="25" spans="1:22" ht="15" x14ac:dyDescent="0.35">
      <c r="A25" s="5" t="str">
        <f t="shared" si="0"/>
        <v>PRD-00019</v>
      </c>
      <c r="B25" s="6" t="s">
        <v>94</v>
      </c>
      <c r="C25" s="5" t="s">
        <v>12</v>
      </c>
      <c r="D25" s="6" t="s">
        <v>95</v>
      </c>
      <c r="E25" s="6" t="s">
        <v>68</v>
      </c>
      <c r="F25" s="5" t="s">
        <v>46</v>
      </c>
      <c r="G25" s="8">
        <v>59.99</v>
      </c>
      <c r="H25" s="8">
        <v>28</v>
      </c>
      <c r="I25" s="8">
        <f t="shared" si="1"/>
        <v>59.99</v>
      </c>
      <c r="J25" s="7">
        <v>12</v>
      </c>
      <c r="K25" s="7">
        <f>SUMIF('Purchase Entry'!$C:$C, $A25, 'Purchase Entry'!$F:$F)</f>
        <v>0</v>
      </c>
      <c r="L25" s="7">
        <f>SUMIF('Sales Entry'!$C:$C, $A25, 'Sales Entry'!$E:$E)</f>
        <v>0</v>
      </c>
      <c r="M25" s="7">
        <f t="shared" si="2"/>
        <v>12</v>
      </c>
      <c r="N25" s="7">
        <v>20</v>
      </c>
      <c r="O25" s="5" t="s">
        <v>77</v>
      </c>
      <c r="P25" s="5" t="str">
        <f t="shared" si="3"/>
        <v>Low Stock</v>
      </c>
      <c r="Q25" s="5" t="s">
        <v>78</v>
      </c>
      <c r="R25" s="7">
        <v>1</v>
      </c>
      <c r="S25" s="8">
        <f t="shared" si="4"/>
        <v>59.99</v>
      </c>
      <c r="T25" s="8">
        <f t="shared" si="5"/>
        <v>336</v>
      </c>
      <c r="U25" s="8">
        <f t="shared" si="6"/>
        <v>0</v>
      </c>
      <c r="V25" s="9">
        <f t="shared" si="7"/>
        <v>0</v>
      </c>
    </row>
    <row r="26" spans="1:22" ht="15" x14ac:dyDescent="0.35">
      <c r="A26" s="10" t="str">
        <f t="shared" si="0"/>
        <v>PRD-00020</v>
      </c>
      <c r="B26" s="11" t="s">
        <v>96</v>
      </c>
      <c r="C26" s="10" t="s">
        <v>12</v>
      </c>
      <c r="D26" s="11" t="s">
        <v>97</v>
      </c>
      <c r="E26" s="11" t="s">
        <v>61</v>
      </c>
      <c r="F26" s="10" t="s">
        <v>87</v>
      </c>
      <c r="G26" s="12">
        <v>9.33</v>
      </c>
      <c r="H26" s="12">
        <v>12</v>
      </c>
      <c r="I26" s="12">
        <f t="shared" si="1"/>
        <v>27.990000000000002</v>
      </c>
      <c r="J26" s="13">
        <v>40</v>
      </c>
      <c r="K26" s="7">
        <f>SUMIF('Purchase Entry'!$C:$C, $A26, 'Purchase Entry'!$F:$F)</f>
        <v>0</v>
      </c>
      <c r="L26" s="7">
        <f>SUMIF('Sales Entry'!$C:$C, $A26, 'Sales Entry'!$E:$E)</f>
        <v>0</v>
      </c>
      <c r="M26" s="13">
        <f t="shared" si="2"/>
        <v>40</v>
      </c>
      <c r="N26" s="7">
        <v>20</v>
      </c>
      <c r="O26" s="10" t="s">
        <v>77</v>
      </c>
      <c r="P26" s="10" t="str">
        <f t="shared" si="3"/>
        <v>In Stock</v>
      </c>
      <c r="Q26" s="10" t="s">
        <v>78</v>
      </c>
      <c r="R26" s="13">
        <v>3</v>
      </c>
      <c r="S26" s="12">
        <f t="shared" si="4"/>
        <v>26.590500000000002</v>
      </c>
      <c r="T26" s="12">
        <f t="shared" si="5"/>
        <v>480</v>
      </c>
      <c r="U26" s="12">
        <f t="shared" si="6"/>
        <v>0</v>
      </c>
      <c r="V26" s="14">
        <f t="shared" si="7"/>
        <v>0</v>
      </c>
    </row>
    <row r="27" spans="1:22" ht="15" x14ac:dyDescent="0.35">
      <c r="A27" s="5" t="str">
        <f t="shared" si="0"/>
        <v>PRD-00021</v>
      </c>
      <c r="B27" s="6" t="s">
        <v>98</v>
      </c>
      <c r="C27" s="5" t="s">
        <v>14</v>
      </c>
      <c r="D27" s="6" t="s">
        <v>99</v>
      </c>
      <c r="E27" s="6" t="s">
        <v>68</v>
      </c>
      <c r="F27" s="5" t="s">
        <v>87</v>
      </c>
      <c r="G27" s="8">
        <v>0.21</v>
      </c>
      <c r="H27" s="8">
        <v>2.5</v>
      </c>
      <c r="I27" s="8">
        <f t="shared" si="1"/>
        <v>5.04</v>
      </c>
      <c r="J27" s="7">
        <v>100</v>
      </c>
      <c r="K27" s="7">
        <f>SUMIF('Purchase Entry'!$C:$C, $A27, 'Purchase Entry'!$F:$F)</f>
        <v>130</v>
      </c>
      <c r="L27" s="7">
        <f>SUMIF('Sales Entry'!$C:$C, $A27, 'Sales Entry'!$E:$E)</f>
        <v>60</v>
      </c>
      <c r="M27" s="7">
        <f t="shared" si="2"/>
        <v>170</v>
      </c>
      <c r="N27" s="7">
        <v>20</v>
      </c>
      <c r="O27" s="5" t="s">
        <v>100</v>
      </c>
      <c r="P27" s="5" t="str">
        <f t="shared" si="3"/>
        <v>In Stock</v>
      </c>
      <c r="Q27" s="5" t="s">
        <v>78</v>
      </c>
      <c r="R27" s="7">
        <v>24</v>
      </c>
      <c r="S27" s="8">
        <f t="shared" si="4"/>
        <v>4.7879999999999994</v>
      </c>
      <c r="T27" s="8">
        <f t="shared" si="5"/>
        <v>425</v>
      </c>
      <c r="U27" s="8">
        <f t="shared" si="6"/>
        <v>302.39999999999998</v>
      </c>
      <c r="V27" s="9">
        <f t="shared" si="7"/>
        <v>0.50396825396825395</v>
      </c>
    </row>
    <row r="28" spans="1:22" ht="15" x14ac:dyDescent="0.35">
      <c r="A28" s="10" t="str">
        <f t="shared" si="0"/>
        <v>PRD-00022</v>
      </c>
      <c r="B28" s="11" t="s">
        <v>101</v>
      </c>
      <c r="C28" s="10" t="s">
        <v>14</v>
      </c>
      <c r="D28" s="11" t="s">
        <v>102</v>
      </c>
      <c r="E28" s="11" t="s">
        <v>68</v>
      </c>
      <c r="F28" s="10" t="s">
        <v>46</v>
      </c>
      <c r="G28" s="12">
        <v>1.25</v>
      </c>
      <c r="H28" s="12">
        <v>0.6</v>
      </c>
      <c r="I28" s="12">
        <f t="shared" si="1"/>
        <v>1.25</v>
      </c>
      <c r="J28" s="13">
        <v>150</v>
      </c>
      <c r="K28" s="7">
        <f>SUMIF('Purchase Entry'!$C:$C, $A28, 'Purchase Entry'!$F:$F)</f>
        <v>0</v>
      </c>
      <c r="L28" s="7">
        <f>SUMIF('Sales Entry'!$C:$C, $A28, 'Sales Entry'!$E:$E)</f>
        <v>0</v>
      </c>
      <c r="M28" s="13">
        <f t="shared" si="2"/>
        <v>150</v>
      </c>
      <c r="N28" s="7">
        <v>20</v>
      </c>
      <c r="O28" s="10" t="s">
        <v>100</v>
      </c>
      <c r="P28" s="10" t="str">
        <f t="shared" si="3"/>
        <v>In Stock</v>
      </c>
      <c r="Q28" s="10" t="s">
        <v>103</v>
      </c>
      <c r="R28" s="13">
        <v>1</v>
      </c>
      <c r="S28" s="12">
        <f t="shared" si="4"/>
        <v>1.25</v>
      </c>
      <c r="T28" s="12">
        <f t="shared" si="5"/>
        <v>90</v>
      </c>
      <c r="U28" s="12">
        <f t="shared" si="6"/>
        <v>0</v>
      </c>
      <c r="V28" s="14">
        <f t="shared" si="7"/>
        <v>0</v>
      </c>
    </row>
    <row r="29" spans="1:22" ht="15" x14ac:dyDescent="0.35">
      <c r="A29" s="5" t="str">
        <f t="shared" si="0"/>
        <v>PRD-00023</v>
      </c>
      <c r="B29" s="6" t="s">
        <v>104</v>
      </c>
      <c r="C29" s="5" t="s">
        <v>14</v>
      </c>
      <c r="D29" s="6" t="s">
        <v>105</v>
      </c>
      <c r="E29" s="6" t="s">
        <v>68</v>
      </c>
      <c r="F29" s="5" t="s">
        <v>46</v>
      </c>
      <c r="G29" s="8">
        <v>3.79</v>
      </c>
      <c r="H29" s="8">
        <v>1.8</v>
      </c>
      <c r="I29" s="8">
        <f t="shared" si="1"/>
        <v>3.79</v>
      </c>
      <c r="J29" s="7">
        <v>80</v>
      </c>
      <c r="K29" s="7">
        <f>SUMIF('Purchase Entry'!$C:$C, $A29, 'Purchase Entry'!$F:$F)</f>
        <v>0</v>
      </c>
      <c r="L29" s="7">
        <f>SUMIF('Sales Entry'!$C:$C, $A29, 'Sales Entry'!$E:$E)</f>
        <v>0</v>
      </c>
      <c r="M29" s="7">
        <f t="shared" si="2"/>
        <v>80</v>
      </c>
      <c r="N29" s="7">
        <v>20</v>
      </c>
      <c r="O29" s="5" t="s">
        <v>100</v>
      </c>
      <c r="P29" s="5" t="str">
        <f t="shared" si="3"/>
        <v>In Stock</v>
      </c>
      <c r="Q29" s="5" t="s">
        <v>48</v>
      </c>
      <c r="R29" s="7">
        <v>1</v>
      </c>
      <c r="S29" s="8">
        <f t="shared" si="4"/>
        <v>3.79</v>
      </c>
      <c r="T29" s="8">
        <f t="shared" si="5"/>
        <v>144</v>
      </c>
      <c r="U29" s="8">
        <f t="shared" si="6"/>
        <v>0</v>
      </c>
      <c r="V29" s="9">
        <f t="shared" si="7"/>
        <v>0</v>
      </c>
    </row>
    <row r="30" spans="1:22" ht="15" x14ac:dyDescent="0.35">
      <c r="A30" s="10" t="str">
        <f t="shared" si="0"/>
        <v>PRD-00024</v>
      </c>
      <c r="B30" s="11" t="s">
        <v>106</v>
      </c>
      <c r="C30" s="10" t="s">
        <v>14</v>
      </c>
      <c r="D30" s="11" t="s">
        <v>107</v>
      </c>
      <c r="E30" s="11" t="s">
        <v>68</v>
      </c>
      <c r="F30" s="10" t="s">
        <v>46</v>
      </c>
      <c r="G30" s="12">
        <v>1.89</v>
      </c>
      <c r="H30" s="12">
        <v>0.9</v>
      </c>
      <c r="I30" s="12">
        <f t="shared" si="1"/>
        <v>1.89</v>
      </c>
      <c r="J30" s="13">
        <v>120</v>
      </c>
      <c r="K30" s="7">
        <f>SUMIF('Purchase Entry'!$C:$C, $A30, 'Purchase Entry'!$F:$F)</f>
        <v>0</v>
      </c>
      <c r="L30" s="7">
        <f>SUMIF('Sales Entry'!$C:$C, $A30, 'Sales Entry'!$E:$E)</f>
        <v>0</v>
      </c>
      <c r="M30" s="13">
        <f t="shared" si="2"/>
        <v>120</v>
      </c>
      <c r="N30" s="7">
        <v>20</v>
      </c>
      <c r="O30" s="10" t="s">
        <v>100</v>
      </c>
      <c r="P30" s="10" t="str">
        <f t="shared" si="3"/>
        <v>In Stock</v>
      </c>
      <c r="Q30" s="10" t="s">
        <v>51</v>
      </c>
      <c r="R30" s="13">
        <v>1</v>
      </c>
      <c r="S30" s="12">
        <f t="shared" si="4"/>
        <v>1.89</v>
      </c>
      <c r="T30" s="12">
        <f t="shared" si="5"/>
        <v>108</v>
      </c>
      <c r="U30" s="12">
        <f t="shared" si="6"/>
        <v>0</v>
      </c>
      <c r="V30" s="14">
        <f t="shared" si="7"/>
        <v>0</v>
      </c>
    </row>
    <row r="31" spans="1:22" ht="15" x14ac:dyDescent="0.35">
      <c r="A31" s="5" t="str">
        <f t="shared" si="0"/>
        <v>PRD-00025</v>
      </c>
      <c r="B31" s="6" t="s">
        <v>108</v>
      </c>
      <c r="C31" s="5" t="s">
        <v>14</v>
      </c>
      <c r="D31" s="6" t="s">
        <v>109</v>
      </c>
      <c r="E31" s="6" t="s">
        <v>68</v>
      </c>
      <c r="F31" s="5" t="s">
        <v>46</v>
      </c>
      <c r="G31" s="8">
        <v>2.99</v>
      </c>
      <c r="H31" s="8">
        <v>1.5</v>
      </c>
      <c r="I31" s="8">
        <f t="shared" si="1"/>
        <v>2.99</v>
      </c>
      <c r="J31" s="7">
        <v>90</v>
      </c>
      <c r="K31" s="7">
        <f>SUMIF('Purchase Entry'!$C:$C, $A31, 'Purchase Entry'!$F:$F)</f>
        <v>0</v>
      </c>
      <c r="L31" s="7">
        <f>SUMIF('Sales Entry'!$C:$C, $A31, 'Sales Entry'!$E:$E)</f>
        <v>0</v>
      </c>
      <c r="M31" s="7">
        <f t="shared" si="2"/>
        <v>90</v>
      </c>
      <c r="N31" s="7">
        <v>20</v>
      </c>
      <c r="O31" s="5" t="s">
        <v>100</v>
      </c>
      <c r="P31" s="5" t="str">
        <f t="shared" si="3"/>
        <v>In Stock</v>
      </c>
      <c r="Q31" s="5" t="s">
        <v>48</v>
      </c>
      <c r="R31" s="7">
        <v>1</v>
      </c>
      <c r="S31" s="8">
        <f t="shared" si="4"/>
        <v>2.99</v>
      </c>
      <c r="T31" s="8">
        <f t="shared" si="5"/>
        <v>135</v>
      </c>
      <c r="U31" s="8">
        <f t="shared" si="6"/>
        <v>0</v>
      </c>
      <c r="V31" s="9">
        <f t="shared" si="7"/>
        <v>0</v>
      </c>
    </row>
    <row r="32" spans="1:22" ht="15" x14ac:dyDescent="0.35">
      <c r="A32" s="10" t="str">
        <f t="shared" si="0"/>
        <v>PRD-00026</v>
      </c>
      <c r="B32" s="11" t="s">
        <v>110</v>
      </c>
      <c r="C32" s="10" t="s">
        <v>14</v>
      </c>
      <c r="D32" s="11" t="s">
        <v>111</v>
      </c>
      <c r="E32" s="11" t="s">
        <v>68</v>
      </c>
      <c r="F32" s="10" t="s">
        <v>46</v>
      </c>
      <c r="G32" s="12">
        <v>1.0900000000000001</v>
      </c>
      <c r="H32" s="12">
        <v>0.5</v>
      </c>
      <c r="I32" s="12">
        <f t="shared" si="1"/>
        <v>1.0900000000000001</v>
      </c>
      <c r="J32" s="13">
        <v>200</v>
      </c>
      <c r="K32" s="7">
        <f>SUMIF('Purchase Entry'!$C:$C, $A32, 'Purchase Entry'!$F:$F)</f>
        <v>0</v>
      </c>
      <c r="L32" s="7">
        <f>SUMIF('Sales Entry'!$C:$C, $A32, 'Sales Entry'!$E:$E)</f>
        <v>0</v>
      </c>
      <c r="M32" s="13">
        <f t="shared" si="2"/>
        <v>200</v>
      </c>
      <c r="N32" s="7">
        <v>20</v>
      </c>
      <c r="O32" s="10" t="s">
        <v>100</v>
      </c>
      <c r="P32" s="10" t="str">
        <f t="shared" si="3"/>
        <v>In Stock</v>
      </c>
      <c r="Q32" s="10" t="s">
        <v>51</v>
      </c>
      <c r="R32" s="13">
        <v>1</v>
      </c>
      <c r="S32" s="12">
        <f t="shared" si="4"/>
        <v>1.0900000000000001</v>
      </c>
      <c r="T32" s="12">
        <f t="shared" si="5"/>
        <v>100</v>
      </c>
      <c r="U32" s="12">
        <f t="shared" si="6"/>
        <v>0</v>
      </c>
      <c r="V32" s="14">
        <f t="shared" si="7"/>
        <v>0</v>
      </c>
    </row>
    <row r="33" spans="1:22" ht="15" x14ac:dyDescent="0.35">
      <c r="A33" s="5" t="str">
        <f t="shared" si="0"/>
        <v>PRD-00027</v>
      </c>
      <c r="B33" s="6" t="s">
        <v>112</v>
      </c>
      <c r="C33" s="5" t="s">
        <v>14</v>
      </c>
      <c r="D33" s="6" t="s">
        <v>113</v>
      </c>
      <c r="E33" s="6" t="s">
        <v>68</v>
      </c>
      <c r="F33" s="5" t="s">
        <v>46</v>
      </c>
      <c r="G33" s="8">
        <v>2.4900000000000002</v>
      </c>
      <c r="H33" s="8">
        <v>1.2</v>
      </c>
      <c r="I33" s="8">
        <f t="shared" si="1"/>
        <v>2.4900000000000002</v>
      </c>
      <c r="J33" s="7">
        <v>75</v>
      </c>
      <c r="K33" s="7">
        <f>SUMIF('Purchase Entry'!$C:$C, $A33, 'Purchase Entry'!$F:$F)</f>
        <v>0</v>
      </c>
      <c r="L33" s="7">
        <f>SUMIF('Sales Entry'!$C:$C, $A33, 'Sales Entry'!$E:$E)</f>
        <v>0</v>
      </c>
      <c r="M33" s="7">
        <f t="shared" si="2"/>
        <v>75</v>
      </c>
      <c r="N33" s="7">
        <v>20</v>
      </c>
      <c r="O33" s="5" t="s">
        <v>100</v>
      </c>
      <c r="P33" s="5" t="str">
        <f t="shared" si="3"/>
        <v>In Stock</v>
      </c>
      <c r="Q33" s="5" t="s">
        <v>65</v>
      </c>
      <c r="R33" s="7">
        <v>1</v>
      </c>
      <c r="S33" s="8">
        <f t="shared" si="4"/>
        <v>2.4900000000000002</v>
      </c>
      <c r="T33" s="8">
        <f t="shared" si="5"/>
        <v>90</v>
      </c>
      <c r="U33" s="8">
        <f t="shared" si="6"/>
        <v>0</v>
      </c>
      <c r="V33" s="9">
        <f t="shared" si="7"/>
        <v>0</v>
      </c>
    </row>
    <row r="34" spans="1:22" ht="15" x14ac:dyDescent="0.35">
      <c r="A34" s="10" t="str">
        <f t="shared" si="0"/>
        <v>PRD-00028</v>
      </c>
      <c r="B34" s="11" t="s">
        <v>114</v>
      </c>
      <c r="C34" s="10" t="s">
        <v>14</v>
      </c>
      <c r="D34" s="11" t="s">
        <v>115</v>
      </c>
      <c r="E34" s="11" t="s">
        <v>68</v>
      </c>
      <c r="F34" s="10" t="s">
        <v>46</v>
      </c>
      <c r="G34" s="12">
        <v>7.99</v>
      </c>
      <c r="H34" s="12">
        <v>4.5</v>
      </c>
      <c r="I34" s="12">
        <f t="shared" si="1"/>
        <v>7.99</v>
      </c>
      <c r="J34" s="13">
        <v>60</v>
      </c>
      <c r="K34" s="7">
        <f>SUMIF('Purchase Entry'!$C:$C, $A34, 'Purchase Entry'!$F:$F)</f>
        <v>0</v>
      </c>
      <c r="L34" s="7">
        <f>SUMIF('Sales Entry'!$C:$C, $A34, 'Sales Entry'!$E:$E)</f>
        <v>0</v>
      </c>
      <c r="M34" s="13">
        <f t="shared" si="2"/>
        <v>60</v>
      </c>
      <c r="N34" s="13">
        <v>15</v>
      </c>
      <c r="O34" s="10" t="s">
        <v>100</v>
      </c>
      <c r="P34" s="10" t="str">
        <f t="shared" si="3"/>
        <v>In Stock</v>
      </c>
      <c r="Q34" s="10" t="s">
        <v>116</v>
      </c>
      <c r="R34" s="13">
        <v>1</v>
      </c>
      <c r="S34" s="12">
        <f t="shared" si="4"/>
        <v>7.99</v>
      </c>
      <c r="T34" s="12">
        <f t="shared" si="5"/>
        <v>270</v>
      </c>
      <c r="U34" s="12">
        <f t="shared" si="6"/>
        <v>0</v>
      </c>
      <c r="V34" s="14">
        <f t="shared" si="7"/>
        <v>0</v>
      </c>
    </row>
    <row r="35" spans="1:22" ht="15" x14ac:dyDescent="0.35">
      <c r="A35" s="5" t="str">
        <f t="shared" si="0"/>
        <v>PRD-00029</v>
      </c>
      <c r="B35" s="6" t="s">
        <v>117</v>
      </c>
      <c r="C35" s="5" t="s">
        <v>14</v>
      </c>
      <c r="D35" s="6" t="s">
        <v>118</v>
      </c>
      <c r="E35" s="6" t="s">
        <v>68</v>
      </c>
      <c r="F35" s="5" t="s">
        <v>46</v>
      </c>
      <c r="G35" s="8">
        <v>3.49</v>
      </c>
      <c r="H35" s="8">
        <v>1.8</v>
      </c>
      <c r="I35" s="8">
        <f t="shared" si="1"/>
        <v>3.49</v>
      </c>
      <c r="J35" s="7">
        <v>85</v>
      </c>
      <c r="K35" s="7">
        <f>SUMIF('Purchase Entry'!$C:$C, $A35, 'Purchase Entry'!$F:$F)</f>
        <v>0</v>
      </c>
      <c r="L35" s="7">
        <f>SUMIF('Sales Entry'!$C:$C, $A35, 'Sales Entry'!$E:$E)</f>
        <v>0</v>
      </c>
      <c r="M35" s="7">
        <f t="shared" si="2"/>
        <v>85</v>
      </c>
      <c r="N35" s="7">
        <v>20</v>
      </c>
      <c r="O35" s="5" t="s">
        <v>100</v>
      </c>
      <c r="P35" s="5" t="str">
        <f t="shared" si="3"/>
        <v>In Stock</v>
      </c>
      <c r="Q35" s="5" t="s">
        <v>48</v>
      </c>
      <c r="R35" s="7">
        <v>1</v>
      </c>
      <c r="S35" s="8">
        <f t="shared" si="4"/>
        <v>3.49</v>
      </c>
      <c r="T35" s="8">
        <f t="shared" si="5"/>
        <v>153</v>
      </c>
      <c r="U35" s="8">
        <f t="shared" si="6"/>
        <v>0</v>
      </c>
      <c r="V35" s="9">
        <f t="shared" si="7"/>
        <v>0</v>
      </c>
    </row>
    <row r="36" spans="1:22" ht="15" x14ac:dyDescent="0.35">
      <c r="A36" s="10" t="str">
        <f t="shared" si="0"/>
        <v>PRD-00030</v>
      </c>
      <c r="B36" s="11" t="s">
        <v>119</v>
      </c>
      <c r="C36" s="10" t="s">
        <v>14</v>
      </c>
      <c r="D36" s="11" t="s">
        <v>120</v>
      </c>
      <c r="E36" s="11" t="s">
        <v>68</v>
      </c>
      <c r="F36" s="10" t="s">
        <v>46</v>
      </c>
      <c r="G36" s="12">
        <v>1.49</v>
      </c>
      <c r="H36" s="12">
        <v>0.7</v>
      </c>
      <c r="I36" s="12">
        <f t="shared" si="1"/>
        <v>1.49</v>
      </c>
      <c r="J36" s="13">
        <v>140</v>
      </c>
      <c r="K36" s="7">
        <f>SUMIF('Purchase Entry'!$C:$C, $A36, 'Purchase Entry'!$F:$F)</f>
        <v>0</v>
      </c>
      <c r="L36" s="7">
        <f>SUMIF('Sales Entry'!$C:$C, $A36, 'Sales Entry'!$E:$E)</f>
        <v>0</v>
      </c>
      <c r="M36" s="13">
        <f t="shared" si="2"/>
        <v>140</v>
      </c>
      <c r="N36" s="13">
        <v>35</v>
      </c>
      <c r="O36" s="10" t="s">
        <v>100</v>
      </c>
      <c r="P36" s="10" t="str">
        <f t="shared" si="3"/>
        <v>In Stock</v>
      </c>
      <c r="Q36" s="10" t="s">
        <v>51</v>
      </c>
      <c r="R36" s="13">
        <v>1</v>
      </c>
      <c r="S36" s="12">
        <f t="shared" si="4"/>
        <v>1.49</v>
      </c>
      <c r="T36" s="12">
        <f t="shared" si="5"/>
        <v>98</v>
      </c>
      <c r="U36" s="12">
        <f t="shared" si="6"/>
        <v>0</v>
      </c>
      <c r="V36" s="14">
        <f t="shared" si="7"/>
        <v>0</v>
      </c>
    </row>
    <row r="37" spans="1:22" ht="15" x14ac:dyDescent="0.35">
      <c r="A37" s="5" t="str">
        <f t="shared" si="0"/>
        <v>PRD-00031</v>
      </c>
      <c r="B37" s="6" t="s">
        <v>121</v>
      </c>
      <c r="C37" s="5" t="s">
        <v>16</v>
      </c>
      <c r="D37" s="6" t="s">
        <v>122</v>
      </c>
      <c r="E37" s="6" t="s">
        <v>123</v>
      </c>
      <c r="F37" s="5" t="s">
        <v>46</v>
      </c>
      <c r="G37" s="8">
        <v>9.49</v>
      </c>
      <c r="H37" s="8">
        <v>4.5</v>
      </c>
      <c r="I37" s="8">
        <f t="shared" si="1"/>
        <v>9.49</v>
      </c>
      <c r="J37" s="7">
        <v>60</v>
      </c>
      <c r="K37" s="7">
        <f>SUMIF('Purchase Entry'!$C:$C, $A37, 'Purchase Entry'!$F:$F)</f>
        <v>45</v>
      </c>
      <c r="L37" s="7">
        <f>SUMIF('Sales Entry'!$C:$C, $A37, 'Sales Entry'!$E:$E)</f>
        <v>22</v>
      </c>
      <c r="M37" s="7">
        <f t="shared" si="2"/>
        <v>83</v>
      </c>
      <c r="N37" s="7">
        <v>15</v>
      </c>
      <c r="O37" s="5" t="s">
        <v>124</v>
      </c>
      <c r="P37" s="5" t="str">
        <f t="shared" si="3"/>
        <v>In Stock</v>
      </c>
      <c r="Q37" s="5" t="s">
        <v>51</v>
      </c>
      <c r="R37" s="7">
        <v>1</v>
      </c>
      <c r="S37" s="8">
        <f t="shared" si="4"/>
        <v>9.49</v>
      </c>
      <c r="T37" s="8">
        <f t="shared" si="5"/>
        <v>373.5</v>
      </c>
      <c r="U37" s="8">
        <f t="shared" si="6"/>
        <v>208.78</v>
      </c>
      <c r="V37" s="9">
        <f t="shared" si="7"/>
        <v>0.52581664910432035</v>
      </c>
    </row>
    <row r="38" spans="1:22" ht="15" x14ac:dyDescent="0.35">
      <c r="A38" s="10" t="str">
        <f t="shared" si="0"/>
        <v>PRD-00032</v>
      </c>
      <c r="B38" s="11" t="s">
        <v>125</v>
      </c>
      <c r="C38" s="10" t="s">
        <v>16</v>
      </c>
      <c r="D38" s="11" t="s">
        <v>126</v>
      </c>
      <c r="E38" s="11" t="s">
        <v>123</v>
      </c>
      <c r="F38" s="10" t="s">
        <v>46</v>
      </c>
      <c r="G38" s="12">
        <v>6.29</v>
      </c>
      <c r="H38" s="12">
        <v>3</v>
      </c>
      <c r="I38" s="12">
        <f t="shared" si="1"/>
        <v>6.29</v>
      </c>
      <c r="J38" s="13">
        <v>50</v>
      </c>
      <c r="K38" s="7">
        <f>SUMIF('Purchase Entry'!$C:$C, $A38, 'Purchase Entry'!$F:$F)</f>
        <v>0</v>
      </c>
      <c r="L38" s="7">
        <f>SUMIF('Sales Entry'!$C:$C, $A38, 'Sales Entry'!$E:$E)</f>
        <v>0</v>
      </c>
      <c r="M38" s="13">
        <f t="shared" si="2"/>
        <v>50</v>
      </c>
      <c r="N38" s="13">
        <v>12</v>
      </c>
      <c r="O38" s="10" t="s">
        <v>124</v>
      </c>
      <c r="P38" s="10" t="str">
        <f t="shared" si="3"/>
        <v>In Stock</v>
      </c>
      <c r="Q38" s="10" t="s">
        <v>51</v>
      </c>
      <c r="R38" s="13">
        <v>1</v>
      </c>
      <c r="S38" s="12">
        <f t="shared" si="4"/>
        <v>6.29</v>
      </c>
      <c r="T38" s="12">
        <f t="shared" si="5"/>
        <v>150</v>
      </c>
      <c r="U38" s="12">
        <f t="shared" si="6"/>
        <v>0</v>
      </c>
      <c r="V38" s="14">
        <f t="shared" si="7"/>
        <v>0</v>
      </c>
    </row>
    <row r="39" spans="1:22" ht="15" x14ac:dyDescent="0.35">
      <c r="A39" s="5" t="str">
        <f t="shared" ref="A39:A56" si="8">IF(ISBLANK(B39), "", "PRD-" &amp; TEXT(ROW()-6, "00000"))</f>
        <v>PRD-00033</v>
      </c>
      <c r="B39" s="6" t="s">
        <v>127</v>
      </c>
      <c r="C39" s="5" t="s">
        <v>16</v>
      </c>
      <c r="D39" s="6" t="s">
        <v>128</v>
      </c>
      <c r="E39" s="6" t="s">
        <v>123</v>
      </c>
      <c r="F39" s="5" t="s">
        <v>46</v>
      </c>
      <c r="G39" s="8">
        <v>5.49</v>
      </c>
      <c r="H39" s="8">
        <v>2.5</v>
      </c>
      <c r="I39" s="8">
        <f t="shared" ref="I39:I56" si="9">G39 * R39</f>
        <v>5.49</v>
      </c>
      <c r="J39" s="7">
        <v>70</v>
      </c>
      <c r="K39" s="7">
        <f>SUMIF('Purchase Entry'!$C:$C, $A39, 'Purchase Entry'!$F:$F)</f>
        <v>0</v>
      </c>
      <c r="L39" s="7">
        <f>SUMIF('Sales Entry'!$C:$C, $A39, 'Sales Entry'!$E:$E)</f>
        <v>0</v>
      </c>
      <c r="M39" s="7">
        <f t="shared" ref="M39:M56" si="10">J39 + K39 - L39</f>
        <v>70</v>
      </c>
      <c r="N39" s="7">
        <v>18</v>
      </c>
      <c r="O39" s="5" t="s">
        <v>124</v>
      </c>
      <c r="P39" s="5" t="str">
        <f t="shared" ref="P39:P56" si="11">IF(M39&lt;=0, "Out of Stock", IF(M39&lt;=N39, "Low Stock", "In Stock"))</f>
        <v>In Stock</v>
      </c>
      <c r="Q39" s="5" t="s">
        <v>65</v>
      </c>
      <c r="R39" s="7">
        <v>1</v>
      </c>
      <c r="S39" s="8">
        <f t="shared" ref="S39:S56" si="12">IF(R39&gt;1, I39 * 0.95, I39)</f>
        <v>5.49</v>
      </c>
      <c r="T39" s="8">
        <f t="shared" ref="T39:T56" si="13">M39 * H39</f>
        <v>175</v>
      </c>
      <c r="U39" s="8">
        <f t="shared" ref="U39:U56" si="14">L39 * I39</f>
        <v>0</v>
      </c>
      <c r="V39" s="9">
        <f t="shared" ref="V39:V56" si="15">IF(U39&gt;0, (U39 - (L39*H39)) / U39, 0)</f>
        <v>0</v>
      </c>
    </row>
    <row r="40" spans="1:22" ht="15" x14ac:dyDescent="0.35">
      <c r="A40" s="10" t="str">
        <f t="shared" si="8"/>
        <v>PRD-00034</v>
      </c>
      <c r="B40" s="11" t="s">
        <v>129</v>
      </c>
      <c r="C40" s="10" t="s">
        <v>16</v>
      </c>
      <c r="D40" s="11" t="s">
        <v>130</v>
      </c>
      <c r="E40" s="11" t="s">
        <v>123</v>
      </c>
      <c r="F40" s="10" t="s">
        <v>46</v>
      </c>
      <c r="G40" s="12">
        <v>3.99</v>
      </c>
      <c r="H40" s="12">
        <v>1.8</v>
      </c>
      <c r="I40" s="12">
        <f t="shared" si="9"/>
        <v>3.99</v>
      </c>
      <c r="J40" s="13">
        <v>90</v>
      </c>
      <c r="K40" s="7">
        <f>SUMIF('Purchase Entry'!$C:$C, $A40, 'Purchase Entry'!$F:$F)</f>
        <v>0</v>
      </c>
      <c r="L40" s="7">
        <f>SUMIF('Sales Entry'!$C:$C, $A40, 'Sales Entry'!$E:$E)</f>
        <v>0</v>
      </c>
      <c r="M40" s="13">
        <f t="shared" si="10"/>
        <v>90</v>
      </c>
      <c r="N40" s="13">
        <v>25</v>
      </c>
      <c r="O40" s="10" t="s">
        <v>124</v>
      </c>
      <c r="P40" s="10" t="str">
        <f t="shared" si="11"/>
        <v>In Stock</v>
      </c>
      <c r="Q40" s="10" t="s">
        <v>131</v>
      </c>
      <c r="R40" s="13">
        <v>1</v>
      </c>
      <c r="S40" s="12">
        <f t="shared" si="12"/>
        <v>3.99</v>
      </c>
      <c r="T40" s="12">
        <f t="shared" si="13"/>
        <v>162</v>
      </c>
      <c r="U40" s="12">
        <f t="shared" si="14"/>
        <v>0</v>
      </c>
      <c r="V40" s="14">
        <f t="shared" si="15"/>
        <v>0</v>
      </c>
    </row>
    <row r="41" spans="1:22" ht="15" x14ac:dyDescent="0.35">
      <c r="A41" s="5" t="str">
        <f t="shared" si="8"/>
        <v>PRD-00035</v>
      </c>
      <c r="B41" s="6" t="s">
        <v>132</v>
      </c>
      <c r="C41" s="5" t="s">
        <v>16</v>
      </c>
      <c r="D41" s="6" t="s">
        <v>133</v>
      </c>
      <c r="E41" s="6" t="s">
        <v>123</v>
      </c>
      <c r="F41" s="5" t="s">
        <v>46</v>
      </c>
      <c r="G41" s="8">
        <v>0.6</v>
      </c>
      <c r="H41" s="8">
        <v>15</v>
      </c>
      <c r="I41" s="8">
        <f t="shared" si="9"/>
        <v>30</v>
      </c>
      <c r="J41" s="7">
        <v>30</v>
      </c>
      <c r="K41" s="7">
        <f>SUMIF('Purchase Entry'!$C:$C, $A41, 'Purchase Entry'!$F:$F)</f>
        <v>0</v>
      </c>
      <c r="L41" s="7">
        <f>SUMIF('Sales Entry'!$C:$C, $A41, 'Sales Entry'!$E:$E)</f>
        <v>0</v>
      </c>
      <c r="M41" s="7">
        <f t="shared" si="10"/>
        <v>30</v>
      </c>
      <c r="N41" s="7">
        <v>8</v>
      </c>
      <c r="O41" s="5" t="s">
        <v>124</v>
      </c>
      <c r="P41" s="5" t="str">
        <f t="shared" si="11"/>
        <v>In Stock</v>
      </c>
      <c r="Q41" s="5" t="s">
        <v>48</v>
      </c>
      <c r="R41" s="7">
        <v>50</v>
      </c>
      <c r="S41" s="8">
        <f t="shared" si="12"/>
        <v>28.5</v>
      </c>
      <c r="T41" s="8">
        <f t="shared" si="13"/>
        <v>450</v>
      </c>
      <c r="U41" s="8">
        <f t="shared" si="14"/>
        <v>0</v>
      </c>
      <c r="V41" s="9">
        <f t="shared" si="15"/>
        <v>0</v>
      </c>
    </row>
    <row r="42" spans="1:22" ht="15" x14ac:dyDescent="0.35">
      <c r="A42" s="10" t="str">
        <f t="shared" si="8"/>
        <v>PRD-00036</v>
      </c>
      <c r="B42" s="11" t="s">
        <v>134</v>
      </c>
      <c r="C42" s="10" t="s">
        <v>16</v>
      </c>
      <c r="D42" s="11" t="s">
        <v>135</v>
      </c>
      <c r="E42" s="11" t="s">
        <v>123</v>
      </c>
      <c r="F42" s="10" t="s">
        <v>46</v>
      </c>
      <c r="G42" s="12">
        <v>10.49</v>
      </c>
      <c r="H42" s="12">
        <v>5</v>
      </c>
      <c r="I42" s="12">
        <f t="shared" si="9"/>
        <v>10.49</v>
      </c>
      <c r="J42" s="13">
        <v>65</v>
      </c>
      <c r="K42" s="7">
        <f>SUMIF('Purchase Entry'!$C:$C, $A42, 'Purchase Entry'!$F:$F)</f>
        <v>0</v>
      </c>
      <c r="L42" s="7">
        <f>SUMIF('Sales Entry'!$C:$C, $A42, 'Sales Entry'!$E:$E)</f>
        <v>0</v>
      </c>
      <c r="M42" s="13">
        <f t="shared" si="10"/>
        <v>65</v>
      </c>
      <c r="N42" s="13">
        <v>15</v>
      </c>
      <c r="O42" s="10" t="s">
        <v>124</v>
      </c>
      <c r="P42" s="10" t="str">
        <f t="shared" si="11"/>
        <v>In Stock</v>
      </c>
      <c r="Q42" s="10" t="s">
        <v>51</v>
      </c>
      <c r="R42" s="13">
        <v>1</v>
      </c>
      <c r="S42" s="12">
        <f t="shared" si="12"/>
        <v>10.49</v>
      </c>
      <c r="T42" s="12">
        <f t="shared" si="13"/>
        <v>325</v>
      </c>
      <c r="U42" s="12">
        <f t="shared" si="14"/>
        <v>0</v>
      </c>
      <c r="V42" s="14">
        <f t="shared" si="15"/>
        <v>0</v>
      </c>
    </row>
    <row r="43" spans="1:22" ht="15" x14ac:dyDescent="0.35">
      <c r="A43" s="5" t="str">
        <f t="shared" si="8"/>
        <v>PRD-00037</v>
      </c>
      <c r="B43" s="6" t="s">
        <v>136</v>
      </c>
      <c r="C43" s="5" t="s">
        <v>16</v>
      </c>
      <c r="D43" s="6" t="s">
        <v>137</v>
      </c>
      <c r="E43" s="6" t="s">
        <v>123</v>
      </c>
      <c r="F43" s="5" t="s">
        <v>46</v>
      </c>
      <c r="G43" s="8">
        <v>5.99</v>
      </c>
      <c r="H43" s="8">
        <v>2.8</v>
      </c>
      <c r="I43" s="8">
        <f t="shared" si="9"/>
        <v>5.99</v>
      </c>
      <c r="J43" s="7">
        <v>45</v>
      </c>
      <c r="K43" s="7">
        <f>SUMIF('Purchase Entry'!$C:$C, $A43, 'Purchase Entry'!$F:$F)</f>
        <v>0</v>
      </c>
      <c r="L43" s="7">
        <f>SUMIF('Sales Entry'!$C:$C, $A43, 'Sales Entry'!$E:$E)</f>
        <v>0</v>
      </c>
      <c r="M43" s="7">
        <f t="shared" si="10"/>
        <v>45</v>
      </c>
      <c r="N43" s="7">
        <v>10</v>
      </c>
      <c r="O43" s="5" t="s">
        <v>124</v>
      </c>
      <c r="P43" s="5" t="str">
        <f t="shared" si="11"/>
        <v>In Stock</v>
      </c>
      <c r="Q43" s="5" t="s">
        <v>131</v>
      </c>
      <c r="R43" s="7">
        <v>1</v>
      </c>
      <c r="S43" s="8">
        <f t="shared" si="12"/>
        <v>5.99</v>
      </c>
      <c r="T43" s="8">
        <f t="shared" si="13"/>
        <v>125.99999999999999</v>
      </c>
      <c r="U43" s="8">
        <f t="shared" si="14"/>
        <v>0</v>
      </c>
      <c r="V43" s="9">
        <f t="shared" si="15"/>
        <v>0</v>
      </c>
    </row>
    <row r="44" spans="1:22" ht="15" x14ac:dyDescent="0.35">
      <c r="A44" s="10" t="str">
        <f t="shared" si="8"/>
        <v>PRD-00038</v>
      </c>
      <c r="B44" s="11" t="s">
        <v>138</v>
      </c>
      <c r="C44" s="10" t="s">
        <v>16</v>
      </c>
      <c r="D44" s="11" t="s">
        <v>139</v>
      </c>
      <c r="E44" s="11" t="s">
        <v>123</v>
      </c>
      <c r="F44" s="10" t="s">
        <v>46</v>
      </c>
      <c r="G44" s="12">
        <v>12.99</v>
      </c>
      <c r="H44" s="12">
        <v>6</v>
      </c>
      <c r="I44" s="12">
        <f t="shared" si="9"/>
        <v>12.99</v>
      </c>
      <c r="J44" s="13">
        <v>40</v>
      </c>
      <c r="K44" s="7">
        <f>SUMIF('Purchase Entry'!$C:$C, $A44, 'Purchase Entry'!$F:$F)</f>
        <v>0</v>
      </c>
      <c r="L44" s="7">
        <f>SUMIF('Sales Entry'!$C:$C, $A44, 'Sales Entry'!$E:$E)</f>
        <v>0</v>
      </c>
      <c r="M44" s="13">
        <f t="shared" si="10"/>
        <v>40</v>
      </c>
      <c r="N44" s="13">
        <v>10</v>
      </c>
      <c r="O44" s="10" t="s">
        <v>124</v>
      </c>
      <c r="P44" s="10" t="str">
        <f t="shared" si="11"/>
        <v>In Stock</v>
      </c>
      <c r="Q44" s="10" t="s">
        <v>65</v>
      </c>
      <c r="R44" s="13">
        <v>1</v>
      </c>
      <c r="S44" s="12">
        <f t="shared" si="12"/>
        <v>12.99</v>
      </c>
      <c r="T44" s="12">
        <f t="shared" si="13"/>
        <v>240</v>
      </c>
      <c r="U44" s="12">
        <f t="shared" si="14"/>
        <v>0</v>
      </c>
      <c r="V44" s="14">
        <f t="shared" si="15"/>
        <v>0</v>
      </c>
    </row>
    <row r="45" spans="1:22" ht="15" x14ac:dyDescent="0.35">
      <c r="A45" s="5" t="str">
        <f t="shared" si="8"/>
        <v>PRD-00039</v>
      </c>
      <c r="B45" s="6" t="s">
        <v>140</v>
      </c>
      <c r="C45" s="5" t="s">
        <v>16</v>
      </c>
      <c r="D45" s="6" t="s">
        <v>141</v>
      </c>
      <c r="E45" s="6" t="s">
        <v>123</v>
      </c>
      <c r="F45" s="5" t="s">
        <v>46</v>
      </c>
      <c r="G45" s="8">
        <v>22.49</v>
      </c>
      <c r="H45" s="8">
        <v>12</v>
      </c>
      <c r="I45" s="8">
        <f t="shared" si="9"/>
        <v>22.49</v>
      </c>
      <c r="J45" s="7">
        <v>35</v>
      </c>
      <c r="K45" s="7">
        <f>SUMIF('Purchase Entry'!$C:$C, $A45, 'Purchase Entry'!$F:$F)</f>
        <v>0</v>
      </c>
      <c r="L45" s="7">
        <f>SUMIF('Sales Entry'!$C:$C, $A45, 'Sales Entry'!$E:$E)</f>
        <v>0</v>
      </c>
      <c r="M45" s="7">
        <f t="shared" si="10"/>
        <v>35</v>
      </c>
      <c r="N45" s="7">
        <v>8</v>
      </c>
      <c r="O45" s="5" t="s">
        <v>124</v>
      </c>
      <c r="P45" s="5" t="str">
        <f t="shared" si="11"/>
        <v>In Stock</v>
      </c>
      <c r="Q45" s="5" t="s">
        <v>51</v>
      </c>
      <c r="R45" s="7">
        <v>1</v>
      </c>
      <c r="S45" s="8">
        <f t="shared" si="12"/>
        <v>22.49</v>
      </c>
      <c r="T45" s="8">
        <f t="shared" si="13"/>
        <v>420</v>
      </c>
      <c r="U45" s="8">
        <f t="shared" si="14"/>
        <v>0</v>
      </c>
      <c r="V45" s="9">
        <f t="shared" si="15"/>
        <v>0</v>
      </c>
    </row>
    <row r="46" spans="1:22" ht="15" x14ac:dyDescent="0.35">
      <c r="A46" s="10" t="str">
        <f t="shared" si="8"/>
        <v>PRD-00040</v>
      </c>
      <c r="B46" s="11" t="s">
        <v>142</v>
      </c>
      <c r="C46" s="10" t="s">
        <v>16</v>
      </c>
      <c r="D46" s="11" t="s">
        <v>143</v>
      </c>
      <c r="E46" s="11" t="s">
        <v>123</v>
      </c>
      <c r="F46" s="10" t="s">
        <v>46</v>
      </c>
      <c r="G46" s="12">
        <v>4.8899999999999997</v>
      </c>
      <c r="H46" s="12">
        <v>2.2000000000000002</v>
      </c>
      <c r="I46" s="12">
        <f t="shared" si="9"/>
        <v>4.8899999999999997</v>
      </c>
      <c r="J46" s="13">
        <v>55</v>
      </c>
      <c r="K46" s="7">
        <f>SUMIF('Purchase Entry'!$C:$C, $A46, 'Purchase Entry'!$F:$F)</f>
        <v>0</v>
      </c>
      <c r="L46" s="7">
        <f>SUMIF('Sales Entry'!$C:$C, $A46, 'Sales Entry'!$E:$E)</f>
        <v>0</v>
      </c>
      <c r="M46" s="13">
        <f t="shared" si="10"/>
        <v>55</v>
      </c>
      <c r="N46" s="13">
        <v>12</v>
      </c>
      <c r="O46" s="10" t="s">
        <v>124</v>
      </c>
      <c r="P46" s="10" t="str">
        <f t="shared" si="11"/>
        <v>In Stock</v>
      </c>
      <c r="Q46" s="10" t="s">
        <v>131</v>
      </c>
      <c r="R46" s="13">
        <v>1</v>
      </c>
      <c r="S46" s="12">
        <f t="shared" si="12"/>
        <v>4.8899999999999997</v>
      </c>
      <c r="T46" s="12">
        <f t="shared" si="13"/>
        <v>121.00000000000001</v>
      </c>
      <c r="U46" s="12">
        <f t="shared" si="14"/>
        <v>0</v>
      </c>
      <c r="V46" s="14">
        <f t="shared" si="15"/>
        <v>0</v>
      </c>
    </row>
    <row r="47" spans="1:22" ht="15" x14ac:dyDescent="0.35">
      <c r="A47" s="5" t="str">
        <f t="shared" si="8"/>
        <v>PRD-00041</v>
      </c>
      <c r="B47" s="6" t="s">
        <v>144</v>
      </c>
      <c r="C47" s="5" t="s">
        <v>18</v>
      </c>
      <c r="D47" s="6" t="s">
        <v>145</v>
      </c>
      <c r="E47" s="6" t="s">
        <v>54</v>
      </c>
      <c r="F47" s="5" t="s">
        <v>46</v>
      </c>
      <c r="G47" s="8">
        <v>599.99</v>
      </c>
      <c r="H47" s="8">
        <v>380</v>
      </c>
      <c r="I47" s="8">
        <f t="shared" si="9"/>
        <v>599.99</v>
      </c>
      <c r="J47" s="7">
        <v>4</v>
      </c>
      <c r="K47" s="7">
        <f>SUMIF('Purchase Entry'!$C:$C, $A47, 'Purchase Entry'!$F:$F)</f>
        <v>8</v>
      </c>
      <c r="L47" s="7">
        <f>SUMIF('Sales Entry'!$C:$C, $A47, 'Sales Entry'!$E:$E)</f>
        <v>12</v>
      </c>
      <c r="M47" s="7">
        <f t="shared" si="10"/>
        <v>0</v>
      </c>
      <c r="N47" s="7">
        <v>2</v>
      </c>
      <c r="O47" s="5" t="s">
        <v>69</v>
      </c>
      <c r="P47" s="5" t="str">
        <f t="shared" si="11"/>
        <v>Out of Stock</v>
      </c>
      <c r="Q47" s="5" t="s">
        <v>51</v>
      </c>
      <c r="R47" s="7">
        <v>1</v>
      </c>
      <c r="S47" s="8">
        <f t="shared" si="12"/>
        <v>599.99</v>
      </c>
      <c r="T47" s="8">
        <f t="shared" si="13"/>
        <v>0</v>
      </c>
      <c r="U47" s="8">
        <f t="shared" si="14"/>
        <v>7199.88</v>
      </c>
      <c r="V47" s="9">
        <f t="shared" si="15"/>
        <v>0.36665611093518224</v>
      </c>
    </row>
    <row r="48" spans="1:22" ht="15" x14ac:dyDescent="0.35">
      <c r="A48" s="10" t="str">
        <f t="shared" si="8"/>
        <v>PRD-00042</v>
      </c>
      <c r="B48" s="11" t="s">
        <v>146</v>
      </c>
      <c r="C48" s="10" t="s">
        <v>18</v>
      </c>
      <c r="D48" s="11" t="s">
        <v>147</v>
      </c>
      <c r="E48" s="11" t="s">
        <v>54</v>
      </c>
      <c r="F48" s="10" t="s">
        <v>46</v>
      </c>
      <c r="G48" s="12">
        <v>89.99</v>
      </c>
      <c r="H48" s="12">
        <v>50</v>
      </c>
      <c r="I48" s="12">
        <f t="shared" si="9"/>
        <v>89.99</v>
      </c>
      <c r="J48" s="13">
        <v>8</v>
      </c>
      <c r="K48" s="7">
        <f>SUMIF('Purchase Entry'!$C:$C, $A48, 'Purchase Entry'!$F:$F)</f>
        <v>0</v>
      </c>
      <c r="L48" s="7">
        <f>SUMIF('Sales Entry'!$C:$C, $A48, 'Sales Entry'!$E:$E)</f>
        <v>0</v>
      </c>
      <c r="M48" s="13">
        <f t="shared" si="10"/>
        <v>8</v>
      </c>
      <c r="N48" s="13">
        <v>3</v>
      </c>
      <c r="O48" s="10" t="s">
        <v>148</v>
      </c>
      <c r="P48" s="10" t="str">
        <f t="shared" si="11"/>
        <v>In Stock</v>
      </c>
      <c r="Q48" s="10" t="s">
        <v>48</v>
      </c>
      <c r="R48" s="13">
        <v>1</v>
      </c>
      <c r="S48" s="12">
        <f t="shared" si="12"/>
        <v>89.99</v>
      </c>
      <c r="T48" s="12">
        <f t="shared" si="13"/>
        <v>400</v>
      </c>
      <c r="U48" s="12">
        <f t="shared" si="14"/>
        <v>0</v>
      </c>
      <c r="V48" s="14">
        <f t="shared" si="15"/>
        <v>0</v>
      </c>
    </row>
    <row r="49" spans="1:22" ht="15" x14ac:dyDescent="0.35">
      <c r="A49" s="5" t="str">
        <f t="shared" si="8"/>
        <v>PRD-00043</v>
      </c>
      <c r="B49" s="6" t="s">
        <v>149</v>
      </c>
      <c r="C49" s="5" t="s">
        <v>18</v>
      </c>
      <c r="D49" s="6" t="s">
        <v>150</v>
      </c>
      <c r="E49" s="6" t="s">
        <v>54</v>
      </c>
      <c r="F49" s="5" t="s">
        <v>46</v>
      </c>
      <c r="G49" s="8">
        <v>79.989999999999995</v>
      </c>
      <c r="H49" s="8">
        <v>45</v>
      </c>
      <c r="I49" s="8">
        <f t="shared" si="9"/>
        <v>79.989999999999995</v>
      </c>
      <c r="J49" s="7">
        <v>15</v>
      </c>
      <c r="K49" s="7">
        <f>SUMIF('Purchase Entry'!$C:$C, $A49, 'Purchase Entry'!$F:$F)</f>
        <v>0</v>
      </c>
      <c r="L49" s="7">
        <f>SUMIF('Sales Entry'!$C:$C, $A49, 'Sales Entry'!$E:$E)</f>
        <v>0</v>
      </c>
      <c r="M49" s="7">
        <f t="shared" si="10"/>
        <v>15</v>
      </c>
      <c r="N49" s="7">
        <v>4</v>
      </c>
      <c r="O49" s="5" t="s">
        <v>148</v>
      </c>
      <c r="P49" s="5" t="str">
        <f t="shared" si="11"/>
        <v>In Stock</v>
      </c>
      <c r="Q49" s="5" t="s">
        <v>48</v>
      </c>
      <c r="R49" s="7">
        <v>1</v>
      </c>
      <c r="S49" s="8">
        <f t="shared" si="12"/>
        <v>79.989999999999995</v>
      </c>
      <c r="T49" s="8">
        <f t="shared" si="13"/>
        <v>675</v>
      </c>
      <c r="U49" s="8">
        <f t="shared" si="14"/>
        <v>0</v>
      </c>
      <c r="V49" s="9">
        <f t="shared" si="15"/>
        <v>0</v>
      </c>
    </row>
    <row r="50" spans="1:22" ht="15" x14ac:dyDescent="0.35">
      <c r="A50" s="10" t="str">
        <f t="shared" si="8"/>
        <v>PRD-00044</v>
      </c>
      <c r="B50" s="11" t="s">
        <v>151</v>
      </c>
      <c r="C50" s="10" t="s">
        <v>18</v>
      </c>
      <c r="D50" s="11" t="s">
        <v>152</v>
      </c>
      <c r="E50" s="11" t="s">
        <v>61</v>
      </c>
      <c r="F50" s="10" t="s">
        <v>153</v>
      </c>
      <c r="G50" s="12">
        <v>3.5</v>
      </c>
      <c r="H50" s="12">
        <v>18</v>
      </c>
      <c r="I50" s="12">
        <f t="shared" si="9"/>
        <v>35</v>
      </c>
      <c r="J50" s="13">
        <v>20</v>
      </c>
      <c r="K50" s="7">
        <f>SUMIF('Purchase Entry'!$C:$C, $A50, 'Purchase Entry'!$F:$F)</f>
        <v>0</v>
      </c>
      <c r="L50" s="7">
        <f>SUMIF('Sales Entry'!$C:$C, $A50, 'Sales Entry'!$E:$E)</f>
        <v>0</v>
      </c>
      <c r="M50" s="13">
        <f t="shared" si="10"/>
        <v>20</v>
      </c>
      <c r="N50" s="13">
        <v>6</v>
      </c>
      <c r="O50" s="10" t="s">
        <v>148</v>
      </c>
      <c r="P50" s="10" t="str">
        <f t="shared" si="11"/>
        <v>In Stock</v>
      </c>
      <c r="Q50" s="10" t="s">
        <v>74</v>
      </c>
      <c r="R50" s="13">
        <v>10</v>
      </c>
      <c r="S50" s="12">
        <f t="shared" si="12"/>
        <v>33.25</v>
      </c>
      <c r="T50" s="12">
        <f t="shared" si="13"/>
        <v>360</v>
      </c>
      <c r="U50" s="12">
        <f t="shared" si="14"/>
        <v>0</v>
      </c>
      <c r="V50" s="14">
        <f t="shared" si="15"/>
        <v>0</v>
      </c>
    </row>
    <row r="51" spans="1:22" ht="15" x14ac:dyDescent="0.35">
      <c r="A51" s="5" t="str">
        <f t="shared" si="8"/>
        <v>PRD-00045</v>
      </c>
      <c r="B51" s="6" t="s">
        <v>154</v>
      </c>
      <c r="C51" s="5" t="s">
        <v>18</v>
      </c>
      <c r="D51" s="6" t="s">
        <v>155</v>
      </c>
      <c r="E51" s="6" t="s">
        <v>45</v>
      </c>
      <c r="F51" s="5" t="s">
        <v>46</v>
      </c>
      <c r="G51" s="8">
        <v>69.989999999999995</v>
      </c>
      <c r="H51" s="8">
        <v>40</v>
      </c>
      <c r="I51" s="8">
        <f t="shared" si="9"/>
        <v>69.989999999999995</v>
      </c>
      <c r="J51" s="7">
        <v>12</v>
      </c>
      <c r="K51" s="7">
        <f>SUMIF('Purchase Entry'!$C:$C, $A51, 'Purchase Entry'!$F:$F)</f>
        <v>0</v>
      </c>
      <c r="L51" s="7">
        <f>SUMIF('Sales Entry'!$C:$C, $A51, 'Sales Entry'!$E:$E)</f>
        <v>0</v>
      </c>
      <c r="M51" s="7">
        <f t="shared" si="10"/>
        <v>12</v>
      </c>
      <c r="N51" s="7">
        <v>3</v>
      </c>
      <c r="O51" s="5" t="s">
        <v>148</v>
      </c>
      <c r="P51" s="5" t="str">
        <f t="shared" si="11"/>
        <v>In Stock</v>
      </c>
      <c r="Q51" s="5" t="s">
        <v>51</v>
      </c>
      <c r="R51" s="7">
        <v>1</v>
      </c>
      <c r="S51" s="8">
        <f t="shared" si="12"/>
        <v>69.989999999999995</v>
      </c>
      <c r="T51" s="8">
        <f t="shared" si="13"/>
        <v>480</v>
      </c>
      <c r="U51" s="8">
        <f t="shared" si="14"/>
        <v>0</v>
      </c>
      <c r="V51" s="9">
        <f t="shared" si="15"/>
        <v>0</v>
      </c>
    </row>
    <row r="52" spans="1:22" ht="15" x14ac:dyDescent="0.35">
      <c r="A52" s="10" t="str">
        <f t="shared" si="8"/>
        <v>PRD-00046</v>
      </c>
      <c r="B52" s="11" t="s">
        <v>156</v>
      </c>
      <c r="C52" s="10" t="s">
        <v>18</v>
      </c>
      <c r="D52" s="11" t="s">
        <v>157</v>
      </c>
      <c r="E52" s="11" t="s">
        <v>61</v>
      </c>
      <c r="F52" s="10" t="s">
        <v>46</v>
      </c>
      <c r="G52" s="12">
        <v>19.989999999999998</v>
      </c>
      <c r="H52" s="12">
        <v>10</v>
      </c>
      <c r="I52" s="12">
        <f t="shared" si="9"/>
        <v>19.989999999999998</v>
      </c>
      <c r="J52" s="13">
        <v>25</v>
      </c>
      <c r="K52" s="7">
        <f>SUMIF('Purchase Entry'!$C:$C, $A52, 'Purchase Entry'!$F:$F)</f>
        <v>0</v>
      </c>
      <c r="L52" s="7">
        <f>SUMIF('Sales Entry'!$C:$C, $A52, 'Sales Entry'!$E:$E)</f>
        <v>0</v>
      </c>
      <c r="M52" s="13">
        <f t="shared" si="10"/>
        <v>25</v>
      </c>
      <c r="N52" s="13">
        <v>6</v>
      </c>
      <c r="O52" s="10" t="s">
        <v>148</v>
      </c>
      <c r="P52" s="10" t="str">
        <f t="shared" si="11"/>
        <v>In Stock</v>
      </c>
      <c r="Q52" s="10" t="s">
        <v>78</v>
      </c>
      <c r="R52" s="13">
        <v>1</v>
      </c>
      <c r="S52" s="12">
        <f t="shared" si="12"/>
        <v>19.989999999999998</v>
      </c>
      <c r="T52" s="12">
        <f t="shared" si="13"/>
        <v>250</v>
      </c>
      <c r="U52" s="12">
        <f t="shared" si="14"/>
        <v>0</v>
      </c>
      <c r="V52" s="14">
        <f t="shared" si="15"/>
        <v>0</v>
      </c>
    </row>
    <row r="53" spans="1:22" ht="15" x14ac:dyDescent="0.35">
      <c r="A53" s="5" t="str">
        <f t="shared" si="8"/>
        <v>PRD-00047</v>
      </c>
      <c r="B53" s="6" t="s">
        <v>158</v>
      </c>
      <c r="C53" s="5" t="s">
        <v>18</v>
      </c>
      <c r="D53" s="6" t="s">
        <v>159</v>
      </c>
      <c r="E53" s="6" t="s">
        <v>61</v>
      </c>
      <c r="F53" s="5" t="s">
        <v>46</v>
      </c>
      <c r="G53" s="8">
        <v>24.9</v>
      </c>
      <c r="H53" s="8">
        <v>14</v>
      </c>
      <c r="I53" s="8">
        <f t="shared" si="9"/>
        <v>24.9</v>
      </c>
      <c r="J53" s="7">
        <v>18</v>
      </c>
      <c r="K53" s="7">
        <f>SUMIF('Purchase Entry'!$C:$C, $A53, 'Purchase Entry'!$F:$F)</f>
        <v>0</v>
      </c>
      <c r="L53" s="7">
        <f>SUMIF('Sales Entry'!$C:$C, $A53, 'Sales Entry'!$E:$E)</f>
        <v>0</v>
      </c>
      <c r="M53" s="7">
        <f t="shared" si="10"/>
        <v>18</v>
      </c>
      <c r="N53" s="7">
        <v>5</v>
      </c>
      <c r="O53" s="5" t="s">
        <v>148</v>
      </c>
      <c r="P53" s="5" t="str">
        <f t="shared" si="11"/>
        <v>In Stock</v>
      </c>
      <c r="Q53" s="5" t="s">
        <v>74</v>
      </c>
      <c r="R53" s="7">
        <v>1</v>
      </c>
      <c r="S53" s="8">
        <f t="shared" si="12"/>
        <v>24.9</v>
      </c>
      <c r="T53" s="8">
        <f t="shared" si="13"/>
        <v>252</v>
      </c>
      <c r="U53" s="8">
        <f t="shared" si="14"/>
        <v>0</v>
      </c>
      <c r="V53" s="9">
        <f t="shared" si="15"/>
        <v>0</v>
      </c>
    </row>
    <row r="54" spans="1:22" ht="15" x14ac:dyDescent="0.35">
      <c r="A54" s="10" t="str">
        <f t="shared" si="8"/>
        <v>PRD-00048</v>
      </c>
      <c r="B54" s="11" t="s">
        <v>160</v>
      </c>
      <c r="C54" s="10" t="s">
        <v>18</v>
      </c>
      <c r="D54" s="11" t="s">
        <v>161</v>
      </c>
      <c r="E54" s="11" t="s">
        <v>61</v>
      </c>
      <c r="F54" s="10" t="s">
        <v>153</v>
      </c>
      <c r="G54" s="12">
        <v>7.5</v>
      </c>
      <c r="H54" s="12">
        <v>45</v>
      </c>
      <c r="I54" s="12">
        <f t="shared" si="9"/>
        <v>90</v>
      </c>
      <c r="J54" s="13">
        <v>10</v>
      </c>
      <c r="K54" s="7">
        <f>SUMIF('Purchase Entry'!$C:$C, $A54, 'Purchase Entry'!$F:$F)</f>
        <v>0</v>
      </c>
      <c r="L54" s="7">
        <f>SUMIF('Sales Entry'!$C:$C, $A54, 'Sales Entry'!$E:$E)</f>
        <v>0</v>
      </c>
      <c r="M54" s="13">
        <f t="shared" si="10"/>
        <v>10</v>
      </c>
      <c r="N54" s="13">
        <v>3</v>
      </c>
      <c r="O54" s="10" t="s">
        <v>69</v>
      </c>
      <c r="P54" s="10" t="str">
        <f t="shared" si="11"/>
        <v>In Stock</v>
      </c>
      <c r="Q54" s="10" t="s">
        <v>48</v>
      </c>
      <c r="R54" s="13">
        <v>12</v>
      </c>
      <c r="S54" s="12">
        <f t="shared" si="12"/>
        <v>85.5</v>
      </c>
      <c r="T54" s="12">
        <f t="shared" si="13"/>
        <v>450</v>
      </c>
      <c r="U54" s="12">
        <f t="shared" si="14"/>
        <v>0</v>
      </c>
      <c r="V54" s="14">
        <f t="shared" si="15"/>
        <v>0</v>
      </c>
    </row>
    <row r="55" spans="1:22" ht="15" x14ac:dyDescent="0.35">
      <c r="A55" s="5" t="str">
        <f t="shared" si="8"/>
        <v>PRD-00049</v>
      </c>
      <c r="B55" s="6" t="s">
        <v>162</v>
      </c>
      <c r="C55" s="5" t="s">
        <v>18</v>
      </c>
      <c r="D55" s="6" t="s">
        <v>163</v>
      </c>
      <c r="E55" s="6" t="s">
        <v>54</v>
      </c>
      <c r="F55" s="5" t="s">
        <v>46</v>
      </c>
      <c r="G55" s="8">
        <v>179.99</v>
      </c>
      <c r="H55" s="8">
        <v>110</v>
      </c>
      <c r="I55" s="8">
        <f t="shared" si="9"/>
        <v>179.99</v>
      </c>
      <c r="J55" s="7">
        <v>5</v>
      </c>
      <c r="K55" s="7">
        <f>SUMIF('Purchase Entry'!$C:$C, $A55, 'Purchase Entry'!$F:$F)</f>
        <v>0</v>
      </c>
      <c r="L55" s="7">
        <f>SUMIF('Sales Entry'!$C:$C, $A55, 'Sales Entry'!$E:$E)</f>
        <v>0</v>
      </c>
      <c r="M55" s="7">
        <f t="shared" si="10"/>
        <v>5</v>
      </c>
      <c r="N55" s="7">
        <v>2</v>
      </c>
      <c r="O55" s="5" t="s">
        <v>148</v>
      </c>
      <c r="P55" s="5" t="str">
        <f t="shared" si="11"/>
        <v>In Stock</v>
      </c>
      <c r="Q55" s="5" t="s">
        <v>131</v>
      </c>
      <c r="R55" s="7">
        <v>1</v>
      </c>
      <c r="S55" s="8">
        <f t="shared" si="12"/>
        <v>179.99</v>
      </c>
      <c r="T55" s="8">
        <f t="shared" si="13"/>
        <v>550</v>
      </c>
      <c r="U55" s="8">
        <f t="shared" si="14"/>
        <v>0</v>
      </c>
      <c r="V55" s="9">
        <f t="shared" si="15"/>
        <v>0</v>
      </c>
    </row>
    <row r="56" spans="1:22" ht="15" x14ac:dyDescent="0.35">
      <c r="A56" s="10" t="str">
        <f t="shared" si="8"/>
        <v>PRD-00050</v>
      </c>
      <c r="B56" s="11" t="s">
        <v>164</v>
      </c>
      <c r="C56" s="10" t="s">
        <v>18</v>
      </c>
      <c r="D56" s="11" t="s">
        <v>165</v>
      </c>
      <c r="E56" s="11" t="s">
        <v>61</v>
      </c>
      <c r="F56" s="10" t="s">
        <v>46</v>
      </c>
      <c r="G56" s="12">
        <v>21.99</v>
      </c>
      <c r="H56" s="12">
        <v>12</v>
      </c>
      <c r="I56" s="12">
        <f t="shared" si="9"/>
        <v>21.99</v>
      </c>
      <c r="J56" s="13">
        <v>22</v>
      </c>
      <c r="K56" s="7">
        <f>SUMIF('Purchase Entry'!$C:$C, $A56, 'Purchase Entry'!$F:$F)</f>
        <v>0</v>
      </c>
      <c r="L56" s="7">
        <f>SUMIF('Sales Entry'!$C:$C, $A56, 'Sales Entry'!$E:$E)</f>
        <v>0</v>
      </c>
      <c r="M56" s="13">
        <f t="shared" si="10"/>
        <v>22</v>
      </c>
      <c r="N56" s="13">
        <v>6</v>
      </c>
      <c r="O56" s="10" t="s">
        <v>148</v>
      </c>
      <c r="P56" s="10" t="str">
        <f t="shared" si="11"/>
        <v>In Stock</v>
      </c>
      <c r="Q56" s="10" t="s">
        <v>48</v>
      </c>
      <c r="R56" s="13">
        <v>1</v>
      </c>
      <c r="S56" s="12">
        <f t="shared" si="12"/>
        <v>21.99</v>
      </c>
      <c r="T56" s="12">
        <f t="shared" si="13"/>
        <v>264</v>
      </c>
      <c r="U56" s="12">
        <f t="shared" si="14"/>
        <v>0</v>
      </c>
      <c r="V56" s="14">
        <f t="shared" si="15"/>
        <v>0</v>
      </c>
    </row>
  </sheetData>
  <mergeCells count="1">
    <mergeCell ref="A1:V2"/>
  </mergeCells>
  <conditionalFormatting sqref="P7:P56">
    <cfRule type="cellIs" dxfId="2" priority="1" stopIfTrue="1" operator="equal">
      <formula>"In Stock"</formula>
    </cfRule>
    <cfRule type="cellIs" dxfId="1" priority="2" stopIfTrue="1" operator="equal">
      <formula>"Low Stock"</formula>
    </cfRule>
    <cfRule type="cellIs" dxfId="0" priority="3" stopIfTrue="1" operator="equal">
      <formula>"Out of Stock"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ReferenceLists!$A$2:$A$6</xm:f>
          </x14:formula1>
          <xm:sqref>C7:C56</xm:sqref>
        </x14:dataValidation>
        <x14:dataValidation type="list" allowBlank="1" xr:uid="{00000000-0002-0000-0100-000001000000}">
          <x14:formula1>
            <xm:f>ReferenceLists!$B$2:$B$6</xm:f>
          </x14:formula1>
          <xm:sqref>O7:O56</xm:sqref>
        </x14:dataValidation>
        <x14:dataValidation type="list" allowBlank="1" xr:uid="{00000000-0002-0000-0100-000002000000}">
          <x14:formula1>
            <xm:f>'Supplier Management'!$B$7:$B$16</xm:f>
          </x14:formula1>
          <xm:sqref>E7:E56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4"/>
  <sheetViews>
    <sheetView zoomScale="60" workbookViewId="0">
      <pane ySplit="6" topLeftCell="A7" activePane="bottomLeft" state="frozen"/>
      <selection pane="bottomLeft" activeCell="O4" sqref="O4"/>
    </sheetView>
  </sheetViews>
  <sheetFormatPr defaultRowHeight="14.4" x14ac:dyDescent="0.3"/>
  <cols>
    <col min="1" max="1" width="24" customWidth="1"/>
    <col min="2" max="3" width="13" customWidth="1"/>
    <col min="4" max="5" width="18" customWidth="1"/>
    <col min="6" max="6" width="21" customWidth="1"/>
    <col min="7" max="7" width="18" customWidth="1"/>
    <col min="8" max="9" width="13" customWidth="1"/>
    <col min="10" max="11" width="11" customWidth="1"/>
    <col min="12" max="12" width="13" customWidth="1"/>
    <col min="13" max="14" width="11" customWidth="1"/>
    <col min="15" max="15" width="13" customWidth="1"/>
    <col min="16" max="17" width="11" customWidth="1"/>
    <col min="18" max="18" width="13" customWidth="1"/>
    <col min="19" max="20" width="11" customWidth="1"/>
  </cols>
  <sheetData>
    <row r="1" spans="1:20" ht="19.95" customHeight="1" x14ac:dyDescent="0.3">
      <c r="A1" s="17" t="s">
        <v>166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19.95" customHeight="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0" ht="10.050000000000001" customHeight="1" x14ac:dyDescent="0.3"/>
    <row r="4" spans="1:20" ht="25.05" customHeight="1" x14ac:dyDescent="0.3">
      <c r="A4" s="1" t="str">
        <f>HYPERLINK("#'Dashboard'!A1", "📊 Dashboard")</f>
        <v>📊 Dashboard</v>
      </c>
      <c r="B4" s="2"/>
      <c r="C4" s="2"/>
      <c r="D4" s="1" t="str">
        <f>HYPERLINK("#'Product Master'!A1", "📦 Product Master")</f>
        <v>📦 Product Master</v>
      </c>
      <c r="E4" s="2"/>
      <c r="F4" s="2"/>
      <c r="G4" s="2"/>
      <c r="H4" s="1" t="str">
        <f>HYPERLINK("#'Purchase Entry'!A1", "📥 Purchase Entry")</f>
        <v>📥 Purchase Entry</v>
      </c>
      <c r="I4" s="1" t="str">
        <f>HYPERLINK("#'Sales Entry'!A1", "📤 Sales Entry")</f>
        <v>📤 Sales Entry</v>
      </c>
      <c r="J4" s="2"/>
      <c r="K4" s="2"/>
      <c r="L4" s="1" t="str">
        <f>HYPERLINK("#'Supplier Management'!A1", "🤝 Suppliers")</f>
        <v>🤝 Suppliers</v>
      </c>
      <c r="M4" s="2"/>
      <c r="N4" s="2"/>
      <c r="O4" s="1" t="str">
        <f>HYPERLINK("#'Reports'!A1", "📈 Reports")</f>
        <v>📈 Reports</v>
      </c>
      <c r="P4" s="2"/>
      <c r="Q4" s="2"/>
      <c r="R4" s="1"/>
      <c r="S4" s="2"/>
      <c r="T4" s="2"/>
    </row>
    <row r="5" spans="1:20" ht="15" customHeight="1" x14ac:dyDescent="0.3"/>
    <row r="6" spans="1:20" ht="15" x14ac:dyDescent="0.3">
      <c r="A6" s="4" t="s">
        <v>167</v>
      </c>
      <c r="B6" s="4" t="s">
        <v>168</v>
      </c>
      <c r="C6" s="4" t="s">
        <v>22</v>
      </c>
      <c r="D6" s="4" t="s">
        <v>23</v>
      </c>
      <c r="E6" s="4" t="s">
        <v>169</v>
      </c>
      <c r="F6" s="4" t="s">
        <v>170</v>
      </c>
      <c r="G6" s="4" t="s">
        <v>33</v>
      </c>
      <c r="H6" s="4" t="s">
        <v>171</v>
      </c>
    </row>
    <row r="7" spans="1:20" ht="15" x14ac:dyDescent="0.35">
      <c r="A7" s="5" t="str">
        <f t="shared" ref="A7:A24" si="0">"PUR-" &amp; TEXT(ROW()-6, "00000")</f>
        <v>PUR-00001</v>
      </c>
      <c r="B7" s="15">
        <v>46037</v>
      </c>
      <c r="C7" s="5" t="s">
        <v>172</v>
      </c>
      <c r="D7" s="6" t="str">
        <f>IF(C7="", "", VLOOKUP(C7, 'Product Master'!$A:$H, 2, FALSE))</f>
        <v>Sony WH-1000XM4 Headphones</v>
      </c>
      <c r="E7" s="6" t="str">
        <f>IFERROR(VLOOKUP(C7, ProductMaster, 5, FALSE), "")</f>
        <v/>
      </c>
      <c r="F7" s="7">
        <v>10</v>
      </c>
      <c r="G7" s="8">
        <f>IFERROR(VLOOKUP(C7, ProductMaster, 8, FALSE), 0)</f>
        <v>0</v>
      </c>
      <c r="H7" s="8">
        <f t="shared" ref="H7:H24" si="1">F7 * G7</f>
        <v>0</v>
      </c>
    </row>
    <row r="8" spans="1:20" ht="15" x14ac:dyDescent="0.35">
      <c r="A8" s="10" t="str">
        <f t="shared" si="0"/>
        <v>PUR-00002</v>
      </c>
      <c r="B8" s="16">
        <v>46042</v>
      </c>
      <c r="C8" s="10" t="s">
        <v>173</v>
      </c>
      <c r="D8" s="6" t="str">
        <f>IF(C8="", "", VLOOKUP(C8, 'Product Master'!$A:$H, 2, FALSE))</f>
        <v>Samsung 27" Curved Monitor</v>
      </c>
      <c r="E8" s="11" t="str">
        <f>IF(C7="", "", VLOOKUP(C7, 'Product Master'!$A:$H, 5, FALSE))</f>
        <v>Apex Distributors</v>
      </c>
      <c r="F8" s="13">
        <v>15</v>
      </c>
      <c r="G8" s="12">
        <f>IF(C7="", "", VLOOKUP(C7, 'Product Master'!$A:$H, 8, FALSE))</f>
        <v>180</v>
      </c>
      <c r="H8" s="12">
        <f t="shared" si="1"/>
        <v>2700</v>
      </c>
    </row>
    <row r="9" spans="1:20" ht="15" x14ac:dyDescent="0.35">
      <c r="A9" s="5" t="str">
        <f t="shared" si="0"/>
        <v>PUR-00003</v>
      </c>
      <c r="B9" s="15">
        <v>46058</v>
      </c>
      <c r="C9" s="5" t="s">
        <v>174</v>
      </c>
      <c r="D9" s="6" t="str">
        <f>IF(C9="", "", VLOOKUP(C9, 'Product Master'!$A:$H, 2, FALSE))</f>
        <v>Apple iPad Air (64GB)</v>
      </c>
      <c r="E9" s="11" t="str">
        <f>IF(C8="", "", VLOOKUP(C8, 'Product Master'!$A:$H, 5, FALSE))</f>
        <v>Apex Distributors</v>
      </c>
      <c r="F9" s="7">
        <v>5</v>
      </c>
      <c r="G9" s="12">
        <f>IF(C8="", "", VLOOKUP(C8, 'Product Master'!$A:$H, 8, FALSE))</f>
        <v>120</v>
      </c>
      <c r="H9" s="8">
        <f t="shared" si="1"/>
        <v>600</v>
      </c>
    </row>
    <row r="10" spans="1:20" ht="15" x14ac:dyDescent="0.35">
      <c r="A10" s="10" t="str">
        <f t="shared" si="0"/>
        <v>PUR-00004</v>
      </c>
      <c r="B10" s="16">
        <v>46063</v>
      </c>
      <c r="C10" s="10" t="s">
        <v>175</v>
      </c>
      <c r="D10" s="6" t="str">
        <f>IF(C10="", "", VLOOKUP(C10, 'Product Master'!$A:$H, 2, FALSE))</f>
        <v>SanDisk Extreme 128GB USB-C</v>
      </c>
      <c r="E10" s="11" t="str">
        <f>IF(C9="", "", VLOOKUP(C9, 'Product Master'!$A:$H, 5, FALSE))</f>
        <v>Global Trade Co.</v>
      </c>
      <c r="F10" s="13">
        <v>15</v>
      </c>
      <c r="G10" s="12">
        <f>IF(C9="", "", VLOOKUP(C9, 'Product Master'!$A:$H, 8, FALSE))</f>
        <v>420</v>
      </c>
      <c r="H10" s="12">
        <f t="shared" si="1"/>
        <v>6300</v>
      </c>
    </row>
    <row r="11" spans="1:20" ht="15" x14ac:dyDescent="0.35">
      <c r="A11" s="5" t="str">
        <f t="shared" si="0"/>
        <v>PUR-00005</v>
      </c>
      <c r="B11" s="15">
        <v>46081</v>
      </c>
      <c r="C11" s="5" t="s">
        <v>176</v>
      </c>
      <c r="D11" s="6" t="str">
        <f>IF(C11="", "", VLOOKUP(C11, 'Product Master'!$A:$H, 2, FALSE))</f>
        <v>Nike Air Max Sneakers</v>
      </c>
      <c r="E11" s="11" t="str">
        <f>IF(C10="", "", VLOOKUP(C10, 'Product Master'!$A:$H, 5, FALSE))</f>
        <v>Summit Wholesale</v>
      </c>
      <c r="F11" s="7">
        <v>10</v>
      </c>
      <c r="G11" s="12">
        <f>IF(C10="", "", VLOOKUP(C10, 'Product Master'!$A:$H, 8, FALSE))</f>
        <v>15</v>
      </c>
      <c r="H11" s="8">
        <f t="shared" si="1"/>
        <v>150</v>
      </c>
    </row>
    <row r="12" spans="1:20" ht="15" x14ac:dyDescent="0.35">
      <c r="A12" s="10" t="str">
        <f t="shared" si="0"/>
        <v>PUR-00006</v>
      </c>
      <c r="B12" s="16">
        <v>46082</v>
      </c>
      <c r="C12" s="10" t="s">
        <v>177</v>
      </c>
      <c r="D12" s="6" t="str">
        <f>IF(C12="", "", VLOOKUP(C12, 'Product Master'!$A:$H, 2, FALSE))</f>
        <v>H&amp;M Basic Crewneck T-Shirt</v>
      </c>
      <c r="E12" s="11" t="str">
        <f>IF(C11="", "", VLOOKUP(C11, 'Product Master'!$A:$H, 5, FALSE))</f>
        <v>Summit Wholesale</v>
      </c>
      <c r="F12" s="13">
        <v>30</v>
      </c>
      <c r="G12" s="12">
        <f>IF(C11="", "", VLOOKUP(C11, 'Product Master'!$A:$H, 8, FALSE))</f>
        <v>70</v>
      </c>
      <c r="H12" s="12">
        <f t="shared" si="1"/>
        <v>2100</v>
      </c>
    </row>
    <row r="13" spans="1:20" ht="15" x14ac:dyDescent="0.35">
      <c r="A13" s="5" t="str">
        <f t="shared" si="0"/>
        <v>PUR-00007</v>
      </c>
      <c r="B13" s="15">
        <v>46086</v>
      </c>
      <c r="C13" s="5" t="s">
        <v>178</v>
      </c>
      <c r="D13" s="6" t="str">
        <f>IF(C13="", "", VLOOKUP(C13, 'Product Master'!$A:$H, 2, FALSE))</f>
        <v>Nestlé Pure Life Water (24pk)</v>
      </c>
      <c r="E13" s="11" t="str">
        <f>IF(C12="", "", VLOOKUP(C12, 'Product Master'!$A:$H, 5, FALSE))</f>
        <v>Summit Wholesale</v>
      </c>
      <c r="F13" s="7">
        <v>50</v>
      </c>
      <c r="G13" s="12">
        <f>IF(C12="", "", VLOOKUP(C12, 'Product Master'!$A:$H, 8, FALSE))</f>
        <v>8</v>
      </c>
      <c r="H13" s="8">
        <f t="shared" si="1"/>
        <v>400</v>
      </c>
    </row>
    <row r="14" spans="1:20" ht="15" x14ac:dyDescent="0.35">
      <c r="A14" s="10" t="str">
        <f t="shared" si="0"/>
        <v>PUR-00008</v>
      </c>
      <c r="B14" s="16">
        <v>46091</v>
      </c>
      <c r="C14" s="10" t="s">
        <v>179</v>
      </c>
      <c r="D14" s="6" t="str">
        <f>IF(C14="", "", VLOOKUP(C14, 'Product Master'!$A:$H, 2, FALSE))</f>
        <v>Pfizer Advil Pain Reliever (100ct)</v>
      </c>
      <c r="E14" s="11" t="str">
        <f>IF(C13="", "", VLOOKUP(C13, 'Product Master'!$A:$H, 5, FALSE))</f>
        <v>Prime Logistics</v>
      </c>
      <c r="F14" s="13">
        <v>20</v>
      </c>
      <c r="G14" s="12">
        <f>IF(C13="", "", VLOOKUP(C13, 'Product Master'!$A:$H, 8, FALSE))</f>
        <v>2.5</v>
      </c>
      <c r="H14" s="12">
        <f t="shared" si="1"/>
        <v>50</v>
      </c>
    </row>
    <row r="15" spans="1:20" ht="15" x14ac:dyDescent="0.35">
      <c r="A15" s="5" t="str">
        <f t="shared" si="0"/>
        <v>PUR-00009</v>
      </c>
      <c r="B15" s="15">
        <v>46096</v>
      </c>
      <c r="C15" s="5" t="s">
        <v>180</v>
      </c>
      <c r="D15" s="6" t="str">
        <f>IF(C15="", "", VLOOKUP(C15, 'Product Master'!$A:$H, 2, FALSE))</f>
        <v>Dyson V11 Cordless Vacuum</v>
      </c>
      <c r="E15" s="11" t="str">
        <f>IF(C14="", "", VLOOKUP(C14, 'Product Master'!$A:$H, 5, FALSE))</f>
        <v>BioPharma Supplies</v>
      </c>
      <c r="F15" s="7">
        <v>3</v>
      </c>
      <c r="G15" s="12">
        <f>IF(C14="", "", VLOOKUP(C14, 'Product Master'!$A:$H, 8, FALSE))</f>
        <v>4.5</v>
      </c>
      <c r="H15" s="8">
        <f t="shared" si="1"/>
        <v>13.5</v>
      </c>
    </row>
    <row r="16" spans="1:20" ht="15" x14ac:dyDescent="0.35">
      <c r="A16" s="10" t="str">
        <f t="shared" si="0"/>
        <v>PUR-00010</v>
      </c>
      <c r="B16" s="16">
        <v>46113</v>
      </c>
      <c r="C16" s="10" t="s">
        <v>172</v>
      </c>
      <c r="D16" s="6" t="str">
        <f>IF(C16="", "", VLOOKUP(C16, 'Product Master'!$A:$H, 2, FALSE))</f>
        <v>Sony WH-1000XM4 Headphones</v>
      </c>
      <c r="E16" s="11" t="str">
        <f>IF(C15="", "", VLOOKUP(C15, 'Product Master'!$A:$H, 5, FALSE))</f>
        <v>Global Trade Co.</v>
      </c>
      <c r="F16" s="13">
        <v>15</v>
      </c>
      <c r="G16" s="12">
        <f>IF(C15="", "", VLOOKUP(C15, 'Product Master'!$A:$H, 8, FALSE))</f>
        <v>380</v>
      </c>
      <c r="H16" s="12">
        <f t="shared" si="1"/>
        <v>5700</v>
      </c>
    </row>
    <row r="17" spans="1:8" ht="15" x14ac:dyDescent="0.35">
      <c r="A17" s="5" t="str">
        <f t="shared" si="0"/>
        <v>PUR-00011</v>
      </c>
      <c r="B17" s="15">
        <v>46117</v>
      </c>
      <c r="C17" s="5" t="s">
        <v>173</v>
      </c>
      <c r="D17" s="6" t="str">
        <f>IF(C17="", "", VLOOKUP(C17, 'Product Master'!$A:$H, 2, FALSE))</f>
        <v>Samsung 27" Curved Monitor</v>
      </c>
      <c r="E17" s="11" t="str">
        <f>IF(C16="", "", VLOOKUP(C16, 'Product Master'!$A:$H, 5, FALSE))</f>
        <v>Apex Distributors</v>
      </c>
      <c r="F17" s="7">
        <v>10</v>
      </c>
      <c r="G17" s="12">
        <f>IF(C16="", "", VLOOKUP(C16, 'Product Master'!$A:$H, 8, FALSE))</f>
        <v>180</v>
      </c>
      <c r="H17" s="8">
        <f t="shared" si="1"/>
        <v>1800</v>
      </c>
    </row>
    <row r="18" spans="1:8" ht="15" x14ac:dyDescent="0.35">
      <c r="A18" s="10" t="str">
        <f t="shared" si="0"/>
        <v>PUR-00012</v>
      </c>
      <c r="B18" s="16">
        <v>46122</v>
      </c>
      <c r="C18" s="10" t="s">
        <v>174</v>
      </c>
      <c r="D18" s="6" t="str">
        <f>IF(C18="", "", VLOOKUP(C18, 'Product Master'!$A:$H, 2, FALSE))</f>
        <v>Apple iPad Air (64GB)</v>
      </c>
      <c r="E18" s="11" t="str">
        <f>IF(C17="", "", VLOOKUP(C17, 'Product Master'!$A:$H, 5, FALSE))</f>
        <v>Apex Distributors</v>
      </c>
      <c r="F18" s="13">
        <v>10</v>
      </c>
      <c r="G18" s="12">
        <f>IF(C17="", "", VLOOKUP(C17, 'Product Master'!$A:$H, 8, FALSE))</f>
        <v>120</v>
      </c>
      <c r="H18" s="12">
        <f t="shared" si="1"/>
        <v>1200</v>
      </c>
    </row>
    <row r="19" spans="1:8" ht="15" x14ac:dyDescent="0.35">
      <c r="A19" s="5" t="str">
        <f t="shared" si="0"/>
        <v>PUR-00013</v>
      </c>
      <c r="B19" s="15">
        <v>46127</v>
      </c>
      <c r="C19" s="5" t="s">
        <v>175</v>
      </c>
      <c r="D19" s="6" t="str">
        <f>IF(C19="", "", VLOOKUP(C19, 'Product Master'!$A:$H, 2, FALSE))</f>
        <v>SanDisk Extreme 128GB USB-C</v>
      </c>
      <c r="E19" s="11" t="str">
        <f>IF(C18="", "", VLOOKUP(C18, 'Product Master'!$A:$H, 5, FALSE))</f>
        <v>Global Trade Co.</v>
      </c>
      <c r="F19" s="7">
        <v>20</v>
      </c>
      <c r="G19" s="12">
        <f>IF(C18="", "", VLOOKUP(C18, 'Product Master'!$A:$H, 8, FALSE))</f>
        <v>420</v>
      </c>
      <c r="H19" s="8">
        <f t="shared" si="1"/>
        <v>8400</v>
      </c>
    </row>
    <row r="20" spans="1:8" ht="15" x14ac:dyDescent="0.35">
      <c r="A20" s="10" t="str">
        <f t="shared" si="0"/>
        <v>PUR-00014</v>
      </c>
      <c r="B20" s="16">
        <v>46132</v>
      </c>
      <c r="C20" s="10" t="s">
        <v>176</v>
      </c>
      <c r="D20" s="6" t="str">
        <f>IF(C20="", "", VLOOKUP(C20, 'Product Master'!$A:$H, 2, FALSE))</f>
        <v>Nike Air Max Sneakers</v>
      </c>
      <c r="E20" s="11" t="str">
        <f>IF(C19="", "", VLOOKUP(C19, 'Product Master'!$A:$H, 5, FALSE))</f>
        <v>Summit Wholesale</v>
      </c>
      <c r="F20" s="13">
        <v>15</v>
      </c>
      <c r="G20" s="12">
        <f>IF(C19="", "", VLOOKUP(C19, 'Product Master'!$A:$H, 8, FALSE))</f>
        <v>15</v>
      </c>
      <c r="H20" s="12">
        <f t="shared" si="1"/>
        <v>225</v>
      </c>
    </row>
    <row r="21" spans="1:8" ht="15" x14ac:dyDescent="0.35">
      <c r="A21" s="5" t="str">
        <f t="shared" si="0"/>
        <v>PUR-00015</v>
      </c>
      <c r="B21" s="15">
        <v>46143</v>
      </c>
      <c r="C21" s="5" t="s">
        <v>177</v>
      </c>
      <c r="D21" s="6" t="str">
        <f>IF(C21="", "", VLOOKUP(C21, 'Product Master'!$A:$H, 2, FALSE))</f>
        <v>H&amp;M Basic Crewneck T-Shirt</v>
      </c>
      <c r="E21" s="11" t="str">
        <f>IF(C20="", "", VLOOKUP(C20, 'Product Master'!$A:$H, 5, FALSE))</f>
        <v>Summit Wholesale</v>
      </c>
      <c r="F21" s="7">
        <v>40</v>
      </c>
      <c r="G21" s="12">
        <f>IF(C20="", "", VLOOKUP(C20, 'Product Master'!$A:$H, 8, FALSE))</f>
        <v>70</v>
      </c>
      <c r="H21" s="8">
        <f t="shared" si="1"/>
        <v>2800</v>
      </c>
    </row>
    <row r="22" spans="1:8" ht="15" x14ac:dyDescent="0.35">
      <c r="A22" s="10" t="str">
        <f t="shared" si="0"/>
        <v>PUR-00016</v>
      </c>
      <c r="B22" s="16">
        <v>46147</v>
      </c>
      <c r="C22" s="10" t="s">
        <v>178</v>
      </c>
      <c r="D22" s="6" t="str">
        <f>IF(C22="", "", VLOOKUP(C22, 'Product Master'!$A:$H, 2, FALSE))</f>
        <v>Nestlé Pure Life Water (24pk)</v>
      </c>
      <c r="E22" s="11" t="str">
        <f>IF(C21="", "", VLOOKUP(C21, 'Product Master'!$A:$H, 5, FALSE))</f>
        <v>Summit Wholesale</v>
      </c>
      <c r="F22" s="13">
        <v>80</v>
      </c>
      <c r="G22" s="12">
        <f>IF(C21="", "", VLOOKUP(C21, 'Product Master'!$A:$H, 8, FALSE))</f>
        <v>8</v>
      </c>
      <c r="H22" s="12">
        <f t="shared" si="1"/>
        <v>640</v>
      </c>
    </row>
    <row r="23" spans="1:8" ht="15" x14ac:dyDescent="0.35">
      <c r="A23" s="5" t="str">
        <f t="shared" si="0"/>
        <v>PUR-00017</v>
      </c>
      <c r="B23" s="15">
        <v>46152</v>
      </c>
      <c r="C23" s="5" t="s">
        <v>179</v>
      </c>
      <c r="D23" s="6" t="str">
        <f>IF(C23="", "", VLOOKUP(C23, 'Product Master'!$A:$H, 2, FALSE))</f>
        <v>Pfizer Advil Pain Reliever (100ct)</v>
      </c>
      <c r="E23" s="11" t="str">
        <f>IF(C22="", "", VLOOKUP(C22, 'Product Master'!$A:$H, 5, FALSE))</f>
        <v>Prime Logistics</v>
      </c>
      <c r="F23" s="7">
        <v>25</v>
      </c>
      <c r="G23" s="12">
        <f>IF(C22="", "", VLOOKUP(C22, 'Product Master'!$A:$H, 8, FALSE))</f>
        <v>2.5</v>
      </c>
      <c r="H23" s="8">
        <f t="shared" si="1"/>
        <v>62.5</v>
      </c>
    </row>
    <row r="24" spans="1:8" ht="15" x14ac:dyDescent="0.35">
      <c r="A24" s="10" t="str">
        <f t="shared" si="0"/>
        <v>PUR-00018</v>
      </c>
      <c r="B24" s="16">
        <v>46157</v>
      </c>
      <c r="C24" s="10" t="s">
        <v>180</v>
      </c>
      <c r="D24" s="6" t="str">
        <f>IF(C24="", "", VLOOKUP(C24, 'Product Master'!$A:$H, 2, FALSE))</f>
        <v>Dyson V11 Cordless Vacuum</v>
      </c>
      <c r="E24" s="11" t="str">
        <f>IF(C23="", "", VLOOKUP(C23, 'Product Master'!$A:$H, 5, FALSE))</f>
        <v>BioPharma Supplies</v>
      </c>
      <c r="F24" s="13">
        <v>5</v>
      </c>
      <c r="G24" s="12">
        <f>IF(C23="", "", VLOOKUP(C23, 'Product Master'!$A:$H, 8, FALSE))</f>
        <v>4.5</v>
      </c>
      <c r="H24" s="12">
        <f t="shared" si="1"/>
        <v>22.5</v>
      </c>
    </row>
  </sheetData>
  <mergeCells count="1">
    <mergeCell ref="A1:T2"/>
  </mergeCell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'Product Master'!$A$7:$A$56</xm:f>
          </x14:formula1>
          <xm:sqref>C7:C1000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7"/>
  <sheetViews>
    <sheetView zoomScale="60" workbookViewId="0">
      <pane ySplit="6" topLeftCell="A7" activePane="bottomLeft" state="frozen"/>
      <selection pane="bottomLeft" activeCell="H4" sqref="H4"/>
    </sheetView>
  </sheetViews>
  <sheetFormatPr defaultRowHeight="14.4" x14ac:dyDescent="0.3"/>
  <cols>
    <col min="1" max="1" width="19" customWidth="1"/>
    <col min="2" max="3" width="13" customWidth="1"/>
    <col min="4" max="4" width="18" customWidth="1"/>
    <col min="5" max="5" width="16" customWidth="1"/>
    <col min="6" max="6" width="18" customWidth="1"/>
    <col min="7" max="7" width="15" customWidth="1"/>
    <col min="8" max="8" width="17" customWidth="1"/>
    <col min="9" max="11" width="11" customWidth="1"/>
    <col min="12" max="12" width="13" customWidth="1"/>
    <col min="13" max="14" width="11" customWidth="1"/>
    <col min="15" max="15" width="13" customWidth="1"/>
    <col min="16" max="17" width="11" customWidth="1"/>
    <col min="18" max="18" width="13" customWidth="1"/>
    <col min="19" max="20" width="11" customWidth="1"/>
    <col min="21" max="21" width="13" customWidth="1"/>
    <col min="22" max="23" width="11" customWidth="1"/>
  </cols>
  <sheetData>
    <row r="1" spans="1:23" ht="19.95" customHeight="1" x14ac:dyDescent="0.3">
      <c r="A1" s="17" t="s">
        <v>181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ht="19.95" customHeight="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10.050000000000001" customHeight="1" x14ac:dyDescent="0.3"/>
    <row r="4" spans="1:23" ht="25.05" customHeight="1" x14ac:dyDescent="0.3">
      <c r="A4" s="1" t="str">
        <f>HYPERLINK("#'Dashboard'!A1", "📊 Dashboard")</f>
        <v>📊 Dashboard</v>
      </c>
      <c r="B4" s="2"/>
      <c r="C4" s="2"/>
      <c r="D4" s="1" t="str">
        <f>HYPERLINK("#'Product Master'!A1", "📦 Product Master")</f>
        <v>📦 Product Master</v>
      </c>
      <c r="E4" s="2"/>
      <c r="F4" s="2"/>
      <c r="G4" s="2"/>
      <c r="H4" s="1" t="str">
        <f>HYPERLINK("#'Purchase Entry'!A1", "📥 Purchase Entry")</f>
        <v>📥 Purchase Entry</v>
      </c>
      <c r="I4" s="2"/>
      <c r="J4" s="2"/>
      <c r="K4" s="2"/>
      <c r="L4" s="1" t="str">
        <f>HYPERLINK("#'Sales Entry'!A1", "📤 Sales Entry")</f>
        <v>📤 Sales Entry</v>
      </c>
      <c r="M4" s="2"/>
      <c r="N4" s="2"/>
      <c r="O4" s="1" t="str">
        <f>HYPERLINK("#'Supplier Management'!A1", "🤝 Suppliers")</f>
        <v>🤝 Suppliers</v>
      </c>
      <c r="P4" s="2"/>
      <c r="Q4" s="2"/>
      <c r="R4" s="1" t="str">
        <f>HYPERLINK("#'Reports'!A1", "📈 Reports")</f>
        <v>📈 Reports</v>
      </c>
      <c r="S4" s="2"/>
      <c r="T4" s="2"/>
      <c r="U4" s="1"/>
      <c r="V4" s="2"/>
      <c r="W4" s="2"/>
    </row>
    <row r="5" spans="1:23" ht="15" customHeight="1" x14ac:dyDescent="0.3"/>
    <row r="6" spans="1:23" ht="15" x14ac:dyDescent="0.3">
      <c r="A6" s="4" t="s">
        <v>182</v>
      </c>
      <c r="B6" s="4" t="s">
        <v>168</v>
      </c>
      <c r="C6" s="4" t="s">
        <v>22</v>
      </c>
      <c r="D6" s="4" t="s">
        <v>23</v>
      </c>
      <c r="E6" s="4" t="s">
        <v>183</v>
      </c>
      <c r="F6" s="4" t="s">
        <v>34</v>
      </c>
      <c r="G6" s="4" t="s">
        <v>184</v>
      </c>
      <c r="H6" s="4" t="s">
        <v>185</v>
      </c>
    </row>
    <row r="7" spans="1:23" ht="15" x14ac:dyDescent="0.35">
      <c r="A7" s="5" t="str">
        <f t="shared" ref="A7:A27" si="0">"SAL-" &amp; TEXT(ROW()-6, "00000")</f>
        <v>SAL-00001</v>
      </c>
      <c r="B7" s="15">
        <v>46038</v>
      </c>
      <c r="C7" s="5" t="s">
        <v>172</v>
      </c>
      <c r="D7" s="6" t="str">
        <f>IF(C7="", "", VLOOKUP(C7, 'Product Master'!$A:$I, 2, FALSE))</f>
        <v>Sony WH-1000XM4 Headphones</v>
      </c>
      <c r="E7" s="7">
        <v>10</v>
      </c>
      <c r="F7" s="8">
        <f>IF(C7="", "", VLOOKUP(C7, 'Product Master'!$A:$I, 7, FALSE))</f>
        <v>250</v>
      </c>
      <c r="G7" s="8">
        <f t="shared" ref="G7:G27" si="1">E7 * F7</f>
        <v>2500</v>
      </c>
      <c r="H7" s="5" t="s">
        <v>186</v>
      </c>
    </row>
    <row r="8" spans="1:23" ht="15" x14ac:dyDescent="0.35">
      <c r="A8" s="10" t="str">
        <f t="shared" si="0"/>
        <v>SAL-00002</v>
      </c>
      <c r="B8" s="16">
        <v>46044</v>
      </c>
      <c r="C8" s="10" t="s">
        <v>173</v>
      </c>
      <c r="D8" s="6" t="str">
        <f>IF(C8="", "", VLOOKUP(C8, 'Product Master'!$A:$I, 2, FALSE))</f>
        <v>Samsung 27" Curved Monitor</v>
      </c>
      <c r="E8" s="13">
        <v>1</v>
      </c>
      <c r="F8" s="8">
        <f>IF(C8="", "", VLOOKUP(C8, 'Product Master'!$A:$I, 7, FALSE))</f>
        <v>180</v>
      </c>
      <c r="G8" s="12">
        <f t="shared" si="1"/>
        <v>180</v>
      </c>
      <c r="H8" s="10" t="s">
        <v>187</v>
      </c>
    </row>
    <row r="9" spans="1:23" ht="15" x14ac:dyDescent="0.35">
      <c r="A9" s="5" t="str">
        <f t="shared" si="0"/>
        <v>SAL-00003</v>
      </c>
      <c r="B9" s="15">
        <v>46047</v>
      </c>
      <c r="C9" s="5" t="s">
        <v>172</v>
      </c>
      <c r="D9" s="6" t="str">
        <f>IF(C9="", "", VLOOKUP(C9, 'Product Master'!$A:$I, 2, FALSE))</f>
        <v>Sony WH-1000XM4 Headphones</v>
      </c>
      <c r="E9" s="7">
        <v>1</v>
      </c>
      <c r="F9" s="8">
        <f>IF(C9="", "", VLOOKUP(C9, 'Product Master'!$A:$I, 7, FALSE))</f>
        <v>250</v>
      </c>
      <c r="G9" s="8">
        <f t="shared" si="1"/>
        <v>250</v>
      </c>
      <c r="H9" s="5" t="s">
        <v>188</v>
      </c>
    </row>
    <row r="10" spans="1:23" ht="15" x14ac:dyDescent="0.35">
      <c r="A10" s="10" t="str">
        <f t="shared" si="0"/>
        <v>SAL-00004</v>
      </c>
      <c r="B10" s="16">
        <v>46059</v>
      </c>
      <c r="C10" s="10" t="s">
        <v>174</v>
      </c>
      <c r="D10" s="6" t="str">
        <f>IF(C10="", "", VLOOKUP(C10, 'Product Master'!$A:$I, 2, FALSE))</f>
        <v>Apple iPad Air (64GB)</v>
      </c>
      <c r="E10" s="13">
        <v>2</v>
      </c>
      <c r="F10" s="8">
        <f>IF(C10="", "", VLOOKUP(C10, 'Product Master'!$A:$I, 7, FALSE))</f>
        <v>549</v>
      </c>
      <c r="G10" s="12">
        <f t="shared" si="1"/>
        <v>1098</v>
      </c>
      <c r="H10" s="10" t="s">
        <v>189</v>
      </c>
    </row>
    <row r="11" spans="1:23" ht="15" x14ac:dyDescent="0.35">
      <c r="A11" s="5" t="str">
        <f t="shared" si="0"/>
        <v>SAL-00005</v>
      </c>
      <c r="B11" s="15">
        <v>46065</v>
      </c>
      <c r="C11" s="5" t="s">
        <v>175</v>
      </c>
      <c r="D11" s="6" t="str">
        <f>IF(C11="", "", VLOOKUP(C11, 'Product Master'!$A:$I, 2, FALSE))</f>
        <v>SanDisk Extreme 128GB USB-C</v>
      </c>
      <c r="E11" s="7">
        <v>3</v>
      </c>
      <c r="F11" s="8">
        <f>IF(C11="", "", VLOOKUP(C11, 'Product Master'!$A:$I, 7, FALSE))</f>
        <v>29.99</v>
      </c>
      <c r="G11" s="8">
        <f t="shared" si="1"/>
        <v>89.97</v>
      </c>
      <c r="H11" s="5" t="s">
        <v>186</v>
      </c>
    </row>
    <row r="12" spans="1:23" ht="15" x14ac:dyDescent="0.35">
      <c r="A12" s="10" t="str">
        <f t="shared" si="0"/>
        <v>SAL-00006</v>
      </c>
      <c r="B12" s="16">
        <v>46067</v>
      </c>
      <c r="C12" s="10" t="s">
        <v>172</v>
      </c>
      <c r="D12" s="6" t="str">
        <f>IF(C12="", "", VLOOKUP(C12, 'Product Master'!$A:$I, 2, FALSE))</f>
        <v>Sony WH-1000XM4 Headphones</v>
      </c>
      <c r="E12" s="13">
        <v>4</v>
      </c>
      <c r="F12" s="8">
        <f>IF(C12="", "", VLOOKUP(C12, 'Product Master'!$A:$I, 7, FALSE))</f>
        <v>250</v>
      </c>
      <c r="G12" s="12">
        <f t="shared" si="1"/>
        <v>1000</v>
      </c>
      <c r="H12" s="10" t="s">
        <v>187</v>
      </c>
    </row>
    <row r="13" spans="1:23" ht="15" x14ac:dyDescent="0.35">
      <c r="A13" s="5" t="str">
        <f t="shared" si="0"/>
        <v>SAL-00007</v>
      </c>
      <c r="B13" s="15">
        <v>46073</v>
      </c>
      <c r="C13" s="5" t="s">
        <v>173</v>
      </c>
      <c r="D13" s="6" t="str">
        <f>IF(C13="", "", VLOOKUP(C13, 'Product Master'!$A:$I, 2, FALSE))</f>
        <v>Samsung 27" Curved Monitor</v>
      </c>
      <c r="E13" s="7">
        <v>2</v>
      </c>
      <c r="F13" s="8">
        <f>IF(C13="", "", VLOOKUP(C13, 'Product Master'!$A:$I, 7, FALSE))</f>
        <v>180</v>
      </c>
      <c r="G13" s="8">
        <f t="shared" si="1"/>
        <v>360</v>
      </c>
      <c r="H13" s="5" t="s">
        <v>188</v>
      </c>
    </row>
    <row r="14" spans="1:23" ht="15" x14ac:dyDescent="0.35">
      <c r="A14" s="10" t="str">
        <f t="shared" si="0"/>
        <v>SAL-00008</v>
      </c>
      <c r="B14" s="16">
        <v>46083</v>
      </c>
      <c r="C14" s="10" t="s">
        <v>176</v>
      </c>
      <c r="D14" s="6" t="str">
        <f>IF(C14="", "", VLOOKUP(C14, 'Product Master'!$A:$I, 2, FALSE))</f>
        <v>Nike Air Max Sneakers</v>
      </c>
      <c r="E14" s="13">
        <v>6</v>
      </c>
      <c r="F14" s="8">
        <f>IF(C14="", "", VLOOKUP(C14, 'Product Master'!$A:$I, 7, FALSE))</f>
        <v>120</v>
      </c>
      <c r="G14" s="12">
        <f t="shared" si="1"/>
        <v>720</v>
      </c>
      <c r="H14" s="10" t="s">
        <v>190</v>
      </c>
    </row>
    <row r="15" spans="1:23" ht="15" x14ac:dyDescent="0.35">
      <c r="A15" s="5" t="str">
        <f t="shared" si="0"/>
        <v>SAL-00009</v>
      </c>
      <c r="B15" s="15">
        <v>46085</v>
      </c>
      <c r="C15" s="5" t="s">
        <v>177</v>
      </c>
      <c r="D15" s="6" t="str">
        <f>IF(C15="", "", VLOOKUP(C15, 'Product Master'!$A:$I, 2, FALSE))</f>
        <v>H&amp;M Basic Crewneck T-Shirt</v>
      </c>
      <c r="E15" s="7">
        <v>10</v>
      </c>
      <c r="F15" s="8">
        <f>IF(C15="", "", VLOOKUP(C15, 'Product Master'!$A:$I, 7, FALSE))</f>
        <v>6</v>
      </c>
      <c r="G15" s="8">
        <f t="shared" si="1"/>
        <v>60</v>
      </c>
      <c r="H15" s="5" t="s">
        <v>186</v>
      </c>
    </row>
    <row r="16" spans="1:23" ht="15" x14ac:dyDescent="0.35">
      <c r="A16" s="10" t="str">
        <f t="shared" si="0"/>
        <v>SAL-00010</v>
      </c>
      <c r="B16" s="16">
        <v>46089</v>
      </c>
      <c r="C16" s="10" t="s">
        <v>178</v>
      </c>
      <c r="D16" s="6" t="str">
        <f>IF(C16="", "", VLOOKUP(C16, 'Product Master'!$A:$I, 2, FALSE))</f>
        <v>Nestlé Pure Life Water (24pk)</v>
      </c>
      <c r="E16" s="13">
        <v>20</v>
      </c>
      <c r="F16" s="8">
        <f>IF(C16="", "", VLOOKUP(C16, 'Product Master'!$A:$I, 7, FALSE))</f>
        <v>0.21</v>
      </c>
      <c r="G16" s="12">
        <f t="shared" si="1"/>
        <v>4.2</v>
      </c>
      <c r="H16" s="10" t="s">
        <v>189</v>
      </c>
    </row>
    <row r="17" spans="1:8" ht="15" x14ac:dyDescent="0.35">
      <c r="A17" s="5" t="str">
        <f t="shared" si="0"/>
        <v>SAL-00011</v>
      </c>
      <c r="B17" s="15">
        <v>46093</v>
      </c>
      <c r="C17" s="5" t="s">
        <v>179</v>
      </c>
      <c r="D17" s="6" t="str">
        <f>IF(C17="", "", VLOOKUP(C17, 'Product Master'!$A:$I, 2, FALSE))</f>
        <v>Pfizer Advil Pain Reliever (100ct)</v>
      </c>
      <c r="E17" s="7">
        <v>12</v>
      </c>
      <c r="F17" s="8">
        <f>IF(C17="", "", VLOOKUP(C17, 'Product Master'!$A:$I, 7, FALSE))</f>
        <v>9.49</v>
      </c>
      <c r="G17" s="8">
        <f t="shared" si="1"/>
        <v>113.88</v>
      </c>
      <c r="H17" s="5" t="s">
        <v>187</v>
      </c>
    </row>
    <row r="18" spans="1:8" ht="15" x14ac:dyDescent="0.35">
      <c r="A18" s="10" t="str">
        <f t="shared" si="0"/>
        <v>SAL-00012</v>
      </c>
      <c r="B18" s="16">
        <v>46099</v>
      </c>
      <c r="C18" s="10" t="s">
        <v>180</v>
      </c>
      <c r="D18" s="6" t="str">
        <f>IF(C18="", "", VLOOKUP(C18, 'Product Master'!$A:$I, 2, FALSE))</f>
        <v>Dyson V11 Cordless Vacuum</v>
      </c>
      <c r="E18" s="13">
        <v>2</v>
      </c>
      <c r="F18" s="8">
        <f>IF(C18="", "", VLOOKUP(C18, 'Product Master'!$A:$I, 7, FALSE))</f>
        <v>599.99</v>
      </c>
      <c r="G18" s="12">
        <f t="shared" si="1"/>
        <v>1199.98</v>
      </c>
      <c r="H18" s="10" t="s">
        <v>190</v>
      </c>
    </row>
    <row r="19" spans="1:8" ht="15" x14ac:dyDescent="0.35">
      <c r="A19" s="5" t="str">
        <f t="shared" si="0"/>
        <v>SAL-00013</v>
      </c>
      <c r="B19" s="15">
        <v>46114</v>
      </c>
      <c r="C19" s="5" t="s">
        <v>172</v>
      </c>
      <c r="D19" s="6" t="str">
        <f>IF(C19="", "", VLOOKUP(C19, 'Product Master'!$A:$I, 2, FALSE))</f>
        <v>Sony WH-1000XM4 Headphones</v>
      </c>
      <c r="E19" s="7">
        <v>5</v>
      </c>
      <c r="F19" s="8">
        <f>IF(C19="", "", VLOOKUP(C19, 'Product Master'!$A:$I, 7, FALSE))</f>
        <v>250</v>
      </c>
      <c r="G19" s="8">
        <f t="shared" si="1"/>
        <v>1250</v>
      </c>
      <c r="H19" s="5" t="s">
        <v>186</v>
      </c>
    </row>
    <row r="20" spans="1:8" ht="15" x14ac:dyDescent="0.35">
      <c r="A20" s="10" t="str">
        <f t="shared" si="0"/>
        <v>SAL-00014</v>
      </c>
      <c r="B20" s="16">
        <v>46120</v>
      </c>
      <c r="C20" s="10" t="s">
        <v>173</v>
      </c>
      <c r="D20" s="6" t="str">
        <f>IF(C20="", "", VLOOKUP(C20, 'Product Master'!$A:$I, 2, FALSE))</f>
        <v>Samsung 27" Curved Monitor</v>
      </c>
      <c r="E20" s="13">
        <v>3</v>
      </c>
      <c r="F20" s="8">
        <f>IF(C20="", "", VLOOKUP(C20, 'Product Master'!$A:$I, 7, FALSE))</f>
        <v>180</v>
      </c>
      <c r="G20" s="12">
        <f t="shared" si="1"/>
        <v>540</v>
      </c>
      <c r="H20" s="10" t="s">
        <v>187</v>
      </c>
    </row>
    <row r="21" spans="1:8" ht="15" x14ac:dyDescent="0.35">
      <c r="A21" s="5" t="str">
        <f t="shared" si="0"/>
        <v>SAL-00015</v>
      </c>
      <c r="B21" s="15">
        <v>46124</v>
      </c>
      <c r="C21" s="5" t="s">
        <v>174</v>
      </c>
      <c r="D21" s="6" t="str">
        <f>IF(C21="", "", VLOOKUP(C21, 'Product Master'!$A:$I, 2, FALSE))</f>
        <v>Apple iPad Air (64GB)</v>
      </c>
      <c r="E21" s="7">
        <v>4</v>
      </c>
      <c r="F21" s="8">
        <f>IF(C21="", "", VLOOKUP(C21, 'Product Master'!$A:$I, 7, FALSE))</f>
        <v>549</v>
      </c>
      <c r="G21" s="8">
        <f t="shared" si="1"/>
        <v>2196</v>
      </c>
      <c r="H21" s="5" t="s">
        <v>188</v>
      </c>
    </row>
    <row r="22" spans="1:8" ht="15" x14ac:dyDescent="0.35">
      <c r="A22" s="10" t="str">
        <f t="shared" si="0"/>
        <v>SAL-00016</v>
      </c>
      <c r="B22" s="16">
        <v>46130</v>
      </c>
      <c r="C22" s="10" t="s">
        <v>175</v>
      </c>
      <c r="D22" s="6" t="str">
        <f>IF(C22="", "", VLOOKUP(C22, 'Product Master'!$A:$I, 2, FALSE))</f>
        <v>SanDisk Extreme 128GB USB-C</v>
      </c>
      <c r="E22" s="13">
        <v>8</v>
      </c>
      <c r="F22" s="8">
        <f>IF(C22="", "", VLOOKUP(C22, 'Product Master'!$A:$I, 7, FALSE))</f>
        <v>29.99</v>
      </c>
      <c r="G22" s="12">
        <f t="shared" si="1"/>
        <v>239.92</v>
      </c>
      <c r="H22" s="10" t="s">
        <v>189</v>
      </c>
    </row>
    <row r="23" spans="1:8" ht="15" x14ac:dyDescent="0.35">
      <c r="A23" s="5" t="str">
        <f t="shared" si="0"/>
        <v>SAL-00017</v>
      </c>
      <c r="B23" s="15">
        <v>46134</v>
      </c>
      <c r="C23" s="5" t="s">
        <v>176</v>
      </c>
      <c r="D23" s="6" t="str">
        <f>IF(C23="", "", VLOOKUP(C23, 'Product Master'!$A:$I, 2, FALSE))</f>
        <v>Nike Air Max Sneakers</v>
      </c>
      <c r="E23" s="7">
        <v>6</v>
      </c>
      <c r="F23" s="8">
        <f>IF(C23="", "", VLOOKUP(C23, 'Product Master'!$A:$I, 7, FALSE))</f>
        <v>120</v>
      </c>
      <c r="G23" s="8">
        <f t="shared" si="1"/>
        <v>720</v>
      </c>
      <c r="H23" s="5" t="s">
        <v>186</v>
      </c>
    </row>
    <row r="24" spans="1:8" ht="15" x14ac:dyDescent="0.35">
      <c r="A24" s="10" t="str">
        <f t="shared" si="0"/>
        <v>SAL-00018</v>
      </c>
      <c r="B24" s="16">
        <v>46144</v>
      </c>
      <c r="C24" s="10" t="s">
        <v>177</v>
      </c>
      <c r="D24" s="6" t="str">
        <f>IF(C24="", "", VLOOKUP(C24, 'Product Master'!$A:$I, 2, FALSE))</f>
        <v>H&amp;M Basic Crewneck T-Shirt</v>
      </c>
      <c r="E24" s="13">
        <v>15</v>
      </c>
      <c r="F24" s="8">
        <f>IF(C24="", "", VLOOKUP(C24, 'Product Master'!$A:$I, 7, FALSE))</f>
        <v>6</v>
      </c>
      <c r="G24" s="12">
        <f t="shared" si="1"/>
        <v>90</v>
      </c>
      <c r="H24" s="10" t="s">
        <v>187</v>
      </c>
    </row>
    <row r="25" spans="1:8" ht="15" x14ac:dyDescent="0.35">
      <c r="A25" s="5" t="str">
        <f t="shared" si="0"/>
        <v>SAL-00019</v>
      </c>
      <c r="B25" s="15">
        <v>46150</v>
      </c>
      <c r="C25" s="5" t="s">
        <v>178</v>
      </c>
      <c r="D25" s="6" t="str">
        <f>IF(C25="", "", VLOOKUP(C25, 'Product Master'!$A:$I, 2, FALSE))</f>
        <v>Nestlé Pure Life Water (24pk)</v>
      </c>
      <c r="E25" s="7">
        <v>40</v>
      </c>
      <c r="F25" s="8">
        <f>IF(C25="", "", VLOOKUP(C25, 'Product Master'!$A:$I, 7, FALSE))</f>
        <v>0.21</v>
      </c>
      <c r="G25" s="8">
        <f t="shared" si="1"/>
        <v>8.4</v>
      </c>
      <c r="H25" s="5" t="s">
        <v>188</v>
      </c>
    </row>
    <row r="26" spans="1:8" ht="15" x14ac:dyDescent="0.35">
      <c r="A26" s="10" t="str">
        <f t="shared" si="0"/>
        <v>SAL-00020</v>
      </c>
      <c r="B26" s="16">
        <v>46154</v>
      </c>
      <c r="C26" s="10" t="s">
        <v>179</v>
      </c>
      <c r="D26" s="6" t="str">
        <f>IF(C26="", "", VLOOKUP(C26, 'Product Master'!$A:$I, 2, FALSE))</f>
        <v>Pfizer Advil Pain Reliever (100ct)</v>
      </c>
      <c r="E26" s="13">
        <v>10</v>
      </c>
      <c r="F26" s="8">
        <f>IF(C26="", "", VLOOKUP(C26, 'Product Master'!$A:$I, 7, FALSE))</f>
        <v>9.49</v>
      </c>
      <c r="G26" s="12">
        <f t="shared" si="1"/>
        <v>94.9</v>
      </c>
      <c r="H26" s="10" t="s">
        <v>189</v>
      </c>
    </row>
    <row r="27" spans="1:8" ht="15" x14ac:dyDescent="0.35">
      <c r="A27" s="5" t="str">
        <f t="shared" si="0"/>
        <v>SAL-00021</v>
      </c>
      <c r="B27" s="15">
        <v>46160</v>
      </c>
      <c r="C27" s="5" t="s">
        <v>180</v>
      </c>
      <c r="D27" s="6" t="str">
        <f>IF(C27="", "", VLOOKUP(C27, 'Product Master'!$A:$I, 2, FALSE))</f>
        <v>Dyson V11 Cordless Vacuum</v>
      </c>
      <c r="E27" s="7">
        <v>10</v>
      </c>
      <c r="F27" s="8">
        <f>IF(C27="", "", VLOOKUP(C27, 'Product Master'!$A:$I, 7, FALSE))</f>
        <v>599.99</v>
      </c>
      <c r="G27" s="8">
        <f t="shared" si="1"/>
        <v>5999.9</v>
      </c>
      <c r="H27" s="5" t="s">
        <v>190</v>
      </c>
    </row>
  </sheetData>
  <mergeCells count="1">
    <mergeCell ref="A1:W2"/>
  </mergeCell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'Product Master'!$A$7:$A$56</xm:f>
          </x14:formula1>
          <xm:sqref>C7:C1000</xm:sqref>
        </x14:dataValidation>
        <x14:dataValidation type="list" allowBlank="1" xr:uid="{00000000-0002-0000-0300-000001000000}">
          <x14:formula1>
            <xm:f>ReferenceLists!$C$2:$C$6</xm:f>
          </x14:formula1>
          <xm:sqref>H7:H1000</xm:sqref>
        </x14:dataValidation>
        <x14:dataValidation type="custom" allowBlank="1" errorTitle="Stock Limit Exceeded" error="Quantity exceeds available stock! Sales transaction blocked." xr:uid="{00000000-0002-0000-0300-000002000000}">
          <x14:formula1>
            <xm:f>E7&lt;=INDEX('Product Master'!$M$7:$M$56,MATCH(C7,'Product Master'!$A$7:$A$56,0))+E7</xm:f>
          </x14:formula1>
          <xm:sqref>E7:E1000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1"/>
  <sheetViews>
    <sheetView tabSelected="1" zoomScale="58" workbookViewId="0">
      <pane ySplit="6" topLeftCell="A7" activePane="bottomLeft" state="frozen"/>
      <selection pane="bottomLeft" activeCell="U4" sqref="U4"/>
    </sheetView>
  </sheetViews>
  <sheetFormatPr defaultRowHeight="14.4" x14ac:dyDescent="0.3"/>
  <cols>
    <col min="1" max="2" width="21" customWidth="1"/>
    <col min="3" max="3" width="17" customWidth="1"/>
    <col min="4" max="4" width="13" customWidth="1"/>
    <col min="5" max="5" width="25" customWidth="1"/>
    <col min="6" max="6" width="37" customWidth="1"/>
    <col min="7" max="7" width="11" customWidth="1"/>
    <col min="8" max="8" width="13" customWidth="1"/>
    <col min="9" max="11" width="11" customWidth="1"/>
    <col min="12" max="12" width="13" customWidth="1"/>
    <col min="13" max="14" width="11" customWidth="1"/>
    <col min="15" max="15" width="13" customWidth="1"/>
    <col min="16" max="17" width="11" customWidth="1"/>
    <col min="18" max="18" width="13" customWidth="1"/>
    <col min="19" max="20" width="11" customWidth="1"/>
    <col min="21" max="21" width="13" customWidth="1"/>
    <col min="22" max="23" width="11" customWidth="1"/>
  </cols>
  <sheetData>
    <row r="1" spans="1:23" ht="19.95" customHeight="1" x14ac:dyDescent="0.3">
      <c r="A1" s="17" t="s">
        <v>191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ht="19.95" customHeight="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10.050000000000001" customHeight="1" x14ac:dyDescent="0.3"/>
    <row r="4" spans="1:23" ht="25.05" customHeight="1" x14ac:dyDescent="0.3">
      <c r="A4" s="1" t="str">
        <f>HYPERLINK("#'Dashboard'!A1", "📊 Dashboard")</f>
        <v>📊 Dashboard</v>
      </c>
      <c r="B4" s="2"/>
      <c r="C4" s="2"/>
      <c r="D4" s="1" t="str">
        <f>HYPERLINK("#'Product Master'!A1", "📦 Product Master")</f>
        <v>📦 Product Master</v>
      </c>
      <c r="E4" s="2"/>
      <c r="F4" s="2"/>
      <c r="G4" s="2"/>
      <c r="H4" s="1" t="str">
        <f>HYPERLINK("#'Purchase Entry'!A1", "📥 Purchase Entry")</f>
        <v>📥 Purchase Entry</v>
      </c>
      <c r="I4" s="2"/>
      <c r="J4" s="2"/>
      <c r="K4" s="2"/>
      <c r="L4" s="1" t="str">
        <f>HYPERLINK("#'Sales Entry'!A1", "📤 Sales Entry")</f>
        <v>📤 Sales Entry</v>
      </c>
      <c r="M4" s="2"/>
      <c r="N4" s="2"/>
      <c r="O4" s="1" t="str">
        <f>HYPERLINK("#'Supplier Management'!A1", "🤝 Suppliers")</f>
        <v>🤝 Suppliers</v>
      </c>
      <c r="P4" s="2"/>
      <c r="Q4" s="2"/>
      <c r="R4" s="1" t="str">
        <f>HYPERLINK("#'Reports'!A1", "📈 Reports")</f>
        <v>📈 Reports</v>
      </c>
      <c r="S4" s="2"/>
      <c r="T4" s="2"/>
      <c r="U4" s="1"/>
      <c r="V4" s="2"/>
      <c r="W4" s="2"/>
    </row>
    <row r="5" spans="1:23" ht="15" customHeight="1" x14ac:dyDescent="0.3"/>
    <row r="6" spans="1:23" ht="15" x14ac:dyDescent="0.3">
      <c r="A6" s="4" t="s">
        <v>192</v>
      </c>
      <c r="B6" s="4" t="s">
        <v>169</v>
      </c>
      <c r="C6" s="4" t="s">
        <v>193</v>
      </c>
      <c r="D6" s="4" t="s">
        <v>194</v>
      </c>
      <c r="E6" s="4" t="s">
        <v>195</v>
      </c>
      <c r="F6" s="4" t="s">
        <v>196</v>
      </c>
    </row>
    <row r="7" spans="1:23" ht="15" x14ac:dyDescent="0.35">
      <c r="A7" s="5" t="s">
        <v>197</v>
      </c>
      <c r="B7" s="6" t="s">
        <v>45</v>
      </c>
      <c r="C7" s="6" t="s">
        <v>198</v>
      </c>
      <c r="D7" s="6" t="s">
        <v>199</v>
      </c>
      <c r="E7" s="6" t="s">
        <v>200</v>
      </c>
      <c r="F7" s="6" t="s">
        <v>201</v>
      </c>
    </row>
    <row r="8" spans="1:23" ht="15" x14ac:dyDescent="0.35">
      <c r="A8" s="10" t="s">
        <v>202</v>
      </c>
      <c r="B8" s="11" t="s">
        <v>61</v>
      </c>
      <c r="C8" s="11" t="s">
        <v>203</v>
      </c>
      <c r="D8" s="11" t="s">
        <v>204</v>
      </c>
      <c r="E8" s="11" t="s">
        <v>205</v>
      </c>
      <c r="F8" s="11" t="s">
        <v>206</v>
      </c>
    </row>
    <row r="9" spans="1:23" ht="15" x14ac:dyDescent="0.35">
      <c r="A9" s="5" t="s">
        <v>207</v>
      </c>
      <c r="B9" s="6" t="s">
        <v>68</v>
      </c>
      <c r="C9" s="6" t="s">
        <v>208</v>
      </c>
      <c r="D9" s="6" t="s">
        <v>209</v>
      </c>
      <c r="E9" s="6" t="s">
        <v>210</v>
      </c>
      <c r="F9" s="6" t="s">
        <v>211</v>
      </c>
    </row>
    <row r="10" spans="1:23" ht="15" x14ac:dyDescent="0.35">
      <c r="A10" s="10" t="s">
        <v>212</v>
      </c>
      <c r="B10" s="11" t="s">
        <v>54</v>
      </c>
      <c r="C10" s="11" t="s">
        <v>213</v>
      </c>
      <c r="D10" s="11" t="s">
        <v>214</v>
      </c>
      <c r="E10" s="11" t="s">
        <v>215</v>
      </c>
      <c r="F10" s="11" t="s">
        <v>216</v>
      </c>
    </row>
    <row r="11" spans="1:23" ht="15" x14ac:dyDescent="0.35">
      <c r="A11" s="5" t="s">
        <v>217</v>
      </c>
      <c r="B11" s="6" t="s">
        <v>123</v>
      </c>
      <c r="C11" s="6" t="s">
        <v>218</v>
      </c>
      <c r="D11" s="6" t="s">
        <v>219</v>
      </c>
      <c r="E11" s="6" t="s">
        <v>220</v>
      </c>
      <c r="F11" s="6" t="s">
        <v>221</v>
      </c>
    </row>
  </sheetData>
  <mergeCells count="1">
    <mergeCell ref="A1:W2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defaultRowHeight="14.4" x14ac:dyDescent="0.3"/>
  <sheetData>
    <row r="1" spans="1:3" x14ac:dyDescent="0.3">
      <c r="A1" t="s">
        <v>228</v>
      </c>
      <c r="B1" t="s">
        <v>229</v>
      </c>
      <c r="C1" t="s">
        <v>230</v>
      </c>
    </row>
    <row r="2" spans="1:3" x14ac:dyDescent="0.3">
      <c r="A2" t="s">
        <v>10</v>
      </c>
      <c r="B2" t="s">
        <v>47</v>
      </c>
      <c r="C2" t="s">
        <v>186</v>
      </c>
    </row>
    <row r="3" spans="1:3" x14ac:dyDescent="0.3">
      <c r="A3" t="s">
        <v>12</v>
      </c>
      <c r="B3" t="s">
        <v>77</v>
      </c>
      <c r="C3" t="s">
        <v>187</v>
      </c>
    </row>
    <row r="4" spans="1:3" x14ac:dyDescent="0.3">
      <c r="A4" t="s">
        <v>14</v>
      </c>
      <c r="B4" t="s">
        <v>100</v>
      </c>
      <c r="C4" t="s">
        <v>188</v>
      </c>
    </row>
    <row r="5" spans="1:3" x14ac:dyDescent="0.3">
      <c r="A5" t="s">
        <v>16</v>
      </c>
      <c r="B5" t="s">
        <v>124</v>
      </c>
      <c r="C5" t="s">
        <v>189</v>
      </c>
    </row>
    <row r="6" spans="1:3" x14ac:dyDescent="0.3">
      <c r="A6" t="s">
        <v>18</v>
      </c>
      <c r="B6" t="s">
        <v>69</v>
      </c>
      <c r="C6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Reports</vt:lpstr>
      <vt:lpstr>Product Master</vt:lpstr>
      <vt:lpstr>Purchase Entry</vt:lpstr>
      <vt:lpstr>Sales Entry</vt:lpstr>
      <vt:lpstr>Supplier Management</vt:lpstr>
      <vt:lpstr>ReferenceLists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bhargav prakash</cp:lastModifiedBy>
  <dcterms:created xsi:type="dcterms:W3CDTF">2026-05-25T17:38:49Z</dcterms:created>
  <dcterms:modified xsi:type="dcterms:W3CDTF">2026-05-26T04:53:26Z</dcterms:modified>
</cp:coreProperties>
</file>